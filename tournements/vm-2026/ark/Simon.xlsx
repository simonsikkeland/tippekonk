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Sikkeland\Downloads\"/>
    </mc:Choice>
  </mc:AlternateContent>
  <xr:revisionPtr revIDLastSave="0" documentId="8_{0FF2513B-8A43-4F47-8B26-3A7CA8B3F43A}" xr6:coauthVersionLast="47" xr6:coauthVersionMax="47" xr10:uidLastSave="{00000000-0000-0000-0000-000000000000}"/>
  <bookViews>
    <workbookView xWindow="2250" yWindow="2250" windowWidth="21600" windowHeight="12645" firstSheet="2" activeTab="3" xr2:uid="{00000000-000D-0000-FFFF-FFFF00000000}"/>
  </bookViews>
  <sheets>
    <sheet name="T" sheetId="1" state="hidden" r:id="rId1"/>
    <sheet name="Settings" sheetId="2" state="hidden" r:id="rId2"/>
    <sheet name="INPUT-&gt;" sheetId="3" r:id="rId3"/>
    <sheet name="2026 World Cup" sheetId="4" r:id="rId4"/>
    <sheet name="3rd places" sheetId="5" state="hidden" r:id="rId5"/>
    <sheet name="OUTPUT-&gt;" sheetId="6" r:id="rId6"/>
    <sheet name="Resultater" sheetId="7" r:id="rId7"/>
  </sheets>
  <externalReferences>
    <externalReference r:id="rId8"/>
    <externalReference r:id="rId9"/>
  </externalReferences>
  <definedNames>
    <definedName name="db_fifarank" localSheetId="6">[1]Settings!$B$15:$C$46</definedName>
    <definedName name="db_fifarank">Settings!$B$19:$C$66</definedName>
    <definedName name="gmt_delta" localSheetId="6">[1]Settings!$G$14</definedName>
    <definedName name="gmt_delta">Settings!$G$16</definedName>
    <definedName name="group_round_completed">'2026 World Cup'!$AS$92</definedName>
    <definedName name="lang" localSheetId="6">[1]Settings!$G$13</definedName>
    <definedName name="lang">Settings!$G$15</definedName>
    <definedName name="lang_list" localSheetId="6">[1]T!$1:$1</definedName>
    <definedName name="lang_list">T!$1:$1</definedName>
    <definedName name="lookup_3rd">[1]Turneringsskjema!$BB$50</definedName>
    <definedName name="my_team" localSheetId="6">[2]Settings!$I$15</definedName>
    <definedName name="my_team">Settings!$I$15</definedName>
    <definedName name="_xlnm.Print_Area" localSheetId="6">Resultater!$A$1:$N$168</definedName>
    <definedName name="T" localSheetId="6">[1]T!$1:$1048576</definedName>
    <definedName name="T">T!$1:$1048576</definedName>
    <definedName name="tbl_lookup_3rd">[1]Turneringsskjema!$BD$53:$BH$67</definedName>
    <definedName name="teams" localSheetId="6">[2]Settings!$I$17:$I$48</definedName>
    <definedName name="teams">Settings!$I$17:$I$64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6" i="7" l="1"/>
  <c r="D164" i="7"/>
  <c r="D161" i="7"/>
  <c r="D155" i="7"/>
  <c r="D156" i="7" s="1"/>
  <c r="D157" i="7" s="1"/>
  <c r="D153" i="7"/>
  <c r="D145" i="7"/>
  <c r="D146" i="7" s="1"/>
  <c r="D147" i="7" s="1"/>
  <c r="D148" i="7" s="1"/>
  <c r="D149" i="7" s="1"/>
  <c r="D150" i="7" s="1"/>
  <c r="D151" i="7" s="1"/>
  <c r="D136" i="7"/>
  <c r="D137" i="7" s="1"/>
  <c r="D138" i="7" s="1"/>
  <c r="D139" i="7" s="1"/>
  <c r="D140" i="7" s="1"/>
  <c r="D141" i="7" s="1"/>
  <c r="D132" i="7"/>
  <c r="D133" i="7" s="1"/>
  <c r="D134" i="7" s="1"/>
  <c r="D135" i="7" s="1"/>
  <c r="D131" i="7"/>
  <c r="D130" i="7"/>
  <c r="D113" i="7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11" i="7"/>
  <c r="D112" i="7" s="1"/>
  <c r="D102" i="7"/>
  <c r="D103" i="7" s="1"/>
  <c r="D104" i="7" s="1"/>
  <c r="D105" i="7" s="1"/>
  <c r="D106" i="7" s="1"/>
  <c r="D107" i="7" s="1"/>
  <c r="D108" i="7" s="1"/>
  <c r="D109" i="7" s="1"/>
  <c r="D110" i="7" s="1"/>
  <c r="D100" i="7"/>
  <c r="D101" i="7" s="1"/>
  <c r="D98" i="7"/>
  <c r="D99" i="7" s="1"/>
  <c r="D96" i="7"/>
  <c r="D97" i="7" s="1"/>
  <c r="D84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D63" i="7"/>
  <c r="E62" i="7"/>
  <c r="E61" i="7"/>
  <c r="E60" i="7"/>
  <c r="E59" i="7"/>
  <c r="E58" i="7"/>
  <c r="E57" i="7"/>
  <c r="E56" i="7"/>
  <c r="E55" i="7"/>
  <c r="E54" i="7"/>
  <c r="E53" i="7"/>
  <c r="C53" i="7"/>
  <c r="E52" i="7"/>
  <c r="E51" i="7"/>
  <c r="E50" i="7"/>
  <c r="E49" i="7"/>
  <c r="E48" i="7"/>
  <c r="E47" i="7"/>
  <c r="E46" i="7"/>
  <c r="E45" i="7"/>
  <c r="E44" i="7"/>
  <c r="E43" i="7"/>
  <c r="C43" i="7"/>
  <c r="E42" i="7"/>
  <c r="E41" i="7"/>
  <c r="E40" i="7"/>
  <c r="E39" i="7"/>
  <c r="E38" i="7"/>
  <c r="E37" i="7"/>
  <c r="E36" i="7"/>
  <c r="E35" i="7"/>
  <c r="E34" i="7"/>
  <c r="E33" i="7"/>
  <c r="E32" i="7"/>
  <c r="C32" i="7"/>
  <c r="E31" i="7"/>
  <c r="E30" i="7"/>
  <c r="E29" i="7"/>
  <c r="E28" i="7"/>
  <c r="E27" i="7"/>
  <c r="E26" i="7"/>
  <c r="C26" i="7"/>
  <c r="E25" i="7"/>
  <c r="D25" i="7"/>
  <c r="E24" i="7"/>
  <c r="E23" i="7"/>
  <c r="E22" i="7"/>
  <c r="E21" i="7"/>
  <c r="E20" i="7"/>
  <c r="E19" i="7"/>
  <c r="E18" i="7"/>
  <c r="E17" i="7"/>
  <c r="E16" i="7"/>
  <c r="E15" i="7"/>
  <c r="E14" i="7"/>
  <c r="E13" i="7"/>
  <c r="C13" i="7"/>
  <c r="E12" i="7"/>
  <c r="E11" i="7"/>
  <c r="E10" i="7"/>
  <c r="E9" i="7"/>
  <c r="I8" i="7"/>
  <c r="E8" i="7"/>
  <c r="E7" i="7"/>
  <c r="I6" i="7"/>
  <c r="E6" i="7"/>
  <c r="I5" i="7"/>
  <c r="E5" i="7"/>
  <c r="B5" i="7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E4" i="7"/>
  <c r="B66" i="2"/>
  <c r="G65" i="2"/>
  <c r="B65" i="2"/>
  <c r="B64" i="2"/>
  <c r="B63" i="2"/>
  <c r="B62" i="2"/>
  <c r="B61" i="2"/>
  <c r="B59" i="2"/>
  <c r="B58" i="2"/>
  <c r="B57" i="2"/>
  <c r="B56" i="2"/>
  <c r="B55" i="2"/>
  <c r="B54" i="2"/>
  <c r="B53" i="2"/>
  <c r="B52" i="2"/>
  <c r="B51" i="2"/>
  <c r="B50" i="2"/>
  <c r="B48" i="2"/>
  <c r="B47" i="2"/>
  <c r="B45" i="2"/>
  <c r="B43" i="2"/>
  <c r="B42" i="2"/>
  <c r="B41" i="2"/>
  <c r="B40" i="2"/>
  <c r="B39" i="2"/>
  <c r="B37" i="2"/>
  <c r="B36" i="2"/>
  <c r="B35" i="2"/>
  <c r="B34" i="2"/>
  <c r="B33" i="2"/>
  <c r="B32" i="2"/>
  <c r="B31" i="2"/>
  <c r="B30" i="2"/>
  <c r="B29" i="2"/>
  <c r="B28" i="2"/>
  <c r="B26" i="2"/>
  <c r="B25" i="2"/>
  <c r="B23" i="2"/>
  <c r="B21" i="2"/>
  <c r="B20" i="2"/>
  <c r="B19" i="2"/>
  <c r="G16" i="2"/>
  <c r="R111" i="4" s="1"/>
  <c r="I15" i="2"/>
  <c r="G15" i="2"/>
  <c r="B49" i="2" s="1"/>
  <c r="T107" i="4"/>
  <c r="R107" i="4"/>
  <c r="R103" i="4"/>
  <c r="X102" i="4"/>
  <c r="R98" i="4"/>
  <c r="R96" i="4"/>
  <c r="R95" i="4"/>
  <c r="R90" i="4"/>
  <c r="R87" i="4"/>
  <c r="R86" i="4"/>
  <c r="R85" i="4"/>
  <c r="P80" i="4" a="1"/>
  <c r="P80" i="4" s="1"/>
  <c r="O80" i="4" a="1"/>
  <c r="O80" i="4"/>
  <c r="N80" i="4" a="1"/>
  <c r="N80" i="4"/>
  <c r="M80" i="4" a="1"/>
  <c r="M80" i="4" s="1"/>
  <c r="L80" i="4" a="1"/>
  <c r="L80" i="4" s="1"/>
  <c r="K80" i="4" a="1"/>
  <c r="K80" i="4"/>
  <c r="J80" i="4"/>
  <c r="AB78" i="4"/>
  <c r="R78" i="4"/>
  <c r="B78" i="4" a="1"/>
  <c r="B78" i="4" s="1"/>
  <c r="AE77" i="4"/>
  <c r="AB77" i="4"/>
  <c r="R77" i="4"/>
  <c r="H77" i="4"/>
  <c r="D74" i="7" s="1"/>
  <c r="E77" i="4"/>
  <c r="D77" i="4"/>
  <c r="C77" i="4" a="1"/>
  <c r="C77" i="4"/>
  <c r="B77" i="4" a="1"/>
  <c r="B77" i="4"/>
  <c r="AE76" i="4"/>
  <c r="AB76" i="4"/>
  <c r="R76" i="4"/>
  <c r="AE75" i="4"/>
  <c r="AB75" i="4"/>
  <c r="H75" i="4"/>
  <c r="D72" i="7" s="1"/>
  <c r="E75" i="4"/>
  <c r="AE74" i="4"/>
  <c r="AB74" i="4"/>
  <c r="P74" i="4" a="1"/>
  <c r="P74" i="4"/>
  <c r="O74" i="4" a="1"/>
  <c r="O74" i="4" s="1"/>
  <c r="N74" i="4" a="1"/>
  <c r="N74" i="4" s="1"/>
  <c r="M74" i="4" a="1"/>
  <c r="M74" i="4" s="1"/>
  <c r="K74" i="4" a="1"/>
  <c r="K74" i="4"/>
  <c r="J74" i="4" a="1"/>
  <c r="J74" i="4" s="1"/>
  <c r="D89" i="7" s="1"/>
  <c r="H74" i="4"/>
  <c r="D71" i="7" s="1"/>
  <c r="E74" i="4"/>
  <c r="AB73" i="4"/>
  <c r="T73" i="4"/>
  <c r="R73" i="4"/>
  <c r="H73" i="4"/>
  <c r="D70" i="7" s="1"/>
  <c r="E73" i="4"/>
  <c r="S73" i="4" s="1"/>
  <c r="D73" i="4"/>
  <c r="C73" i="4" a="1"/>
  <c r="C73" i="4" s="1"/>
  <c r="B73" i="4" a="1"/>
  <c r="B73" i="4"/>
  <c r="AB72" i="4"/>
  <c r="BP71" i="4"/>
  <c r="AE71" i="4"/>
  <c r="AB71" i="4"/>
  <c r="R71" i="4"/>
  <c r="BP70" i="4"/>
  <c r="AE70" i="4"/>
  <c r="AB70" i="4"/>
  <c r="R70" i="4"/>
  <c r="B70" i="4" s="1" a="1"/>
  <c r="B70" i="4" s="1"/>
  <c r="E70" i="4"/>
  <c r="BW69" i="4"/>
  <c r="AE69" i="4"/>
  <c r="AB69" i="4"/>
  <c r="CE68" i="4"/>
  <c r="BW68" i="4"/>
  <c r="AE68" i="4"/>
  <c r="AB68" i="4"/>
  <c r="P68" i="4" a="1"/>
  <c r="P68" i="4"/>
  <c r="O68" i="4" a="1"/>
  <c r="O68" i="4" s="1"/>
  <c r="N68" i="4" a="1"/>
  <c r="N68" i="4"/>
  <c r="M68" i="4" a="1"/>
  <c r="M68" i="4" s="1"/>
  <c r="L68" i="4" a="1"/>
  <c r="L68" i="4"/>
  <c r="K68" i="4" a="1"/>
  <c r="K68" i="4"/>
  <c r="J68" i="4" a="1"/>
  <c r="J68" i="4" s="1"/>
  <c r="D88" i="7" s="1"/>
  <c r="BW67" i="4"/>
  <c r="BR67" i="4" s="1" a="1"/>
  <c r="BR67" i="4" s="1"/>
  <c r="BP67" i="4"/>
  <c r="AB67" i="4"/>
  <c r="R67" i="4"/>
  <c r="BP66" i="4"/>
  <c r="AB66" i="4"/>
  <c r="S66" i="4"/>
  <c r="R66" i="4"/>
  <c r="C66" i="4" s="1" a="1"/>
  <c r="E66" i="4"/>
  <c r="C66" i="4"/>
  <c r="B66" i="4" a="1"/>
  <c r="B66" i="4" s="1"/>
  <c r="AE65" i="4"/>
  <c r="AB65" i="4"/>
  <c r="R65" i="4"/>
  <c r="B65" i="4" s="1" a="1"/>
  <c r="B65" i="4" s="1"/>
  <c r="D65" i="4"/>
  <c r="C65" i="4" a="1"/>
  <c r="C65" i="4" s="1"/>
  <c r="CD64" i="4"/>
  <c r="CD65" i="4" s="1"/>
  <c r="AE64" i="4"/>
  <c r="AB64" i="4"/>
  <c r="E64" i="4"/>
  <c r="CD63" i="4"/>
  <c r="BY63" i="4" s="1" a="1"/>
  <c r="BY63" i="4" s="1"/>
  <c r="AE63" i="4"/>
  <c r="AB63" i="4"/>
  <c r="R63" i="4"/>
  <c r="D63" i="4"/>
  <c r="C63" i="4" a="1"/>
  <c r="C63" i="4"/>
  <c r="B63" i="4" a="1"/>
  <c r="B63" i="4"/>
  <c r="BP62" i="4"/>
  <c r="AE62" i="4"/>
  <c r="AB62" i="4"/>
  <c r="R62" i="4"/>
  <c r="P62" i="4" a="1"/>
  <c r="P62" i="4" s="1"/>
  <c r="O62" i="4" a="1"/>
  <c r="O62" i="4" s="1"/>
  <c r="N62" i="4" a="1"/>
  <c r="N62" i="4"/>
  <c r="M62" i="4" a="1"/>
  <c r="M62" i="4" s="1"/>
  <c r="L62" i="4" a="1"/>
  <c r="L62" i="4" s="1"/>
  <c r="K62" i="4" a="1"/>
  <c r="K62" i="4"/>
  <c r="J62" i="4" a="1"/>
  <c r="J62" i="4"/>
  <c r="D87" i="7" s="1"/>
  <c r="H62" i="4"/>
  <c r="D59" i="7" s="1"/>
  <c r="D62" i="4"/>
  <c r="C62" i="4" a="1"/>
  <c r="C62" i="4"/>
  <c r="B62" i="4" a="1"/>
  <c r="B62" i="4" s="1"/>
  <c r="BP61" i="4"/>
  <c r="BK61" i="4" a="1"/>
  <c r="BK61" i="4" s="1"/>
  <c r="AB61" i="4"/>
  <c r="R61" i="4"/>
  <c r="D61" i="4"/>
  <c r="C61" i="4" a="1"/>
  <c r="C61" i="4"/>
  <c r="B61" i="4" a="1"/>
  <c r="B61" i="4" s="1"/>
  <c r="BW60" i="4"/>
  <c r="AB60" i="4"/>
  <c r="R60" i="4"/>
  <c r="BW59" i="4"/>
  <c r="BR59" i="4" s="1" a="1"/>
  <c r="BR59" i="4" s="1"/>
  <c r="AE59" i="4"/>
  <c r="AB59" i="4"/>
  <c r="R59" i="4"/>
  <c r="BP58" i="4"/>
  <c r="BP59" i="4" s="1"/>
  <c r="AE58" i="4"/>
  <c r="AB58" i="4"/>
  <c r="R58" i="4"/>
  <c r="D58" i="4"/>
  <c r="BP57" i="4"/>
  <c r="BK57" i="4" s="1" a="1"/>
  <c r="BK57" i="4" s="1"/>
  <c r="AE57" i="4"/>
  <c r="AB57" i="4"/>
  <c r="R57" i="4"/>
  <c r="D57" i="4" s="1"/>
  <c r="CK56" i="4"/>
  <c r="AE56" i="4"/>
  <c r="AB56" i="4"/>
  <c r="R56" i="4"/>
  <c r="B56" i="4" s="1" a="1"/>
  <c r="B56" i="4" s="1"/>
  <c r="P56" i="4" a="1"/>
  <c r="P56" i="4"/>
  <c r="O56" i="4" a="1"/>
  <c r="O56" i="4" s="1"/>
  <c r="N56" i="4" a="1"/>
  <c r="N56" i="4"/>
  <c r="M56" i="4" a="1"/>
  <c r="M56" i="4"/>
  <c r="L56" i="4" a="1"/>
  <c r="L56" i="4" s="1"/>
  <c r="K56" i="4" a="1"/>
  <c r="K56" i="4"/>
  <c r="J56" i="4" a="1"/>
  <c r="J56" i="4"/>
  <c r="D86" i="7" s="1"/>
  <c r="H56" i="4"/>
  <c r="D53" i="7" s="1"/>
  <c r="E56" i="4"/>
  <c r="CK55" i="4"/>
  <c r="AB55" i="4"/>
  <c r="R55" i="4"/>
  <c r="B55" i="4" s="1" a="1"/>
  <c r="D55" i="4"/>
  <c r="C55" i="4" a="1"/>
  <c r="C55" i="4"/>
  <c r="B55" i="4"/>
  <c r="CK54" i="4"/>
  <c r="CF54" i="4" s="1" a="1"/>
  <c r="CF54" i="4"/>
  <c r="BP54" i="4"/>
  <c r="AB54" i="4"/>
  <c r="S54" i="4"/>
  <c r="R54" i="4"/>
  <c r="E54" i="4"/>
  <c r="C51" i="7" s="1"/>
  <c r="BP53" i="4"/>
  <c r="BK53" i="4" s="1" a="1"/>
  <c r="BK53" i="4" s="1"/>
  <c r="AE53" i="4"/>
  <c r="AB53" i="4"/>
  <c r="S53" i="4"/>
  <c r="R53" i="4"/>
  <c r="D53" i="4" s="1"/>
  <c r="H53" i="4"/>
  <c r="D50" i="7" s="1"/>
  <c r="E53" i="4"/>
  <c r="C50" i="7" s="1"/>
  <c r="C53" i="4" a="1"/>
  <c r="C53" i="4"/>
  <c r="B53" i="4" a="1"/>
  <c r="B53" i="4" s="1"/>
  <c r="BW52" i="4"/>
  <c r="AE52" i="4"/>
  <c r="AB52" i="4"/>
  <c r="S52" i="4"/>
  <c r="R52" i="4"/>
  <c r="H52" i="4"/>
  <c r="D49" i="7" s="1"/>
  <c r="E52" i="4"/>
  <c r="C49" i="7" s="1"/>
  <c r="D52" i="4"/>
  <c r="C52" i="4" a="1"/>
  <c r="C52" i="4"/>
  <c r="B52" i="4" a="1"/>
  <c r="B52" i="4" s="1"/>
  <c r="BW51" i="4"/>
  <c r="BR51" i="4" a="1"/>
  <c r="BR51" i="4"/>
  <c r="BP51" i="4"/>
  <c r="AE51" i="4"/>
  <c r="AB51" i="4"/>
  <c r="R51" i="4"/>
  <c r="H51" i="4"/>
  <c r="D48" i="7" s="1"/>
  <c r="E51" i="4"/>
  <c r="C51" i="4" a="1"/>
  <c r="C51" i="4" s="1"/>
  <c r="BP50" i="4"/>
  <c r="AE50" i="4"/>
  <c r="AB50" i="4"/>
  <c r="R50" i="4"/>
  <c r="D50" i="4" s="1"/>
  <c r="P50" i="4" a="1"/>
  <c r="P50" i="4"/>
  <c r="O50" i="4" a="1"/>
  <c r="O50" i="4"/>
  <c r="N50" i="4" a="1"/>
  <c r="N50" i="4" s="1"/>
  <c r="M50" i="4" a="1"/>
  <c r="M50" i="4" s="1"/>
  <c r="L50" i="4" a="1"/>
  <c r="L50" i="4" s="1"/>
  <c r="K50" i="4" a="1"/>
  <c r="K50" i="4" s="1"/>
  <c r="J50" i="4" a="1"/>
  <c r="J50" i="4" s="1"/>
  <c r="D85" i="7" s="1"/>
  <c r="H50" i="4"/>
  <c r="D47" i="7" s="1"/>
  <c r="C50" i="4" a="1"/>
  <c r="C50" i="4" s="1"/>
  <c r="B50" i="4" a="1"/>
  <c r="B50" i="4" s="1"/>
  <c r="CR49" i="4"/>
  <c r="CD49" i="4"/>
  <c r="BP49" i="4"/>
  <c r="BK49" i="4" s="1" a="1"/>
  <c r="BK49" i="4" s="1"/>
  <c r="AB49" i="4"/>
  <c r="R49" i="4"/>
  <c r="H49" i="4"/>
  <c r="D46" i="7" s="1"/>
  <c r="D49" i="4"/>
  <c r="C49" i="4" a="1"/>
  <c r="C49" i="4"/>
  <c r="B49" i="4" a="1"/>
  <c r="B49" i="4"/>
  <c r="CR48" i="4"/>
  <c r="CD48" i="4"/>
  <c r="AB48" i="4"/>
  <c r="R48" i="4"/>
  <c r="H48" i="4"/>
  <c r="D45" i="7" s="1"/>
  <c r="E48" i="4"/>
  <c r="D48" i="4"/>
  <c r="C48" i="4" a="1"/>
  <c r="C48" i="4" s="1"/>
  <c r="B48" i="4" a="1"/>
  <c r="B48" i="4" s="1"/>
  <c r="CR47" i="4"/>
  <c r="CM47" i="4" s="1" a="1"/>
  <c r="CM47" i="4" s="1"/>
  <c r="CD47" i="4"/>
  <c r="BY47" i="4" a="1"/>
  <c r="BY47" i="4"/>
  <c r="BP47" i="4"/>
  <c r="AE47" i="4"/>
  <c r="AB47" i="4"/>
  <c r="AA47" i="4"/>
  <c r="S47" i="4"/>
  <c r="R47" i="4"/>
  <c r="H47" i="4"/>
  <c r="D44" i="7" s="1"/>
  <c r="E47" i="4"/>
  <c r="C44" i="7" s="1"/>
  <c r="C47" i="4" a="1"/>
  <c r="C47" i="4"/>
  <c r="BP46" i="4"/>
  <c r="AE46" i="4"/>
  <c r="AB46" i="4"/>
  <c r="R46" i="4"/>
  <c r="H46" i="4"/>
  <c r="D43" i="7" s="1"/>
  <c r="E46" i="4"/>
  <c r="D46" i="4"/>
  <c r="C46" i="4" a="1"/>
  <c r="C46" i="4"/>
  <c r="B46" i="4" a="1"/>
  <c r="B46" i="4"/>
  <c r="BP45" i="4"/>
  <c r="BK45" i="4" s="1" a="1"/>
  <c r="BK45" i="4" s="1"/>
  <c r="AE45" i="4"/>
  <c r="AB45" i="4"/>
  <c r="R45" i="4"/>
  <c r="H45" i="4"/>
  <c r="D42" i="7" s="1"/>
  <c r="E45" i="4"/>
  <c r="D45" i="4"/>
  <c r="C45" i="4" a="1"/>
  <c r="C45" i="4"/>
  <c r="B45" i="4" a="1"/>
  <c r="B45" i="4" s="1"/>
  <c r="CM44" i="4" a="1"/>
  <c r="CM44" i="4"/>
  <c r="BW44" i="4"/>
  <c r="AE44" i="4"/>
  <c r="AB44" i="4"/>
  <c r="R44" i="4"/>
  <c r="D44" i="4" s="1"/>
  <c r="P44" i="4" a="1"/>
  <c r="P44" i="4"/>
  <c r="O44" i="4" a="1"/>
  <c r="O44" i="4"/>
  <c r="N44" i="4" a="1"/>
  <c r="N44" i="4" s="1"/>
  <c r="M44" i="4" a="1"/>
  <c r="M44" i="4"/>
  <c r="L44" i="4" a="1"/>
  <c r="L44" i="4"/>
  <c r="K44" i="4" a="1"/>
  <c r="K44" i="4"/>
  <c r="J44" i="4" a="1"/>
  <c r="J44" i="4"/>
  <c r="H44" i="4"/>
  <c r="D41" i="7" s="1"/>
  <c r="BW43" i="4"/>
  <c r="BR43" i="4" s="1" a="1"/>
  <c r="BR43" i="4" s="1"/>
  <c r="BP43" i="4"/>
  <c r="AB43" i="4"/>
  <c r="R43" i="4"/>
  <c r="H43" i="4"/>
  <c r="D40" i="7" s="1"/>
  <c r="E43" i="4"/>
  <c r="D43" i="4"/>
  <c r="C43" i="4" a="1"/>
  <c r="C43" i="4" s="1"/>
  <c r="B43" i="4" a="1"/>
  <c r="B43" i="4" s="1"/>
  <c r="BP42" i="4"/>
  <c r="AB42" i="4"/>
  <c r="R42" i="4"/>
  <c r="C42" i="4" s="1" a="1"/>
  <c r="C42" i="4" s="1"/>
  <c r="H42" i="4"/>
  <c r="D39" i="7" s="1"/>
  <c r="BP41" i="4"/>
  <c r="BK41" i="4" a="1"/>
  <c r="BK41" i="4"/>
  <c r="AE41" i="4"/>
  <c r="AB41" i="4"/>
  <c r="R41" i="4"/>
  <c r="H41" i="4"/>
  <c r="D38" i="7" s="1"/>
  <c r="D41" i="4"/>
  <c r="C41" i="4" a="1"/>
  <c r="C41" i="4"/>
  <c r="B41" i="4" a="1"/>
  <c r="B41" i="4" s="1"/>
  <c r="AE40" i="4"/>
  <c r="AB40" i="4"/>
  <c r="R40" i="4"/>
  <c r="E40" i="4"/>
  <c r="D40" i="4"/>
  <c r="C40" i="4" a="1"/>
  <c r="C40" i="4" s="1"/>
  <c r="B40" i="4" a="1"/>
  <c r="B40" i="4" s="1"/>
  <c r="AE39" i="4"/>
  <c r="AB39" i="4"/>
  <c r="R39" i="4"/>
  <c r="D39" i="4"/>
  <c r="CR38" i="4"/>
  <c r="BP38" i="4"/>
  <c r="AE38" i="4"/>
  <c r="AB38" i="4"/>
  <c r="R38" i="4"/>
  <c r="D38" i="4" s="1"/>
  <c r="P38" i="4" a="1"/>
  <c r="P38" i="4" s="1"/>
  <c r="O38" i="4" a="1"/>
  <c r="O38" i="4"/>
  <c r="N38" i="4" a="1"/>
  <c r="N38" i="4" s="1"/>
  <c r="M38" i="4" a="1"/>
  <c r="M38" i="4" s="1"/>
  <c r="L38" i="4" a="1"/>
  <c r="L38" i="4" s="1"/>
  <c r="K38" i="4" a="1"/>
  <c r="K38" i="4" s="1"/>
  <c r="J38" i="4" a="1"/>
  <c r="J38" i="4"/>
  <c r="D83" i="7" s="1"/>
  <c r="H38" i="4"/>
  <c r="D35" i="7" s="1"/>
  <c r="CR37" i="4"/>
  <c r="BP37" i="4"/>
  <c r="BK37" i="4" a="1"/>
  <c r="BK37" i="4" s="1"/>
  <c r="AB37" i="4"/>
  <c r="R37" i="4"/>
  <c r="H37" i="4"/>
  <c r="D34" i="7" s="1"/>
  <c r="C37" i="4" a="1"/>
  <c r="C37" i="4" s="1"/>
  <c r="CR36" i="4"/>
  <c r="CM36" i="4" s="1" a="1"/>
  <c r="CM36" i="4"/>
  <c r="BW36" i="4"/>
  <c r="BW37" i="4" s="1"/>
  <c r="AB36" i="4"/>
  <c r="R36" i="4"/>
  <c r="H36" i="4"/>
  <c r="D33" i="7" s="1"/>
  <c r="BW35" i="4"/>
  <c r="BR35" i="4" a="1"/>
  <c r="BR35" i="4" s="1"/>
  <c r="AE35" i="4"/>
  <c r="AB35" i="4"/>
  <c r="R35" i="4"/>
  <c r="H35" i="4"/>
  <c r="D32" i="7" s="1"/>
  <c r="E35" i="4"/>
  <c r="C35" i="4" a="1"/>
  <c r="C35" i="4" s="1"/>
  <c r="BP34" i="4"/>
  <c r="AE34" i="4"/>
  <c r="AB34" i="4"/>
  <c r="R34" i="4"/>
  <c r="D34" i="4"/>
  <c r="C34" i="4" a="1"/>
  <c r="C34" i="4" s="1"/>
  <c r="B34" i="4" a="1"/>
  <c r="B34" i="4" s="1"/>
  <c r="CM33" i="4" a="1"/>
  <c r="CM33" i="4" s="1"/>
  <c r="X103" i="4" s="1"/>
  <c r="CD33" i="4"/>
  <c r="BP33" i="4"/>
  <c r="BK33" i="4" a="1"/>
  <c r="BK33" i="4" s="1"/>
  <c r="AE33" i="4"/>
  <c r="AB33" i="4"/>
  <c r="R33" i="4"/>
  <c r="B33" i="4" s="1" a="1"/>
  <c r="B33" i="4" s="1"/>
  <c r="D33" i="4"/>
  <c r="C33" i="4" a="1"/>
  <c r="C33" i="4"/>
  <c r="CD32" i="4"/>
  <c r="AE32" i="4"/>
  <c r="AB32" i="4"/>
  <c r="R32" i="4"/>
  <c r="P32" i="4" a="1"/>
  <c r="P32" i="4"/>
  <c r="O32" i="4" a="1"/>
  <c r="O32" i="4" s="1"/>
  <c r="N32" i="4" a="1"/>
  <c r="N32" i="4" s="1"/>
  <c r="M32" i="4" a="1"/>
  <c r="M32" i="4"/>
  <c r="L32" i="4" a="1"/>
  <c r="L32" i="4"/>
  <c r="K32" i="4" a="1"/>
  <c r="K32" i="4" s="1"/>
  <c r="J32" i="4" a="1"/>
  <c r="J32" i="4" s="1"/>
  <c r="D82" i="7" s="1"/>
  <c r="C32" i="4" a="1"/>
  <c r="C32" i="4" s="1"/>
  <c r="CD31" i="4"/>
  <c r="BY31" i="4" s="1" a="1"/>
  <c r="BY31" i="4" s="1"/>
  <c r="BP31" i="4"/>
  <c r="AB31" i="4"/>
  <c r="R31" i="4"/>
  <c r="BP30" i="4"/>
  <c r="AB30" i="4"/>
  <c r="R30" i="4"/>
  <c r="C30" i="4" s="1" a="1"/>
  <c r="H30" i="4"/>
  <c r="E30" i="4"/>
  <c r="D30" i="4"/>
  <c r="C30" i="4"/>
  <c r="B30" i="4" a="1"/>
  <c r="B30" i="4"/>
  <c r="BW29" i="4"/>
  <c r="BP29" i="4"/>
  <c r="BK29" i="4" s="1" a="1"/>
  <c r="BK29" i="4" s="1"/>
  <c r="AE29" i="4"/>
  <c r="AB29" i="4"/>
  <c r="S29" i="4"/>
  <c r="R29" i="4"/>
  <c r="E29" i="4"/>
  <c r="D29" i="4"/>
  <c r="C29" i="4" a="1"/>
  <c r="C29" i="4" s="1"/>
  <c r="B29" i="4" a="1"/>
  <c r="B29" i="4"/>
  <c r="BW28" i="4"/>
  <c r="AE28" i="4"/>
  <c r="H66" i="4" s="1"/>
  <c r="AB28" i="4"/>
  <c r="S28" i="4"/>
  <c r="R28" i="4"/>
  <c r="H28" i="4"/>
  <c r="E28" i="4"/>
  <c r="C25" i="7" s="1"/>
  <c r="C28" i="4" a="1"/>
  <c r="C28" i="4" s="1"/>
  <c r="BW27" i="4"/>
  <c r="BR27" i="4" s="1" a="1"/>
  <c r="BR27" i="4" s="1"/>
  <c r="BP27" i="4"/>
  <c r="AE27" i="4"/>
  <c r="AB27" i="4"/>
  <c r="S27" i="4"/>
  <c r="R27" i="4"/>
  <c r="B27" i="4" s="1" a="1"/>
  <c r="H27" i="4"/>
  <c r="D24" i="7" s="1"/>
  <c r="E27" i="4"/>
  <c r="D27" i="4"/>
  <c r="C27" i="4" a="1"/>
  <c r="C27" i="4" s="1"/>
  <c r="B27" i="4"/>
  <c r="BP26" i="4"/>
  <c r="AE26" i="4"/>
  <c r="AB26" i="4"/>
  <c r="S26" i="4"/>
  <c r="R26" i="4"/>
  <c r="P26" i="4" a="1"/>
  <c r="P26" i="4"/>
  <c r="O26" i="4" a="1"/>
  <c r="O26" i="4" s="1"/>
  <c r="N26" i="4" a="1"/>
  <c r="N26" i="4"/>
  <c r="M26" i="4" a="1"/>
  <c r="M26" i="4"/>
  <c r="L26" i="4" a="1"/>
  <c r="L26" i="4"/>
  <c r="K26" i="4" a="1"/>
  <c r="K26" i="4" s="1"/>
  <c r="J26" i="4" a="1"/>
  <c r="J26" i="4" s="1"/>
  <c r="D81" i="7" s="1"/>
  <c r="E26" i="4"/>
  <c r="C23" i="7" s="1"/>
  <c r="BP25" i="4"/>
  <c r="BK25" i="4" s="1" a="1"/>
  <c r="BK25" i="4"/>
  <c r="AB25" i="4"/>
  <c r="T25" i="4"/>
  <c r="S25" i="4"/>
  <c r="R25" i="4"/>
  <c r="H25" i="4"/>
  <c r="D22" i="7" s="1"/>
  <c r="E25" i="4"/>
  <c r="C22" i="7" s="1"/>
  <c r="AB24" i="4"/>
  <c r="AA24" i="4"/>
  <c r="S24" i="4"/>
  <c r="R24" i="4"/>
  <c r="H24" i="4"/>
  <c r="D21" i="7" s="1"/>
  <c r="E24" i="4"/>
  <c r="C21" i="7" s="1"/>
  <c r="D24" i="4"/>
  <c r="CK23" i="4"/>
  <c r="BP23" i="4"/>
  <c r="AE23" i="4"/>
  <c r="AB23" i="4"/>
  <c r="S23" i="4"/>
  <c r="R23" i="4"/>
  <c r="D23" i="4" s="1"/>
  <c r="H23" i="4"/>
  <c r="D20" i="7" s="1"/>
  <c r="E23" i="4"/>
  <c r="C20" i="7" s="1"/>
  <c r="CK22" i="4"/>
  <c r="CF22" i="4" a="1"/>
  <c r="CF22" i="4" s="1"/>
  <c r="BP22" i="4"/>
  <c r="AE22" i="4"/>
  <c r="AB22" i="4"/>
  <c r="S22" i="4"/>
  <c r="R22" i="4"/>
  <c r="D22" i="4" s="1"/>
  <c r="H22" i="4"/>
  <c r="D19" i="7" s="1"/>
  <c r="E22" i="4"/>
  <c r="C19" i="7" s="1"/>
  <c r="BP21" i="4"/>
  <c r="BK21" i="4" s="1" a="1"/>
  <c r="BK21" i="4" s="1"/>
  <c r="AE21" i="4"/>
  <c r="AB21" i="4"/>
  <c r="R21" i="4"/>
  <c r="H21" i="4"/>
  <c r="D18" i="7" s="1"/>
  <c r="BW20" i="4"/>
  <c r="BW21" i="4" s="1"/>
  <c r="AE20" i="4"/>
  <c r="H55" i="4" s="1"/>
  <c r="D52" i="7" s="1"/>
  <c r="AB20" i="4"/>
  <c r="R20" i="4"/>
  <c r="P20" i="4" a="1"/>
  <c r="P20" i="4" s="1"/>
  <c r="O20" i="4" a="1"/>
  <c r="O20" i="4" s="1"/>
  <c r="N20" i="4" a="1"/>
  <c r="N20" i="4"/>
  <c r="M20" i="4" a="1"/>
  <c r="M20" i="4"/>
  <c r="L20" i="4" a="1"/>
  <c r="L20" i="4"/>
  <c r="K20" i="4" a="1"/>
  <c r="K20" i="4" s="1"/>
  <c r="J20" i="4" a="1"/>
  <c r="J20" i="4" s="1"/>
  <c r="D80" i="7" s="1"/>
  <c r="H20" i="4"/>
  <c r="D17" i="7" s="1"/>
  <c r="E20" i="4"/>
  <c r="D20" i="4"/>
  <c r="C20" i="4" a="1"/>
  <c r="C20" i="4" s="1"/>
  <c r="B20" i="4" a="1"/>
  <c r="B20" i="4" s="1"/>
  <c r="BW19" i="4"/>
  <c r="BR19" i="4" a="1"/>
  <c r="BR19" i="4"/>
  <c r="BP19" i="4"/>
  <c r="AB19" i="4"/>
  <c r="R19" i="4"/>
  <c r="B19" i="4" s="1" a="1"/>
  <c r="B19" i="4" s="1"/>
  <c r="H19" i="4"/>
  <c r="D16" i="7" s="1"/>
  <c r="E19" i="4"/>
  <c r="D19" i="4"/>
  <c r="C19" i="4" a="1"/>
  <c r="C19" i="4" s="1"/>
  <c r="BP18" i="4"/>
  <c r="AB18" i="4"/>
  <c r="R18" i="4"/>
  <c r="D18" i="4" s="1"/>
  <c r="H18" i="4"/>
  <c r="D15" i="7" s="1"/>
  <c r="E18" i="4"/>
  <c r="S18" i="4" s="1"/>
  <c r="CD17" i="4"/>
  <c r="BP17" i="4"/>
  <c r="BK17" i="4" s="1" a="1"/>
  <c r="BK17" i="4" s="1"/>
  <c r="AE17" i="4"/>
  <c r="AB17" i="4"/>
  <c r="R17" i="4"/>
  <c r="D17" i="4" s="1"/>
  <c r="H17" i="4"/>
  <c r="D14" i="7" s="1"/>
  <c r="B17" i="4" a="1"/>
  <c r="B17" i="4" s="1"/>
  <c r="CD16" i="4"/>
  <c r="AE16" i="4"/>
  <c r="AA25" i="4" s="1"/>
  <c r="AB16" i="4"/>
  <c r="T16" i="4"/>
  <c r="S16" i="4"/>
  <c r="R16" i="4"/>
  <c r="H16" i="4"/>
  <c r="E16" i="4"/>
  <c r="CD15" i="4"/>
  <c r="BY15" i="4" s="1" a="1"/>
  <c r="BY15" i="4" s="1"/>
  <c r="AE15" i="4"/>
  <c r="H32" i="4" s="1"/>
  <c r="D29" i="7" s="1"/>
  <c r="AB15" i="4"/>
  <c r="R15" i="4"/>
  <c r="B15" i="4" s="1" a="1"/>
  <c r="B15" i="4" s="1"/>
  <c r="H15" i="4"/>
  <c r="D12" i="7" s="1"/>
  <c r="E15" i="4"/>
  <c r="D15" i="4"/>
  <c r="BP14" i="4"/>
  <c r="BP15" i="4" s="1"/>
  <c r="AE14" i="4"/>
  <c r="AB14" i="4"/>
  <c r="R14" i="4"/>
  <c r="B14" i="4" s="1" a="1"/>
  <c r="B14" i="4" s="1"/>
  <c r="P14" i="4" a="1"/>
  <c r="P14" i="4" s="1"/>
  <c r="O14" i="4" a="1"/>
  <c r="O14" i="4" s="1"/>
  <c r="N14" i="4" a="1"/>
  <c r="N14" i="4" s="1"/>
  <c r="M14" i="4" a="1"/>
  <c r="M14" i="4"/>
  <c r="L14" i="4" a="1"/>
  <c r="L14" i="4"/>
  <c r="K14" i="4" a="1"/>
  <c r="K14" i="4"/>
  <c r="J14" i="4" a="1"/>
  <c r="J14" i="4"/>
  <c r="D79" i="7" s="1"/>
  <c r="D14" i="4"/>
  <c r="C14" i="4" a="1"/>
  <c r="C14" i="4" s="1"/>
  <c r="BP13" i="4"/>
  <c r="BK13" i="4" s="1" a="1"/>
  <c r="BK13" i="4" s="1"/>
  <c r="AB13" i="4"/>
  <c r="R13" i="4"/>
  <c r="H13" i="4"/>
  <c r="D10" i="7" s="1"/>
  <c r="E13" i="4"/>
  <c r="D13" i="4"/>
  <c r="C13" i="4" a="1"/>
  <c r="C13" i="4"/>
  <c r="B13" i="4" a="1"/>
  <c r="B13" i="4"/>
  <c r="BW12" i="4"/>
  <c r="BW13" i="4" s="1"/>
  <c r="AB12" i="4"/>
  <c r="R12" i="4"/>
  <c r="H12" i="4"/>
  <c r="D9" i="7" s="1"/>
  <c r="E12" i="4"/>
  <c r="AA12" i="4" s="1"/>
  <c r="D12" i="4"/>
  <c r="BW11" i="4"/>
  <c r="BR11" i="4" s="1" a="1"/>
  <c r="BR11" i="4" s="1"/>
  <c r="BP11" i="4"/>
  <c r="AE11" i="4"/>
  <c r="AB11" i="4"/>
  <c r="R11" i="4"/>
  <c r="H11" i="4"/>
  <c r="D8" i="7" s="1"/>
  <c r="E11" i="4"/>
  <c r="D11" i="4"/>
  <c r="C11" i="4" a="1"/>
  <c r="C11" i="4"/>
  <c r="B11" i="4" a="1"/>
  <c r="B11" i="4"/>
  <c r="BP10" i="4"/>
  <c r="AE10" i="4"/>
  <c r="AB10" i="4"/>
  <c r="R10" i="4"/>
  <c r="H10" i="4"/>
  <c r="D7" i="7" s="1"/>
  <c r="D10" i="4"/>
  <c r="C10" i="4" a="1"/>
  <c r="C10" i="4"/>
  <c r="B10" i="4" a="1"/>
  <c r="B10" i="4" s="1"/>
  <c r="BP9" i="4"/>
  <c r="BK9" i="4" a="1"/>
  <c r="BK9" i="4"/>
  <c r="AE9" i="4"/>
  <c r="AB9" i="4"/>
  <c r="R9" i="4"/>
  <c r="B9" i="4" s="1" a="1"/>
  <c r="B9" i="4" s="1"/>
  <c r="H9" i="4"/>
  <c r="D6" i="7" s="1"/>
  <c r="E9" i="4"/>
  <c r="C6" i="7" s="1"/>
  <c r="D9" i="4"/>
  <c r="C9" i="4" a="1"/>
  <c r="C9" i="4" s="1"/>
  <c r="AE8" i="4"/>
  <c r="AB8" i="4"/>
  <c r="R8" i="4"/>
  <c r="D8" i="4" s="1"/>
  <c r="P8" i="4" a="1"/>
  <c r="P8" i="4"/>
  <c r="O8" i="4" a="1"/>
  <c r="O8" i="4"/>
  <c r="N8" i="4" a="1"/>
  <c r="N8" i="4" s="1"/>
  <c r="M8" i="4" a="1"/>
  <c r="M8" i="4"/>
  <c r="L8" i="4" a="1"/>
  <c r="L8" i="4"/>
  <c r="K8" i="4" a="1"/>
  <c r="K8" i="4"/>
  <c r="J8" i="4" a="1"/>
  <c r="J8" i="4" s="1"/>
  <c r="D78" i="7" s="1"/>
  <c r="E8" i="4"/>
  <c r="C5" i="7" s="1"/>
  <c r="AB7" i="4"/>
  <c r="S7" i="4"/>
  <c r="R7" i="4"/>
  <c r="H7" i="4"/>
  <c r="D4" i="7" s="1"/>
  <c r="E7" i="4"/>
  <c r="B7" i="4" a="1"/>
  <c r="B7" i="4"/>
  <c r="CF6" i="4" a="1"/>
  <c r="CF6" i="4"/>
  <c r="BY6" i="4" a="1"/>
  <c r="BY6" i="4"/>
  <c r="BR6" i="4" a="1"/>
  <c r="BR6" i="4"/>
  <c r="AA6" i="4"/>
  <c r="A5" i="4" a="1"/>
  <c r="A5" i="4"/>
  <c r="O3" i="4"/>
  <c r="A1" i="4" a="1"/>
  <c r="A1" i="4" s="1"/>
  <c r="T18" i="4" l="1"/>
  <c r="C10" i="7"/>
  <c r="AA13" i="4"/>
  <c r="C17" i="7"/>
  <c r="S20" i="4"/>
  <c r="H57" i="4"/>
  <c r="D54" i="7" s="1"/>
  <c r="E33" i="4"/>
  <c r="C15" i="4" a="1"/>
  <c r="C15" i="4" s="1"/>
  <c r="C18" i="4" a="1"/>
  <c r="C18" i="4" s="1"/>
  <c r="D35" i="4"/>
  <c r="B35" i="4" a="1"/>
  <c r="B35" i="4" s="1"/>
  <c r="S46" i="4"/>
  <c r="AA46" i="4"/>
  <c r="C12" i="7"/>
  <c r="S15" i="4"/>
  <c r="C16" i="7"/>
  <c r="S19" i="4"/>
  <c r="AA19" i="4"/>
  <c r="CK24" i="4"/>
  <c r="C4" i="7"/>
  <c r="C8" i="7"/>
  <c r="AA11" i="4"/>
  <c r="S11" i="4"/>
  <c r="E57" i="4"/>
  <c r="H14" i="4"/>
  <c r="D11" i="7" s="1"/>
  <c r="AQ17" i="4"/>
  <c r="E32" i="4"/>
  <c r="C15" i="7"/>
  <c r="AA18" i="4"/>
  <c r="BW53" i="4"/>
  <c r="D27" i="7"/>
  <c r="AA30" i="4"/>
  <c r="D7" i="4"/>
  <c r="C7" i="4" a="1"/>
  <c r="C7" i="4" s="1"/>
  <c r="C12" i="4" a="1"/>
  <c r="C12" i="4" s="1"/>
  <c r="B12" i="4" a="1"/>
  <c r="B12" i="4" s="1"/>
  <c r="E65" i="4"/>
  <c r="E38" i="4"/>
  <c r="S9" i="4"/>
  <c r="H72" i="4"/>
  <c r="D69" i="7" s="1"/>
  <c r="AQ50" i="4"/>
  <c r="E44" i="4"/>
  <c r="D16" i="4"/>
  <c r="C16" i="4" a="1"/>
  <c r="C16" i="4" s="1"/>
  <c r="AA15" i="4"/>
  <c r="C26" i="4" a="1"/>
  <c r="C26" i="4" s="1"/>
  <c r="B26" i="4" a="1"/>
  <c r="B26" i="4" s="1"/>
  <c r="D26" i="4"/>
  <c r="AA56" i="4"/>
  <c r="S8" i="4"/>
  <c r="S13" i="4"/>
  <c r="AA20" i="4"/>
  <c r="T24" i="4"/>
  <c r="C9" i="7"/>
  <c r="S12" i="4"/>
  <c r="T7" i="4"/>
  <c r="C8" i="4" a="1"/>
  <c r="C8" i="4" s="1"/>
  <c r="B8" i="4" a="1"/>
  <c r="B8" i="4" s="1"/>
  <c r="AA7" i="4"/>
  <c r="H64" i="4"/>
  <c r="D61" i="7" s="1"/>
  <c r="AQ38" i="4"/>
  <c r="E41" i="4"/>
  <c r="E17" i="4"/>
  <c r="B16" i="4" a="1"/>
  <c r="B16" i="4" s="1"/>
  <c r="BP35" i="4"/>
  <c r="C45" i="7"/>
  <c r="S48" i="4"/>
  <c r="AA48" i="4"/>
  <c r="C37" i="7"/>
  <c r="S40" i="4"/>
  <c r="AA22" i="4"/>
  <c r="T23" i="4"/>
  <c r="C44" i="4" a="1"/>
  <c r="C44" i="4" s="1"/>
  <c r="B44" i="4" a="1"/>
  <c r="B44" i="4" s="1"/>
  <c r="AA8" i="4"/>
  <c r="AA9" i="4"/>
  <c r="H58" i="4"/>
  <c r="D55" i="7" s="1"/>
  <c r="E14" i="4"/>
  <c r="AI71" i="4" s="1"/>
  <c r="H33" i="4"/>
  <c r="D30" i="7" s="1"/>
  <c r="E59" i="4"/>
  <c r="E31" i="4"/>
  <c r="AJ23" i="4" s="1"/>
  <c r="D13" i="7"/>
  <c r="AA16" i="4"/>
  <c r="T27" i="4"/>
  <c r="D51" i="4"/>
  <c r="B51" i="4" a="1"/>
  <c r="B51" i="4" s="1"/>
  <c r="D60" i="4"/>
  <c r="B60" i="4" a="1"/>
  <c r="B60" i="4" s="1"/>
  <c r="C60" i="4" a="1"/>
  <c r="C60" i="4" s="1"/>
  <c r="T66" i="4"/>
  <c r="D21" i="4"/>
  <c r="C21" i="4" a="1"/>
  <c r="C21" i="4" s="1"/>
  <c r="B21" i="4" a="1"/>
  <c r="B21" i="4" s="1"/>
  <c r="D42" i="4"/>
  <c r="B42" i="4" a="1"/>
  <c r="B42" i="4" s="1"/>
  <c r="D32" i="4"/>
  <c r="B32" i="4" a="1"/>
  <c r="B32" i="4" s="1"/>
  <c r="H8" i="4"/>
  <c r="D5" i="7" s="1"/>
  <c r="E34" i="4"/>
  <c r="H59" i="4"/>
  <c r="D56" i="7" s="1"/>
  <c r="AA53" i="4"/>
  <c r="AA28" i="4"/>
  <c r="AA23" i="4"/>
  <c r="B18" i="4" a="1"/>
  <c r="B18" i="4" s="1"/>
  <c r="AA27" i="4"/>
  <c r="C31" i="4" a="1"/>
  <c r="C31" i="4" s="1"/>
  <c r="B31" i="4" a="1"/>
  <c r="B31" i="4" s="1"/>
  <c r="E62" i="4"/>
  <c r="C24" i="7"/>
  <c r="C42" i="7"/>
  <c r="AA45" i="4"/>
  <c r="H76" i="4"/>
  <c r="D73" i="7" s="1"/>
  <c r="E49" i="4"/>
  <c r="AQ62" i="4"/>
  <c r="C61" i="7"/>
  <c r="S64" i="4"/>
  <c r="AA66" i="4"/>
  <c r="C63" i="7"/>
  <c r="S77" i="4"/>
  <c r="AA77" i="4"/>
  <c r="C74" i="7"/>
  <c r="T26" i="4"/>
  <c r="S45" i="4"/>
  <c r="C48" i="7"/>
  <c r="AA51" i="4"/>
  <c r="H60" i="4"/>
  <c r="D57" i="7" s="1"/>
  <c r="C39" i="4" a="1"/>
  <c r="C39" i="4" s="1"/>
  <c r="B39" i="4" a="1"/>
  <c r="B39" i="4" s="1"/>
  <c r="S30" i="4"/>
  <c r="C27" i="7"/>
  <c r="C36" i="4" a="1"/>
  <c r="C36" i="4" s="1"/>
  <c r="D36" i="4"/>
  <c r="B36" i="4" a="1"/>
  <c r="B36" i="4" s="1"/>
  <c r="E10" i="4"/>
  <c r="AJ77" i="4" s="1"/>
  <c r="C17" i="4" a="1"/>
  <c r="C17" i="4" s="1"/>
  <c r="D28" i="4"/>
  <c r="B28" i="4" a="1"/>
  <c r="B28" i="4" s="1"/>
  <c r="H40" i="4"/>
  <c r="D37" i="7" s="1"/>
  <c r="E61" i="4"/>
  <c r="S51" i="4"/>
  <c r="H65" i="4"/>
  <c r="D62" i="7" s="1"/>
  <c r="E37" i="4"/>
  <c r="S35" i="4"/>
  <c r="AA35" i="4"/>
  <c r="D37" i="4"/>
  <c r="B37" i="4" a="1"/>
  <c r="B37" i="4" s="1"/>
  <c r="B76" i="4" a="1"/>
  <c r="B76" i="4" s="1"/>
  <c r="D76" i="4"/>
  <c r="C76" i="4" a="1"/>
  <c r="C76" i="4" s="1"/>
  <c r="E60" i="4"/>
  <c r="T28" i="4"/>
  <c r="T53" i="4"/>
  <c r="C24" i="4" a="1"/>
  <c r="C24" i="4" s="1"/>
  <c r="B24" i="4" a="1"/>
  <c r="B24" i="4" s="1"/>
  <c r="AQ57" i="4"/>
  <c r="E68" i="4"/>
  <c r="D59" i="4"/>
  <c r="B59" i="4" a="1"/>
  <c r="B59" i="4" s="1"/>
  <c r="C59" i="4" a="1"/>
  <c r="C59" i="4" s="1"/>
  <c r="E78" i="4"/>
  <c r="H29" i="4"/>
  <c r="H54" i="4"/>
  <c r="D31" i="4"/>
  <c r="E50" i="4"/>
  <c r="E76" i="4"/>
  <c r="H26" i="4"/>
  <c r="C70" i="4" a="1"/>
  <c r="C70" i="4" s="1"/>
  <c r="T22" i="4"/>
  <c r="H34" i="4"/>
  <c r="D31" i="7" s="1"/>
  <c r="D70" i="4"/>
  <c r="E58" i="4"/>
  <c r="D25" i="4"/>
  <c r="C25" i="4" a="1"/>
  <c r="C25" i="4" s="1"/>
  <c r="B25" i="4" a="1"/>
  <c r="B25" i="4" s="1"/>
  <c r="H31" i="4"/>
  <c r="D28" i="7" s="1"/>
  <c r="S70" i="4"/>
  <c r="C67" i="7"/>
  <c r="H69" i="4"/>
  <c r="D66" i="7" s="1"/>
  <c r="D56" i="4"/>
  <c r="D71" i="4"/>
  <c r="C71" i="4" a="1"/>
  <c r="C71" i="4" s="1"/>
  <c r="B71" i="4" a="1"/>
  <c r="B71" i="4" s="1"/>
  <c r="AQ56" i="4"/>
  <c r="B58" i="4" a="1"/>
  <c r="B58" i="4" s="1"/>
  <c r="C58" i="4" a="1"/>
  <c r="C58" i="4" s="1"/>
  <c r="AQ41" i="4"/>
  <c r="H71" i="4"/>
  <c r="D68" i="7" s="1"/>
  <c r="BP55" i="4"/>
  <c r="H61" i="4"/>
  <c r="D58" i="7" s="1"/>
  <c r="BP39" i="4"/>
  <c r="H70" i="4"/>
  <c r="D47" i="4"/>
  <c r="B47" i="4" a="1"/>
  <c r="B47" i="4" s="1"/>
  <c r="C40" i="7"/>
  <c r="S43" i="4"/>
  <c r="AA43" i="4"/>
  <c r="T47" i="4"/>
  <c r="E71" i="4"/>
  <c r="AQ51" i="4"/>
  <c r="AA52" i="4"/>
  <c r="AA7" i="2" a="1"/>
  <c r="AA7" i="2" s="1"/>
  <c r="E63" i="4"/>
  <c r="S56" i="4"/>
  <c r="BW61" i="4"/>
  <c r="E72" i="4"/>
  <c r="D54" i="4"/>
  <c r="C54" i="4" a="1"/>
  <c r="C54" i="4" s="1"/>
  <c r="B54" i="4" a="1"/>
  <c r="B54" i="4" s="1"/>
  <c r="H67" i="4"/>
  <c r="D64" i="7" s="1"/>
  <c r="B22" i="4" a="1"/>
  <c r="B22" i="4" s="1"/>
  <c r="B23" i="4" a="1"/>
  <c r="B23" i="4" s="1"/>
  <c r="B38" i="4" a="1"/>
  <c r="B38" i="4" s="1"/>
  <c r="BW45" i="4"/>
  <c r="E69" i="4"/>
  <c r="AQ45" i="4"/>
  <c r="C67" i="4" a="1"/>
  <c r="C67" i="4" s="1"/>
  <c r="B67" i="4" a="1"/>
  <c r="B67" i="4" s="1"/>
  <c r="D67" i="4"/>
  <c r="S74" i="4"/>
  <c r="AA74" i="4"/>
  <c r="C71" i="7"/>
  <c r="C72" i="7"/>
  <c r="AA75" i="4"/>
  <c r="C22" i="4" a="1"/>
  <c r="C22" i="4" s="1"/>
  <c r="C23" i="4" a="1"/>
  <c r="C23" i="4" s="1"/>
  <c r="E55" i="4"/>
  <c r="AQ34" i="4"/>
  <c r="C38" i="4" a="1"/>
  <c r="C38" i="4" s="1"/>
  <c r="E39" i="4"/>
  <c r="E21" i="4"/>
  <c r="E36" i="4"/>
  <c r="H39" i="4"/>
  <c r="D36" i="7" s="1"/>
  <c r="E42" i="4"/>
  <c r="AI53" i="4"/>
  <c r="C56" i="4" a="1"/>
  <c r="C56" i="4" s="1"/>
  <c r="S75" i="4"/>
  <c r="D78" i="4"/>
  <c r="C78" i="4" a="1"/>
  <c r="C78" i="4" s="1"/>
  <c r="D66" i="4"/>
  <c r="H68" i="4"/>
  <c r="D65" i="7" s="1"/>
  <c r="BP63" i="4"/>
  <c r="B57" i="4" a="1"/>
  <c r="B57" i="4" s="1"/>
  <c r="AQ71" i="4"/>
  <c r="T52" i="4"/>
  <c r="C57" i="4" a="1"/>
  <c r="C57" i="4" s="1"/>
  <c r="H63" i="4"/>
  <c r="D60" i="7" s="1"/>
  <c r="E67" i="4"/>
  <c r="AQ70" i="4"/>
  <c r="AQ77" i="4"/>
  <c r="H78" i="4"/>
  <c r="D75" i="7" s="1"/>
  <c r="R75" i="4"/>
  <c r="R97" i="4"/>
  <c r="C70" i="7"/>
  <c r="R69" i="4"/>
  <c r="R84" i="4"/>
  <c r="R89" i="4"/>
  <c r="BP69" i="4"/>
  <c r="BK69" i="4" s="1" a="1"/>
  <c r="BK69" i="4" s="1"/>
  <c r="R74" i="4"/>
  <c r="R102" i="4"/>
  <c r="BP65" i="4"/>
  <c r="BK65" i="4" s="1" a="1"/>
  <c r="BK65" i="4" s="1"/>
  <c r="R68" i="4"/>
  <c r="R72" i="4"/>
  <c r="AA73" i="4"/>
  <c r="R91" i="4"/>
  <c r="R64" i="4"/>
  <c r="R88" i="4"/>
  <c r="B38" i="2"/>
  <c r="AQ58" i="4" s="1"/>
  <c r="B60" i="2"/>
  <c r="B22" i="2"/>
  <c r="AQ65" i="4" s="1"/>
  <c r="B44" i="2"/>
  <c r="L74" i="4" a="1"/>
  <c r="L74" i="4" s="1"/>
  <c r="B24" i="2"/>
  <c r="B46" i="2"/>
  <c r="B27" i="2"/>
  <c r="T75" i="4" l="1"/>
  <c r="C36" i="7"/>
  <c r="AA39" i="4"/>
  <c r="S39" i="4"/>
  <c r="AJ45" i="4"/>
  <c r="AJ53" i="4"/>
  <c r="AL53" i="4" s="1"/>
  <c r="AJ52" i="4"/>
  <c r="AI10" i="4"/>
  <c r="AL10" i="4" s="1"/>
  <c r="AI33" i="4"/>
  <c r="S49" i="4"/>
  <c r="C46" i="7"/>
  <c r="AA49" i="4"/>
  <c r="AI46" i="4"/>
  <c r="AJ46" i="4"/>
  <c r="T15" i="4"/>
  <c r="B68" i="4" a="1"/>
  <c r="B68" i="4" s="1"/>
  <c r="D68" i="4"/>
  <c r="C68" i="4" a="1"/>
  <c r="C68" i="4" s="1"/>
  <c r="AQ64" i="4"/>
  <c r="D51" i="7"/>
  <c r="AA54" i="4"/>
  <c r="T54" i="4"/>
  <c r="AJ57" i="4"/>
  <c r="T40" i="4"/>
  <c r="C38" i="7"/>
  <c r="S41" i="4"/>
  <c r="AA41" i="4"/>
  <c r="C29" i="7"/>
  <c r="AA32" i="4"/>
  <c r="S32" i="4"/>
  <c r="AI23" i="4"/>
  <c r="AL23" i="4" s="1"/>
  <c r="T20" i="4"/>
  <c r="AI17" i="4"/>
  <c r="T35" i="4"/>
  <c r="AI26" i="4"/>
  <c r="D69" i="4"/>
  <c r="C69" i="4" a="1"/>
  <c r="C69" i="4" s="1"/>
  <c r="B69" i="4" a="1"/>
  <c r="B69" i="4" s="1"/>
  <c r="C33" i="7"/>
  <c r="AA36" i="4"/>
  <c r="S36" i="4"/>
  <c r="AJ69" i="4"/>
  <c r="T77" i="4"/>
  <c r="AI15" i="4"/>
  <c r="AJ34" i="4"/>
  <c r="AQ59" i="4"/>
  <c r="AI32" i="4"/>
  <c r="C68" i="7"/>
  <c r="S71" i="4"/>
  <c r="AA71" i="4"/>
  <c r="AQ46" i="4"/>
  <c r="D23" i="7"/>
  <c r="AA26" i="4"/>
  <c r="AQ69" i="4"/>
  <c r="C7" i="7"/>
  <c r="S10" i="4"/>
  <c r="AA10" i="4"/>
  <c r="AJ32" i="4"/>
  <c r="AI14" i="4"/>
  <c r="AI9" i="4"/>
  <c r="AJ9" i="4"/>
  <c r="AJ8" i="4"/>
  <c r="AI27" i="4"/>
  <c r="AI8" i="4"/>
  <c r="AJ16" i="4"/>
  <c r="AJ41" i="4"/>
  <c r="C30" i="7"/>
  <c r="AA33" i="4"/>
  <c r="S33" i="4"/>
  <c r="AI40" i="4"/>
  <c r="S57" i="4"/>
  <c r="C54" i="7"/>
  <c r="AA57" i="4"/>
  <c r="B74" i="4" a="1"/>
  <c r="B74" i="4" s="1"/>
  <c r="D74" i="4"/>
  <c r="C74" i="4" a="1"/>
  <c r="C74" i="4" s="1"/>
  <c r="T48" i="4"/>
  <c r="AI56" i="4"/>
  <c r="T56" i="4"/>
  <c r="AQ35" i="4"/>
  <c r="AJ50" i="4"/>
  <c r="B75" i="4" a="1"/>
  <c r="B75" i="4" s="1"/>
  <c r="D75" i="4"/>
  <c r="C75" i="4" a="1"/>
  <c r="C75" i="4" s="1"/>
  <c r="AA67" i="4"/>
  <c r="C64" i="7"/>
  <c r="S67" i="4"/>
  <c r="AJ51" i="4"/>
  <c r="C73" i="7"/>
  <c r="S76" i="4"/>
  <c r="AA76" i="4"/>
  <c r="C34" i="7"/>
  <c r="AA37" i="4"/>
  <c r="S37" i="4"/>
  <c r="T64" i="4"/>
  <c r="S62" i="4"/>
  <c r="C59" i="7"/>
  <c r="AA62" i="4"/>
  <c r="AJ75" i="4"/>
  <c r="C72" i="4" a="1"/>
  <c r="C72" i="4" s="1"/>
  <c r="D72" i="4"/>
  <c r="B72" i="4" a="1"/>
  <c r="B72" i="4" s="1"/>
  <c r="AJ44" i="4"/>
  <c r="T9" i="4"/>
  <c r="AI34" i="4"/>
  <c r="AQ16" i="4"/>
  <c r="T70" i="4"/>
  <c r="S78" i="4"/>
  <c r="AA78" i="4"/>
  <c r="C75" i="7"/>
  <c r="AA64" i="4"/>
  <c r="AI29" i="4"/>
  <c r="AJ70" i="4"/>
  <c r="AJ14" i="4"/>
  <c r="AJ28" i="4"/>
  <c r="T46" i="4"/>
  <c r="C39" i="7"/>
  <c r="AA42" i="4"/>
  <c r="S42" i="4"/>
  <c r="AI57" i="4"/>
  <c r="AI47" i="4"/>
  <c r="AJ71" i="4"/>
  <c r="AL71" i="4" s="1"/>
  <c r="AI41" i="4"/>
  <c r="AI68" i="4"/>
  <c r="AQ76" i="4"/>
  <c r="AQ74" i="4"/>
  <c r="AQ40" i="4"/>
  <c r="AQ23" i="4"/>
  <c r="AQ22" i="4"/>
  <c r="AQ21" i="4"/>
  <c r="AQ39" i="4"/>
  <c r="AQ32" i="4"/>
  <c r="AQ75" i="4"/>
  <c r="AQ26" i="4"/>
  <c r="AQ20" i="4"/>
  <c r="AQ11" i="4"/>
  <c r="AQ28" i="4"/>
  <c r="AQ47" i="4"/>
  <c r="AQ10" i="4"/>
  <c r="AQ8" i="4"/>
  <c r="AQ9" i="4"/>
  <c r="AQ27" i="4"/>
  <c r="AQ15" i="4"/>
  <c r="AJ76" i="4"/>
  <c r="AI58" i="4"/>
  <c r="C18" i="7"/>
  <c r="S21" i="4"/>
  <c r="AA21" i="4"/>
  <c r="AI44" i="4"/>
  <c r="T43" i="4"/>
  <c r="T12" i="4"/>
  <c r="AA44" i="4"/>
  <c r="S44" i="4"/>
  <c r="C41" i="7"/>
  <c r="AJ29" i="4"/>
  <c r="AI28" i="4"/>
  <c r="T11" i="4"/>
  <c r="AI63" i="4"/>
  <c r="C66" i="7"/>
  <c r="AA69" i="4"/>
  <c r="S69" i="4"/>
  <c r="AJ68" i="4"/>
  <c r="AJ40" i="4"/>
  <c r="T74" i="4"/>
  <c r="T30" i="4"/>
  <c r="C31" i="7"/>
  <c r="S34" i="4"/>
  <c r="AA34" i="4"/>
  <c r="AJ63" i="4"/>
  <c r="AI35" i="4"/>
  <c r="AQ14" i="4"/>
  <c r="T45" i="4"/>
  <c r="AI70" i="4"/>
  <c r="AL70" i="4" s="1"/>
  <c r="AI45" i="4"/>
  <c r="AL45" i="4" s="1"/>
  <c r="AI51" i="4"/>
  <c r="AI20" i="4"/>
  <c r="AI74" i="4"/>
  <c r="AJ39" i="4"/>
  <c r="AI52" i="4"/>
  <c r="C47" i="7"/>
  <c r="S50" i="4"/>
  <c r="AA50" i="4"/>
  <c r="AJ62" i="4"/>
  <c r="AJ35" i="4"/>
  <c r="AQ29" i="4"/>
  <c r="AJ74" i="4"/>
  <c r="AJ64" i="4"/>
  <c r="S72" i="4"/>
  <c r="C69" i="7"/>
  <c r="AA72" i="4"/>
  <c r="AI38" i="4"/>
  <c r="AJ17" i="4"/>
  <c r="AI22" i="4"/>
  <c r="C64" i="4" a="1"/>
  <c r="C64" i="4" s="1"/>
  <c r="B64" i="4" a="1"/>
  <c r="B64" i="4" s="1"/>
  <c r="D64" i="4"/>
  <c r="AQ68" i="4"/>
  <c r="AQ53" i="4"/>
  <c r="AQ52" i="4"/>
  <c r="S58" i="4"/>
  <c r="AA58" i="4"/>
  <c r="C55" i="7"/>
  <c r="AI65" i="4"/>
  <c r="AJ10" i="4"/>
  <c r="AJ26" i="4"/>
  <c r="AJ38" i="4"/>
  <c r="C62" i="7"/>
  <c r="S65" i="4"/>
  <c r="AA65" i="4"/>
  <c r="AJ22" i="4"/>
  <c r="AJ58" i="4"/>
  <c r="C28" i="7"/>
  <c r="S31" i="4"/>
  <c r="AA31" i="4"/>
  <c r="AI21" i="4"/>
  <c r="AI69" i="4"/>
  <c r="S59" i="4"/>
  <c r="C56" i="7"/>
  <c r="AA59" i="4"/>
  <c r="C52" i="7"/>
  <c r="S55" i="4"/>
  <c r="AA55" i="4"/>
  <c r="T51" i="4"/>
  <c r="C35" i="7"/>
  <c r="AA38" i="4"/>
  <c r="S38" i="4"/>
  <c r="AJ21" i="4"/>
  <c r="D67" i="7"/>
  <c r="AA70" i="4"/>
  <c r="AJ33" i="4"/>
  <c r="AQ63" i="4"/>
  <c r="AQ44" i="4"/>
  <c r="AQ33" i="4"/>
  <c r="AJ15" i="4"/>
  <c r="C14" i="7"/>
  <c r="AA17" i="4"/>
  <c r="S17" i="4"/>
  <c r="T13" i="4"/>
  <c r="AI16" i="4"/>
  <c r="AJ20" i="4"/>
  <c r="AI59" i="4"/>
  <c r="AL59" i="4" s="1"/>
  <c r="T19" i="4"/>
  <c r="AI11" i="4"/>
  <c r="AA40" i="4"/>
  <c r="D26" i="7"/>
  <c r="AA29" i="4"/>
  <c r="T29" i="4"/>
  <c r="AI77" i="4"/>
  <c r="AL77" i="4" s="1"/>
  <c r="AJ59" i="4"/>
  <c r="AI76" i="4"/>
  <c r="C60" i="7"/>
  <c r="AA63" i="4"/>
  <c r="S63" i="4"/>
  <c r="AJ65" i="4"/>
  <c r="AI62" i="4"/>
  <c r="AI64" i="4"/>
  <c r="C11" i="7"/>
  <c r="AA14" i="4"/>
  <c r="S14" i="4"/>
  <c r="AI39" i="4"/>
  <c r="AJ47" i="4"/>
  <c r="C65" i="7"/>
  <c r="AA68" i="4"/>
  <c r="S68" i="4"/>
  <c r="S60" i="4"/>
  <c r="C57" i="7"/>
  <c r="AA60" i="4"/>
  <c r="AA61" i="4"/>
  <c r="C58" i="7"/>
  <c r="S61" i="4"/>
  <c r="AJ11" i="4"/>
  <c r="T8" i="4"/>
  <c r="AI50" i="4"/>
  <c r="AJ56" i="4"/>
  <c r="AJ27" i="4"/>
  <c r="AI75" i="4"/>
  <c r="AL64" i="4" l="1"/>
  <c r="AL75" i="4"/>
  <c r="AL11" i="4"/>
  <c r="AL39" i="4"/>
  <c r="AL9" i="4"/>
  <c r="AL58" i="4"/>
  <c r="AL34" i="4"/>
  <c r="AL57" i="4"/>
  <c r="AL33" i="4"/>
  <c r="AL16" i="4"/>
  <c r="AL69" i="4"/>
  <c r="AL63" i="4"/>
  <c r="AL40" i="4"/>
  <c r="AL52" i="4"/>
  <c r="AL15" i="4"/>
  <c r="T60" i="4"/>
  <c r="T68" i="4"/>
  <c r="T57" i="4"/>
  <c r="T10" i="4"/>
  <c r="AG16" i="4" s="1"/>
  <c r="T58" i="4"/>
  <c r="T59" i="4"/>
  <c r="AL46" i="4"/>
  <c r="AL21" i="4"/>
  <c r="T34" i="4"/>
  <c r="AL29" i="4"/>
  <c r="T67" i="4"/>
  <c r="T41" i="4"/>
  <c r="AL44" i="4"/>
  <c r="AI48" i="4"/>
  <c r="T33" i="4"/>
  <c r="T14" i="4"/>
  <c r="T21" i="4"/>
  <c r="AG20" i="4" s="1"/>
  <c r="T49" i="4"/>
  <c r="T31" i="4"/>
  <c r="T69" i="4"/>
  <c r="AL74" i="4"/>
  <c r="AI78" i="4"/>
  <c r="AI54" i="4"/>
  <c r="AL50" i="4"/>
  <c r="T65" i="4"/>
  <c r="AL22" i="4"/>
  <c r="AI24" i="4"/>
  <c r="AL20" i="4"/>
  <c r="AL68" i="4"/>
  <c r="AI72" i="4"/>
  <c r="T78" i="4"/>
  <c r="T62" i="4"/>
  <c r="T71" i="4"/>
  <c r="AI30" i="4"/>
  <c r="AL26" i="4"/>
  <c r="T39" i="4"/>
  <c r="T50" i="4"/>
  <c r="AL41" i="4"/>
  <c r="AF77" i="4"/>
  <c r="AI42" i="4"/>
  <c r="AL38" i="4"/>
  <c r="AI66" i="4"/>
  <c r="AL62" i="4"/>
  <c r="T17" i="4"/>
  <c r="AL28" i="4"/>
  <c r="AL47" i="4"/>
  <c r="T37" i="4"/>
  <c r="AI60" i="4"/>
  <c r="AL56" i="4"/>
  <c r="AL17" i="4"/>
  <c r="AF51" i="4"/>
  <c r="T38" i="4"/>
  <c r="AL32" i="4"/>
  <c r="AI36" i="4"/>
  <c r="T63" i="4"/>
  <c r="T42" i="4"/>
  <c r="AF16" i="4" s="1"/>
  <c r="AL8" i="4"/>
  <c r="AI12" i="4"/>
  <c r="T72" i="4"/>
  <c r="T44" i="4"/>
  <c r="AL27" i="4"/>
  <c r="AG38" i="4"/>
  <c r="T36" i="4"/>
  <c r="AL76" i="4"/>
  <c r="T55" i="4"/>
  <c r="AL35" i="4"/>
  <c r="T32" i="4"/>
  <c r="AL51" i="4"/>
  <c r="AF52" i="4"/>
  <c r="AF8" i="4"/>
  <c r="AH71" i="4"/>
  <c r="AG17" i="4"/>
  <c r="AG51" i="4"/>
  <c r="AG47" i="4"/>
  <c r="T61" i="4"/>
  <c r="AL65" i="4"/>
  <c r="T76" i="4"/>
  <c r="AF28" i="4"/>
  <c r="AI18" i="4"/>
  <c r="AL14" i="4"/>
  <c r="AN51" i="4" l="1"/>
  <c r="AN16" i="4"/>
  <c r="AG52" i="4"/>
  <c r="AN52" i="4" s="1"/>
  <c r="AH9" i="4"/>
  <c r="AH10" i="4"/>
  <c r="AG41" i="4"/>
  <c r="AH20" i="4"/>
  <c r="AF75" i="4"/>
  <c r="AF9" i="4"/>
  <c r="AM22" i="4"/>
  <c r="AF56" i="4"/>
  <c r="AH28" i="4"/>
  <c r="AH58" i="4"/>
  <c r="AH75" i="4"/>
  <c r="AH65" i="4"/>
  <c r="AG33" i="4"/>
  <c r="AM51" i="4"/>
  <c r="AF44" i="4"/>
  <c r="AF64" i="4"/>
  <c r="AH45" i="4"/>
  <c r="AL36" i="4"/>
  <c r="AM35" i="4" s="1"/>
  <c r="AM32" i="4"/>
  <c r="AL30" i="4"/>
  <c r="AM27" i="4" s="1"/>
  <c r="AL54" i="4"/>
  <c r="AG15" i="4"/>
  <c r="AG77" i="4"/>
  <c r="AN77" i="4" s="1"/>
  <c r="AG68" i="4"/>
  <c r="AH74" i="4"/>
  <c r="AF59" i="4"/>
  <c r="AL24" i="4"/>
  <c r="AM23" i="4" s="1"/>
  <c r="AM20" i="4"/>
  <c r="AF21" i="4"/>
  <c r="AG35" i="4"/>
  <c r="AF35" i="4"/>
  <c r="AH53" i="4"/>
  <c r="AH14" i="4"/>
  <c r="AF46" i="4"/>
  <c r="AG56" i="4"/>
  <c r="AF47" i="4"/>
  <c r="AN47" i="4" s="1"/>
  <c r="AF62" i="4"/>
  <c r="AH34" i="4"/>
  <c r="AF69" i="4"/>
  <c r="AG45" i="4"/>
  <c r="AG50" i="4"/>
  <c r="AG40" i="4"/>
  <c r="AH22" i="4"/>
  <c r="AF68" i="4"/>
  <c r="AG14" i="4"/>
  <c r="AG18" i="4" s="1"/>
  <c r="AG26" i="4"/>
  <c r="AF63" i="4"/>
  <c r="AF65" i="4"/>
  <c r="AF15" i="4"/>
  <c r="AN15" i="4" s="1"/>
  <c r="AG22" i="4"/>
  <c r="AF50" i="4"/>
  <c r="AG28" i="4"/>
  <c r="AN28" i="4" s="1"/>
  <c r="AH8" i="4"/>
  <c r="AG39" i="4"/>
  <c r="AG70" i="4"/>
  <c r="AH29" i="4"/>
  <c r="AG58" i="4"/>
  <c r="AG9" i="4"/>
  <c r="AF41" i="4"/>
  <c r="AN41" i="4" s="1"/>
  <c r="AF33" i="4"/>
  <c r="AN33" i="4" s="1"/>
  <c r="AG27" i="4"/>
  <c r="AF34" i="4"/>
  <c r="AN34" i="4" s="1"/>
  <c r="AH44" i="4"/>
  <c r="AH48" i="4" s="1"/>
  <c r="AG32" i="4"/>
  <c r="AF14" i="4"/>
  <c r="AG53" i="4"/>
  <c r="AF23" i="4"/>
  <c r="AH40" i="4"/>
  <c r="AF32" i="4"/>
  <c r="AF10" i="4"/>
  <c r="AF58" i="4"/>
  <c r="AG75" i="4"/>
  <c r="AH26" i="4"/>
  <c r="AG57" i="4"/>
  <c r="AF45" i="4"/>
  <c r="AG34" i="4"/>
  <c r="AH35" i="4"/>
  <c r="AF57" i="4"/>
  <c r="AL78" i="4"/>
  <c r="AM76" i="4" s="1"/>
  <c r="AM74" i="4"/>
  <c r="AF27" i="4"/>
  <c r="AG10" i="4"/>
  <c r="AH47" i="4"/>
  <c r="AL60" i="4"/>
  <c r="AM56" i="4" s="1"/>
  <c r="AG59" i="4"/>
  <c r="AG46" i="4"/>
  <c r="AF40" i="4"/>
  <c r="AN40" i="4" s="1"/>
  <c r="AH41" i="4"/>
  <c r="AG29" i="4"/>
  <c r="AH69" i="4"/>
  <c r="AL18" i="4"/>
  <c r="AM17" i="4" s="1"/>
  <c r="AM14" i="4"/>
  <c r="AF74" i="4"/>
  <c r="AF38" i="4"/>
  <c r="AF11" i="4"/>
  <c r="AH27" i="4"/>
  <c r="AH16" i="4"/>
  <c r="AL66" i="4"/>
  <c r="AM62" i="4" s="1"/>
  <c r="AG65" i="4"/>
  <c r="AH17" i="4"/>
  <c r="AF22" i="4"/>
  <c r="AH68" i="4"/>
  <c r="AH52" i="4"/>
  <c r="AH70" i="4"/>
  <c r="AH15" i="4"/>
  <c r="AF26" i="4"/>
  <c r="AH11" i="4"/>
  <c r="AH46" i="4"/>
  <c r="AF76" i="4"/>
  <c r="AL42" i="4"/>
  <c r="AM41" i="4" s="1"/>
  <c r="AL48" i="4"/>
  <c r="AM45" i="4" s="1"/>
  <c r="AH21" i="4"/>
  <c r="AG76" i="4"/>
  <c r="AG64" i="4"/>
  <c r="AF71" i="4"/>
  <c r="AN71" i="4" s="1"/>
  <c r="AH64" i="4"/>
  <c r="AF20" i="4"/>
  <c r="AH32" i="4"/>
  <c r="AG63" i="4"/>
  <c r="AG69" i="4"/>
  <c r="AF39" i="4"/>
  <c r="AN39" i="4" s="1"/>
  <c r="AF17" i="4"/>
  <c r="AN17" i="4" s="1"/>
  <c r="AG74" i="4"/>
  <c r="AG78" i="4" s="1"/>
  <c r="AG21" i="4"/>
  <c r="AH39" i="4"/>
  <c r="AG23" i="4"/>
  <c r="AH76" i="4"/>
  <c r="AH23" i="4"/>
  <c r="AH38" i="4"/>
  <c r="AH62" i="4"/>
  <c r="AG71" i="4"/>
  <c r="AF70" i="4"/>
  <c r="AG62" i="4"/>
  <c r="AG11" i="4"/>
  <c r="AH56" i="4"/>
  <c r="AF29" i="4"/>
  <c r="AN29" i="4" s="1"/>
  <c r="AF53" i="4"/>
  <c r="AH51" i="4"/>
  <c r="AM21" i="4"/>
  <c r="AH57" i="4"/>
  <c r="AH77" i="4"/>
  <c r="AH50" i="4"/>
  <c r="AG8" i="4"/>
  <c r="AH59" i="4"/>
  <c r="AH63" i="4"/>
  <c r="AL12" i="4"/>
  <c r="AM8" i="4" s="1"/>
  <c r="AH33" i="4"/>
  <c r="AL72" i="4"/>
  <c r="AG44" i="4"/>
  <c r="AN57" i="4" l="1"/>
  <c r="U68" i="4" s="1"/>
  <c r="AG12" i="4"/>
  <c r="AN35" i="4"/>
  <c r="U40" i="4" s="1"/>
  <c r="AG24" i="4"/>
  <c r="AF12" i="4"/>
  <c r="AH36" i="4"/>
  <c r="AH30" i="4"/>
  <c r="AN63" i="4"/>
  <c r="U75" i="4" s="1"/>
  <c r="AG30" i="4"/>
  <c r="AN58" i="4"/>
  <c r="AN59" i="4"/>
  <c r="U47" i="4" s="1"/>
  <c r="AH54" i="4"/>
  <c r="AN27" i="4"/>
  <c r="AN21" i="4"/>
  <c r="AM29" i="4"/>
  <c r="AM24" i="4"/>
  <c r="AN70" i="4"/>
  <c r="AN76" i="4"/>
  <c r="U27" i="4" s="1"/>
  <c r="AG42" i="4"/>
  <c r="AM38" i="4"/>
  <c r="U24" i="4"/>
  <c r="U58" i="4"/>
  <c r="AN10" i="4"/>
  <c r="AN65" i="4"/>
  <c r="AM12" i="4"/>
  <c r="AN14" i="4"/>
  <c r="AF18" i="4"/>
  <c r="AH78" i="4"/>
  <c r="AN53" i="4"/>
  <c r="U19" i="4" s="1"/>
  <c r="AH72" i="4"/>
  <c r="AG36" i="4"/>
  <c r="AM65" i="4"/>
  <c r="AN9" i="4"/>
  <c r="AN22" i="4"/>
  <c r="AF24" i="4"/>
  <c r="AN20" i="4"/>
  <c r="AH24" i="4"/>
  <c r="AF60" i="4"/>
  <c r="AN56" i="4"/>
  <c r="AN75" i="4"/>
  <c r="U52" i="4" s="1"/>
  <c r="AN69" i="4"/>
  <c r="U32" i="4"/>
  <c r="U61" i="4"/>
  <c r="AM53" i="4"/>
  <c r="AM52" i="4"/>
  <c r="AF30" i="4"/>
  <c r="AN26" i="4"/>
  <c r="U65" i="4" s="1"/>
  <c r="AN8" i="4"/>
  <c r="U66" i="4"/>
  <c r="U42" i="4"/>
  <c r="AF66" i="4"/>
  <c r="AN62" i="4"/>
  <c r="AM50" i="4"/>
  <c r="AN23" i="4"/>
  <c r="AH60" i="4"/>
  <c r="AM75" i="4"/>
  <c r="AM77" i="4"/>
  <c r="AN46" i="4"/>
  <c r="AM47" i="4"/>
  <c r="AN44" i="4"/>
  <c r="AF48" i="4"/>
  <c r="AF36" i="4"/>
  <c r="AN32" i="4"/>
  <c r="U63" i="4"/>
  <c r="U30" i="4"/>
  <c r="AG48" i="4"/>
  <c r="AM28" i="4"/>
  <c r="AH66" i="4"/>
  <c r="AN38" i="4"/>
  <c r="U64" i="4" s="1"/>
  <c r="AF42" i="4"/>
  <c r="AH18" i="4"/>
  <c r="U71" i="4"/>
  <c r="U18" i="4"/>
  <c r="AG72" i="4"/>
  <c r="AG60" i="4"/>
  <c r="AM26" i="4"/>
  <c r="AN11" i="4"/>
  <c r="AM71" i="4"/>
  <c r="AM69" i="4"/>
  <c r="AM70" i="4"/>
  <c r="AM68" i="4"/>
  <c r="AM46" i="4"/>
  <c r="AF78" i="4"/>
  <c r="AN74" i="4"/>
  <c r="AM33" i="4"/>
  <c r="AM34" i="4"/>
  <c r="AM40" i="4"/>
  <c r="AM39" i="4"/>
  <c r="U38" i="4"/>
  <c r="AM59" i="4"/>
  <c r="AM57" i="4"/>
  <c r="AM58" i="4"/>
  <c r="AN45" i="4"/>
  <c r="U46" i="4" s="1"/>
  <c r="U14" i="4"/>
  <c r="AN50" i="4"/>
  <c r="AF54" i="4"/>
  <c r="AM15" i="4"/>
  <c r="AM16" i="4"/>
  <c r="AN68" i="4"/>
  <c r="U77" i="4" s="1"/>
  <c r="AF72" i="4"/>
  <c r="AG54" i="4"/>
  <c r="AG66" i="4"/>
  <c r="AM64" i="4"/>
  <c r="AM63" i="4"/>
  <c r="AM66" i="4" s="1"/>
  <c r="U70" i="4"/>
  <c r="AH42" i="4"/>
  <c r="AH12" i="4"/>
  <c r="AM10" i="4"/>
  <c r="AM9" i="4"/>
  <c r="AM11" i="4"/>
  <c r="AM44" i="4"/>
  <c r="U12" i="4"/>
  <c r="AN64" i="4"/>
  <c r="U15" i="4" l="1"/>
  <c r="AM78" i="4"/>
  <c r="AM60" i="4"/>
  <c r="AM18" i="4"/>
  <c r="AM30" i="4"/>
  <c r="AM54" i="4"/>
  <c r="AM36" i="4"/>
  <c r="W52" i="4"/>
  <c r="V52" i="4"/>
  <c r="W70" i="4"/>
  <c r="V70" i="4"/>
  <c r="W65" i="4"/>
  <c r="V65" i="4"/>
  <c r="W30" i="4"/>
  <c r="V30" i="4"/>
  <c r="AN60" i="4"/>
  <c r="U23" i="4"/>
  <c r="U48" i="4"/>
  <c r="V77" i="4"/>
  <c r="W77" i="4"/>
  <c r="W42" i="4"/>
  <c r="V42" i="4"/>
  <c r="U67" i="4"/>
  <c r="U50" i="4"/>
  <c r="U76" i="4"/>
  <c r="AN36" i="4"/>
  <c r="U16" i="4"/>
  <c r="U39" i="4"/>
  <c r="U8" i="4"/>
  <c r="V24" i="4"/>
  <c r="W24" i="4"/>
  <c r="AN78" i="4"/>
  <c r="U28" i="4"/>
  <c r="U51" i="4"/>
  <c r="AN30" i="4"/>
  <c r="U37" i="4"/>
  <c r="U10" i="4"/>
  <c r="U11" i="4"/>
  <c r="U21" i="4"/>
  <c r="U60" i="4"/>
  <c r="AM42" i="4"/>
  <c r="V46" i="4"/>
  <c r="W46" i="4"/>
  <c r="AN18" i="4"/>
  <c r="U9" i="4"/>
  <c r="U33" i="4"/>
  <c r="W19" i="4"/>
  <c r="V19" i="4"/>
  <c r="V38" i="4"/>
  <c r="W38" i="4"/>
  <c r="AN72" i="4"/>
  <c r="U53" i="4"/>
  <c r="U29" i="4"/>
  <c r="W71" i="4"/>
  <c r="V71" i="4"/>
  <c r="AN48" i="4"/>
  <c r="U22" i="4"/>
  <c r="U45" i="4"/>
  <c r="U26" i="4"/>
  <c r="AN54" i="4"/>
  <c r="U20" i="4"/>
  <c r="U44" i="4"/>
  <c r="W14" i="4"/>
  <c r="V14" i="4"/>
  <c r="AM72" i="4"/>
  <c r="AN42" i="4"/>
  <c r="U17" i="4"/>
  <c r="U41" i="4"/>
  <c r="W61" i="4"/>
  <c r="V61" i="4"/>
  <c r="U73" i="4"/>
  <c r="U78" i="4"/>
  <c r="U54" i="4"/>
  <c r="AN66" i="4"/>
  <c r="U25" i="4"/>
  <c r="U49" i="4"/>
  <c r="W75" i="4"/>
  <c r="V75" i="4"/>
  <c r="W64" i="4"/>
  <c r="V64" i="4"/>
  <c r="V15" i="4"/>
  <c r="W15" i="4"/>
  <c r="W66" i="4"/>
  <c r="V66" i="4"/>
  <c r="W18" i="4"/>
  <c r="V18" i="4"/>
  <c r="AN12" i="4"/>
  <c r="U7" i="4"/>
  <c r="U34" i="4"/>
  <c r="AN24" i="4"/>
  <c r="U13" i="4"/>
  <c r="U35" i="4"/>
  <c r="W27" i="4"/>
  <c r="V27" i="4"/>
  <c r="W12" i="4"/>
  <c r="V12" i="4"/>
  <c r="AM48" i="4"/>
  <c r="U62" i="4"/>
  <c r="U43" i="4"/>
  <c r="U72" i="4"/>
  <c r="U74" i="4"/>
  <c r="W63" i="4"/>
  <c r="V63" i="4"/>
  <c r="W47" i="4"/>
  <c r="V47" i="4"/>
  <c r="V58" i="4"/>
  <c r="W58" i="4"/>
  <c r="W40" i="4"/>
  <c r="V40" i="4"/>
  <c r="V68" i="4"/>
  <c r="W68" i="4"/>
  <c r="U55" i="4"/>
  <c r="U36" i="4"/>
  <c r="U57" i="4"/>
  <c r="U56" i="4"/>
  <c r="W32" i="4"/>
  <c r="V32" i="4"/>
  <c r="U69" i="4"/>
  <c r="U59" i="4"/>
  <c r="U31" i="4"/>
  <c r="V60" i="4" l="1"/>
  <c r="W60" i="4"/>
  <c r="V67" i="4"/>
  <c r="W67" i="4"/>
  <c r="W21" i="4"/>
  <c r="V21" i="4"/>
  <c r="W62" i="4"/>
  <c r="V62" i="4"/>
  <c r="V78" i="4"/>
  <c r="W78" i="4"/>
  <c r="V25" i="4"/>
  <c r="W25" i="4"/>
  <c r="W29" i="4"/>
  <c r="V29" i="4"/>
  <c r="W37" i="4"/>
  <c r="V37" i="4"/>
  <c r="W36" i="4"/>
  <c r="V36" i="4"/>
  <c r="W57" i="4"/>
  <c r="V57" i="4"/>
  <c r="W22" i="4"/>
  <c r="V22" i="4"/>
  <c r="W11" i="4"/>
  <c r="V11" i="4"/>
  <c r="W10" i="4"/>
  <c r="V10" i="4"/>
  <c r="W48" i="4"/>
  <c r="V48" i="4"/>
  <c r="AT77" i="4" a="1"/>
  <c r="AT77" i="4" s="1"/>
  <c r="AT75" i="4" a="1"/>
  <c r="AT75" i="4" s="1"/>
  <c r="AU75" i="4" a="1"/>
  <c r="AU75" i="4" s="1"/>
  <c r="AU63" i="4" a="1"/>
  <c r="AU63" i="4" s="1"/>
  <c r="AU76" i="4" a="1"/>
  <c r="AU76" i="4" s="1"/>
  <c r="AU74" i="4" a="1"/>
  <c r="AU74" i="4" s="1"/>
  <c r="AU68" i="4" a="1"/>
  <c r="AU68" i="4" s="1"/>
  <c r="AV76" i="4" a="1"/>
  <c r="AV76" i="4" s="1"/>
  <c r="AV64" i="4" a="1"/>
  <c r="AV64" i="4" s="1"/>
  <c r="AV63" i="4" a="1"/>
  <c r="AV63" i="4" s="1"/>
  <c r="AX63" i="4" s="1"/>
  <c r="AW68" i="4" a="1"/>
  <c r="AW68" i="4" s="1"/>
  <c r="AT76" i="4" a="1"/>
  <c r="AT76" i="4" s="1"/>
  <c r="AT64" i="4" a="1"/>
  <c r="AT64" i="4" s="1"/>
  <c r="AW74" i="4" a="1"/>
  <c r="AW74" i="4" s="1"/>
  <c r="AV74" i="4" a="1"/>
  <c r="AV74" i="4" s="1"/>
  <c r="AW77" i="4" a="1"/>
  <c r="AW77" i="4" s="1"/>
  <c r="AV75" i="4" a="1"/>
  <c r="AV75" i="4" s="1"/>
  <c r="AV70" i="4" a="1"/>
  <c r="AV70" i="4" s="1"/>
  <c r="AW71" i="4" a="1"/>
  <c r="AW71" i="4" s="1"/>
  <c r="AW64" i="4" a="1"/>
  <c r="AW64" i="4" s="1"/>
  <c r="AW63" i="4" a="1"/>
  <c r="AW63" i="4" s="1"/>
  <c r="AV40" i="4" a="1"/>
  <c r="AV40" i="4" s="1"/>
  <c r="AU40" i="4" a="1"/>
  <c r="AU40" i="4" s="1"/>
  <c r="AW27" i="4" a="1"/>
  <c r="AW27" i="4" s="1"/>
  <c r="AW21" i="4" a="1"/>
  <c r="AW21" i="4" s="1"/>
  <c r="AW23" i="4" a="1"/>
  <c r="AW23" i="4" s="1"/>
  <c r="AT40" i="4" a="1"/>
  <c r="AT40" i="4" s="1"/>
  <c r="AV27" i="4" a="1"/>
  <c r="AV27" i="4" s="1"/>
  <c r="AU70" i="4" a="1"/>
  <c r="AU70" i="4" s="1"/>
  <c r="AU64" i="4" a="1"/>
  <c r="AU64" i="4" s="1"/>
  <c r="AV59" i="4" a="1"/>
  <c r="AV59" i="4" s="1"/>
  <c r="AT63" i="4" a="1"/>
  <c r="AT63" i="4" s="1"/>
  <c r="AW58" i="4" a="1"/>
  <c r="AW58" i="4" s="1"/>
  <c r="AU59" i="4" a="1"/>
  <c r="AU59" i="4" s="1"/>
  <c r="AV58" i="4" a="1"/>
  <c r="AV58" i="4" s="1"/>
  <c r="AU58" i="4" a="1"/>
  <c r="AU58" i="4" s="1"/>
  <c r="AU32" i="4" a="1"/>
  <c r="AU32" i="4" s="1"/>
  <c r="AU28" i="4" a="1"/>
  <c r="AU28" i="4" s="1"/>
  <c r="AT32" i="4" a="1"/>
  <c r="AT32" i="4" s="1"/>
  <c r="AT28" i="4" a="1"/>
  <c r="AT28" i="4" s="1"/>
  <c r="AV68" i="4" a="1"/>
  <c r="AV68" i="4" s="1"/>
  <c r="AW40" i="4" a="1"/>
  <c r="AW40" i="4" s="1"/>
  <c r="AV34" i="4" a="1"/>
  <c r="AV34" i="4" s="1"/>
  <c r="AV22" i="4" a="1"/>
  <c r="AV22" i="4" s="1"/>
  <c r="AW45" i="4" a="1"/>
  <c r="AW45" i="4" s="1"/>
  <c r="AW41" i="4" a="1"/>
  <c r="AW41" i="4" s="1"/>
  <c r="AW51" i="4" a="1"/>
  <c r="AW51" i="4" s="1"/>
  <c r="AV45" i="4" a="1"/>
  <c r="AV45" i="4" s="1"/>
  <c r="AX45" i="4" s="1"/>
  <c r="AU41" i="4" a="1"/>
  <c r="AU41" i="4" s="1"/>
  <c r="AU34" i="4" a="1"/>
  <c r="AU34" i="4" s="1"/>
  <c r="AT33" i="4" a="1"/>
  <c r="AT33" i="4" s="1"/>
  <c r="AW28" i="4" a="1"/>
  <c r="AW28" i="4" s="1"/>
  <c r="AT15" i="4" a="1"/>
  <c r="AT15" i="4" s="1"/>
  <c r="AV28" i="4" a="1"/>
  <c r="AV28" i="4" s="1"/>
  <c r="AX28" i="4" s="1"/>
  <c r="AW44" i="4" a="1"/>
  <c r="AW44" i="4" s="1"/>
  <c r="AV23" i="4" a="1"/>
  <c r="AV23" i="4" s="1"/>
  <c r="AT21" i="4" a="1"/>
  <c r="AT21" i="4" s="1"/>
  <c r="AW32" i="4" a="1"/>
  <c r="AW32" i="4" s="1"/>
  <c r="AU27" i="4" a="1"/>
  <c r="AU27" i="4" s="1"/>
  <c r="AU9" i="4" a="1"/>
  <c r="AU9" i="4" s="1"/>
  <c r="W7" i="4"/>
  <c r="AW34" i="4" a="1"/>
  <c r="AW34" i="4" s="1"/>
  <c r="AV33" i="4" a="1"/>
  <c r="AV33" i="4" s="1"/>
  <c r="AW22" i="4" a="1"/>
  <c r="AW22" i="4" s="1"/>
  <c r="AU23" i="4" a="1"/>
  <c r="AU23" i="4" s="1"/>
  <c r="AT9" i="4" a="1"/>
  <c r="AT9" i="4" s="1"/>
  <c r="AW39" i="4" a="1"/>
  <c r="AW39" i="4" s="1"/>
  <c r="AV20" i="4" a="1"/>
  <c r="AV20" i="4" s="1"/>
  <c r="AV39" i="4" a="1"/>
  <c r="AV39" i="4" s="1"/>
  <c r="AX39" i="4" s="1"/>
  <c r="AU44" i="4" a="1"/>
  <c r="AU44" i="4" s="1"/>
  <c r="AU39" i="4" a="1"/>
  <c r="AU39" i="4" s="1"/>
  <c r="AT44" i="4" a="1"/>
  <c r="AT44" i="4" s="1"/>
  <c r="AW9" i="4" a="1"/>
  <c r="AW9" i="4" s="1"/>
  <c r="V7" i="4"/>
  <c r="AW53" i="4" a="1"/>
  <c r="AW53" i="4" s="1"/>
  <c r="AV50" i="4" a="1"/>
  <c r="AV50" i="4" s="1"/>
  <c r="AW10" i="4" a="1"/>
  <c r="AW10" i="4" s="1"/>
  <c r="AW8" i="4" a="1"/>
  <c r="AW8" i="4" s="1"/>
  <c r="AV9" i="4" a="1"/>
  <c r="AV9" i="4" s="1"/>
  <c r="AT34" i="4" a="1"/>
  <c r="AT34" i="4" s="1"/>
  <c r="AV15" i="4" a="1"/>
  <c r="AV15" i="4" s="1"/>
  <c r="AT22" i="4" a="1"/>
  <c r="AT22" i="4" s="1"/>
  <c r="AV10" i="4" a="1"/>
  <c r="AV10" i="4" s="1"/>
  <c r="AV8" i="4" a="1"/>
  <c r="AV8" i="4" s="1"/>
  <c r="AW14" i="4" a="1"/>
  <c r="AW14" i="4" s="1"/>
  <c r="AW20" i="4" a="1"/>
  <c r="AW20" i="4" s="1"/>
  <c r="AV32" i="4" a="1"/>
  <c r="AV32" i="4" s="1"/>
  <c r="AV62" i="4" a="1"/>
  <c r="AV62" i="4" s="1"/>
  <c r="AW47" i="4" a="1"/>
  <c r="AW47" i="4" s="1"/>
  <c r="AT27" i="4" a="1"/>
  <c r="AT27" i="4" s="1"/>
  <c r="AU21" i="4" a="1"/>
  <c r="AU21" i="4" s="1"/>
  <c r="AV11" i="4" a="1"/>
  <c r="AV11" i="4" s="1"/>
  <c r="AV47" i="4" a="1"/>
  <c r="AV47" i="4" s="1"/>
  <c r="AX47" i="4" s="1"/>
  <c r="AU11" i="4" a="1"/>
  <c r="AU11" i="4" s="1"/>
  <c r="AW15" i="4" a="1"/>
  <c r="AW15" i="4" s="1"/>
  <c r="AU20" i="4" a="1"/>
  <c r="AU20" i="4" s="1"/>
  <c r="AU10" i="4" a="1"/>
  <c r="AU10" i="4" s="1"/>
  <c r="AV26" i="4" a="1"/>
  <c r="AV26" i="4" s="1"/>
  <c r="AT20" i="4" a="1"/>
  <c r="AT20" i="4" s="1"/>
  <c r="AU56" i="4" a="1"/>
  <c r="AU56" i="4" s="1"/>
  <c r="AU8" i="4" a="1"/>
  <c r="AU8" i="4" s="1"/>
  <c r="AW26" i="4" a="1"/>
  <c r="AW26" i="4" s="1"/>
  <c r="AT10" i="4" a="1"/>
  <c r="AT10" i="4" s="1"/>
  <c r="AT52" i="4" a="1"/>
  <c r="AT52" i="4" s="1"/>
  <c r="AU53" i="4" a="1"/>
  <c r="AU53" i="4" s="1"/>
  <c r="AT70" i="4" a="1"/>
  <c r="AT70" i="4" s="1"/>
  <c r="AU52" i="4" a="1"/>
  <c r="AU52" i="4" s="1"/>
  <c r="AT69" i="4" a="1"/>
  <c r="AT69" i="4" s="1"/>
  <c r="AT45" i="4" a="1"/>
  <c r="AT45" i="4" s="1"/>
  <c r="AV71" i="4" a="1"/>
  <c r="AV71" i="4" s="1"/>
  <c r="AW50" i="4" a="1"/>
  <c r="AW50" i="4" s="1"/>
  <c r="AW62" i="4" a="1"/>
  <c r="AW62" i="4" s="1"/>
  <c r="AU15" i="4" a="1"/>
  <c r="AU15" i="4" s="1"/>
  <c r="AT53" i="4" a="1"/>
  <c r="AT53" i="4" s="1"/>
  <c r="AT74" i="4" a="1"/>
  <c r="AT74" i="4" s="1"/>
  <c r="AU45" i="4" a="1"/>
  <c r="AU45" i="4" s="1"/>
  <c r="AV51" i="4" a="1"/>
  <c r="AV51" i="4" s="1"/>
  <c r="AT47" i="4" a="1"/>
  <c r="AT47" i="4" s="1"/>
  <c r="AV53" i="4" a="1"/>
  <c r="AV53" i="4" s="1"/>
  <c r="AU50" i="4" a="1"/>
  <c r="AU50" i="4" s="1"/>
  <c r="AT38" i="4" a="1"/>
  <c r="AT38" i="4" s="1"/>
  <c r="AT16" i="4" a="1"/>
  <c r="AT16" i="4" s="1"/>
  <c r="AU62" i="4" a="1"/>
  <c r="AU62" i="4" s="1"/>
  <c r="AU14" i="4" a="1"/>
  <c r="AU14" i="4" s="1"/>
  <c r="AW57" i="4" a="1"/>
  <c r="AW57" i="4" s="1"/>
  <c r="AT14" i="4" a="1"/>
  <c r="AT14" i="4" s="1"/>
  <c r="AV52" i="4" a="1"/>
  <c r="AV52" i="4" s="1"/>
  <c r="AV41" i="4" a="1"/>
  <c r="AV41" i="4" s="1"/>
  <c r="AV14" i="4" a="1"/>
  <c r="AV14" i="4" s="1"/>
  <c r="AW33" i="4" a="1"/>
  <c r="AW33" i="4" s="1"/>
  <c r="AU51" i="4" a="1"/>
  <c r="AU51" i="4" s="1"/>
  <c r="AU46" i="4" a="1"/>
  <c r="AU46" i="4" s="1"/>
  <c r="AV38" i="4" a="1"/>
  <c r="AV38" i="4" s="1"/>
  <c r="AT68" i="4" a="1"/>
  <c r="AT68" i="4" s="1"/>
  <c r="AW35" i="4" a="1"/>
  <c r="AW35" i="4" s="1"/>
  <c r="AT39" i="4" a="1"/>
  <c r="AT39" i="4" s="1"/>
  <c r="AT58" i="4" a="1"/>
  <c r="AT58" i="4" s="1"/>
  <c r="AU35" i="4" a="1"/>
  <c r="AU35" i="4" s="1"/>
  <c r="AU65" i="4" a="1"/>
  <c r="AU65" i="4" s="1"/>
  <c r="AT29" i="4" a="1"/>
  <c r="AT29" i="4" s="1"/>
  <c r="AT8" i="4" a="1"/>
  <c r="AT8" i="4" s="1"/>
  <c r="AW75" i="4" a="1"/>
  <c r="AW75" i="4" s="1"/>
  <c r="AV17" i="4" a="1"/>
  <c r="AV17" i="4" s="1"/>
  <c r="AT59" i="4" a="1"/>
  <c r="AT59" i="4" s="1"/>
  <c r="AV35" i="4" a="1"/>
  <c r="AV35" i="4" s="1"/>
  <c r="AW65" i="4" a="1"/>
  <c r="AW65" i="4" s="1"/>
  <c r="AW52" i="4" a="1"/>
  <c r="AW52" i="4" s="1"/>
  <c r="AU17" i="4" a="1"/>
  <c r="AU17" i="4" s="1"/>
  <c r="AU77" i="4" a="1"/>
  <c r="AU77" i="4" s="1"/>
  <c r="AU33" i="4" a="1"/>
  <c r="AU33" i="4" s="1"/>
  <c r="AT57" i="4" a="1"/>
  <c r="AT57" i="4" s="1"/>
  <c r="AW59" i="4" a="1"/>
  <c r="AW59" i="4" s="1"/>
  <c r="AW16" i="4" a="1"/>
  <c r="AW16" i="4" s="1"/>
  <c r="AT35" i="4" a="1"/>
  <c r="AT35" i="4" s="1"/>
  <c r="AT51" i="4" a="1"/>
  <c r="AT51" i="4" s="1"/>
  <c r="AV77" i="4" a="1"/>
  <c r="AV77" i="4" s="1"/>
  <c r="AU57" i="4" a="1"/>
  <c r="AU57" i="4" s="1"/>
  <c r="AU29" i="4" a="1"/>
  <c r="AU29" i="4" s="1"/>
  <c r="AU69" i="4" a="1"/>
  <c r="AU69" i="4" s="1"/>
  <c r="AV16" i="4" a="1"/>
  <c r="AV16" i="4" s="1"/>
  <c r="AX16" i="4" s="1"/>
  <c r="AW69" i="4" a="1"/>
  <c r="AW69" i="4" s="1"/>
  <c r="AV56" i="4" a="1"/>
  <c r="AV56" i="4" s="1"/>
  <c r="AV21" i="4" a="1"/>
  <c r="AV21" i="4" s="1"/>
  <c r="AU22" i="4" a="1"/>
  <c r="AU22" i="4" s="1"/>
  <c r="AW56" i="4" a="1"/>
  <c r="AW56" i="4" s="1"/>
  <c r="AU71" i="4" a="1"/>
  <c r="AU71" i="4" s="1"/>
  <c r="AV46" i="4" a="1"/>
  <c r="AV46" i="4" s="1"/>
  <c r="AW38" i="4" a="1"/>
  <c r="AW38" i="4" s="1"/>
  <c r="AV57" i="4" a="1"/>
  <c r="AV57" i="4" s="1"/>
  <c r="AX57" i="4" s="1"/>
  <c r="AU38" i="4" a="1"/>
  <c r="AU38" i="4" s="1"/>
  <c r="AU26" i="4" a="1"/>
  <c r="AU26" i="4" s="1"/>
  <c r="AT46" i="4" a="1"/>
  <c r="AT46" i="4" s="1"/>
  <c r="AW46" i="4" a="1"/>
  <c r="AW46" i="4" s="1"/>
  <c r="AW29" i="4" a="1"/>
  <c r="AW29" i="4" s="1"/>
  <c r="AT65" i="4" a="1"/>
  <c r="AT65" i="4" s="1"/>
  <c r="AT26" i="4" a="1"/>
  <c r="AT26" i="4" s="1"/>
  <c r="AT56" i="4" a="1"/>
  <c r="AT56" i="4" s="1"/>
  <c r="AT41" i="4" a="1"/>
  <c r="AT41" i="4" s="1"/>
  <c r="AU16" i="4" a="1"/>
  <c r="AU16" i="4" s="1"/>
  <c r="AV65" i="4" a="1"/>
  <c r="AV65" i="4" s="1"/>
  <c r="AT17" i="4" a="1"/>
  <c r="AT17" i="4" s="1"/>
  <c r="AV29" i="4" a="1"/>
  <c r="AV29" i="4" s="1"/>
  <c r="AV69" i="4" a="1"/>
  <c r="AV69" i="4" s="1"/>
  <c r="AT23" i="4" a="1"/>
  <c r="AT23" i="4" s="1"/>
  <c r="AW70" i="4" a="1"/>
  <c r="AW70" i="4" s="1"/>
  <c r="AT50" i="4" a="1"/>
  <c r="AT50" i="4" s="1"/>
  <c r="AW17" i="4" a="1"/>
  <c r="AW17" i="4" s="1"/>
  <c r="AW11" i="4" a="1"/>
  <c r="AW11" i="4" s="1"/>
  <c r="AT62" i="4" a="1"/>
  <c r="AT62" i="4" s="1"/>
  <c r="AU47" i="4" a="1"/>
  <c r="AU47" i="4" s="1"/>
  <c r="AV44" i="4" a="1"/>
  <c r="AV44" i="4" s="1"/>
  <c r="AT71" i="4" a="1"/>
  <c r="AT71" i="4" s="1"/>
  <c r="AW76" i="4" a="1"/>
  <c r="AW76" i="4" s="1"/>
  <c r="AT11" i="4" a="1"/>
  <c r="AT11" i="4" s="1"/>
  <c r="V23" i="4"/>
  <c r="W23" i="4"/>
  <c r="V41" i="4"/>
  <c r="W41" i="4"/>
  <c r="W51" i="4"/>
  <c r="V51" i="4"/>
  <c r="W17" i="4"/>
  <c r="V17" i="4"/>
  <c r="V28" i="4"/>
  <c r="W28" i="4"/>
  <c r="V56" i="4"/>
  <c r="W56" i="4"/>
  <c r="W76" i="4"/>
  <c r="V76" i="4"/>
  <c r="W50" i="4"/>
  <c r="V50" i="4"/>
  <c r="W55" i="4"/>
  <c r="V55" i="4"/>
  <c r="W35" i="4"/>
  <c r="V35" i="4"/>
  <c r="V13" i="4"/>
  <c r="W13" i="4"/>
  <c r="V53" i="4"/>
  <c r="W53" i="4"/>
  <c r="V74" i="4"/>
  <c r="W74" i="4"/>
  <c r="V59" i="4"/>
  <c r="W59" i="4"/>
  <c r="W9" i="4"/>
  <c r="V9" i="4"/>
  <c r="V8" i="4"/>
  <c r="W8" i="4"/>
  <c r="V49" i="4"/>
  <c r="W49" i="4"/>
  <c r="V26" i="4"/>
  <c r="W26" i="4"/>
  <c r="W45" i="4"/>
  <c r="V45" i="4"/>
  <c r="W54" i="4"/>
  <c r="V54" i="4"/>
  <c r="V73" i="4"/>
  <c r="W73" i="4"/>
  <c r="W34" i="4"/>
  <c r="V34" i="4"/>
  <c r="W31" i="4"/>
  <c r="V31" i="4"/>
  <c r="W33" i="4"/>
  <c r="V33" i="4"/>
  <c r="W72" i="4"/>
  <c r="V72" i="4"/>
  <c r="V44" i="4"/>
  <c r="W44" i="4"/>
  <c r="W69" i="4"/>
  <c r="V69" i="4"/>
  <c r="V43" i="4"/>
  <c r="W43" i="4"/>
  <c r="V20" i="4"/>
  <c r="W20" i="4"/>
  <c r="W39" i="4"/>
  <c r="V39" i="4"/>
  <c r="V16" i="4"/>
  <c r="W16" i="4"/>
  <c r="AX51" i="4" l="1"/>
  <c r="AX53" i="4"/>
  <c r="AX29" i="4"/>
  <c r="AX27" i="4"/>
  <c r="AU78" i="4"/>
  <c r="AX77" i="4"/>
  <c r="AX65" i="4"/>
  <c r="AX11" i="4"/>
  <c r="AW66" i="4"/>
  <c r="AX52" i="4"/>
  <c r="AY52" i="4" s="1"/>
  <c r="AX17" i="4"/>
  <c r="AT54" i="4"/>
  <c r="AU54" i="4"/>
  <c r="AV30" i="4"/>
  <c r="AX26" i="4"/>
  <c r="AY26" i="4" s="1"/>
  <c r="AX21" i="4"/>
  <c r="AT12" i="4"/>
  <c r="AX59" i="4"/>
  <c r="AX64" i="4"/>
  <c r="AX56" i="4"/>
  <c r="AV60" i="4"/>
  <c r="AU24" i="4"/>
  <c r="AX76" i="4"/>
  <c r="AU48" i="4"/>
  <c r="AX20" i="4"/>
  <c r="AV24" i="4"/>
  <c r="AX38" i="4"/>
  <c r="AV42" i="4"/>
  <c r="AT30" i="4"/>
  <c r="AX71" i="4"/>
  <c r="AX62" i="4"/>
  <c r="AV66" i="4"/>
  <c r="AX22" i="4"/>
  <c r="AX40" i="4"/>
  <c r="AT60" i="4"/>
  <c r="AW54" i="4"/>
  <c r="AX32" i="4"/>
  <c r="AV36" i="4"/>
  <c r="AX34" i="4"/>
  <c r="AW18" i="4"/>
  <c r="AX41" i="4"/>
  <c r="AX8" i="4"/>
  <c r="AV12" i="4"/>
  <c r="AX70" i="4"/>
  <c r="AX33" i="4"/>
  <c r="AX10" i="4"/>
  <c r="AT36" i="4"/>
  <c r="AX75" i="4"/>
  <c r="AV72" i="4"/>
  <c r="AX68" i="4"/>
  <c r="AU42" i="4"/>
  <c r="AT18" i="4"/>
  <c r="AX69" i="4"/>
  <c r="AW24" i="4"/>
  <c r="AV18" i="4"/>
  <c r="AX14" i="4"/>
  <c r="AU30" i="4"/>
  <c r="AV48" i="4"/>
  <c r="AX44" i="4"/>
  <c r="AY45" i="4" s="1"/>
  <c r="AX15" i="4"/>
  <c r="AU36" i="4"/>
  <c r="AV78" i="4"/>
  <c r="AX74" i="4"/>
  <c r="AW42" i="4"/>
  <c r="AU18" i="4"/>
  <c r="AW30" i="4"/>
  <c r="AW36" i="4"/>
  <c r="AW78" i="4"/>
  <c r="AT48" i="4"/>
  <c r="AT66" i="4"/>
  <c r="AX46" i="4"/>
  <c r="AX35" i="4"/>
  <c r="AU66" i="4"/>
  <c r="AU12" i="4"/>
  <c r="AX9" i="4"/>
  <c r="AX58" i="4"/>
  <c r="AT78" i="4"/>
  <c r="AU60" i="4"/>
  <c r="AW12" i="4"/>
  <c r="AX23" i="4"/>
  <c r="AT72" i="4"/>
  <c r="AT42" i="4"/>
  <c r="AT24" i="4"/>
  <c r="AW48" i="4"/>
  <c r="AW72" i="4"/>
  <c r="AU72" i="4"/>
  <c r="AW60" i="4"/>
  <c r="AV54" i="4"/>
  <c r="AX50" i="4"/>
  <c r="AY14" i="4" l="1"/>
  <c r="AY46" i="4"/>
  <c r="AY75" i="4"/>
  <c r="AY50" i="4"/>
  <c r="AY10" i="4"/>
  <c r="AY56" i="4"/>
  <c r="AY27" i="4"/>
  <c r="AY53" i="4"/>
  <c r="AY70" i="4"/>
  <c r="AY11" i="4"/>
  <c r="AY57" i="4"/>
  <c r="AY22" i="4"/>
  <c r="AY35" i="4"/>
  <c r="AY62" i="4"/>
  <c r="AY66" i="4" s="1"/>
  <c r="AZ63" i="4" s="1"/>
  <c r="AY40" i="4"/>
  <c r="AY28" i="4"/>
  <c r="AY29" i="4"/>
  <c r="AY9" i="4"/>
  <c r="AY44" i="4"/>
  <c r="AY76" i="4"/>
  <c r="AY33" i="4"/>
  <c r="AY39" i="4"/>
  <c r="AY77" i="4"/>
  <c r="AY65" i="4"/>
  <c r="AY71" i="4"/>
  <c r="AY64" i="4"/>
  <c r="AY23" i="4"/>
  <c r="AY8" i="4"/>
  <c r="AY69" i="4"/>
  <c r="AY59" i="4"/>
  <c r="AY63" i="4"/>
  <c r="AY34" i="4"/>
  <c r="AY47" i="4"/>
  <c r="AY21" i="4"/>
  <c r="AY74" i="4"/>
  <c r="AY16" i="4"/>
  <c r="AY68" i="4"/>
  <c r="AY20" i="4"/>
  <c r="AY24" i="4" s="1"/>
  <c r="AZ22" i="4" s="1"/>
  <c r="AY41" i="4"/>
  <c r="AY38" i="4"/>
  <c r="AY58" i="4"/>
  <c r="AY60" i="4" s="1"/>
  <c r="AY15" i="4"/>
  <c r="AY18" i="4" s="1"/>
  <c r="AZ14" i="4" s="1"/>
  <c r="AY32" i="4"/>
  <c r="AY51" i="4"/>
  <c r="AY54" i="4" s="1"/>
  <c r="AY17" i="4"/>
  <c r="AY30" i="4" l="1"/>
  <c r="AZ26" i="4" s="1"/>
  <c r="AZ65" i="4"/>
  <c r="AZ20" i="4"/>
  <c r="AY12" i="4"/>
  <c r="AZ10" i="4" s="1"/>
  <c r="AZ23" i="4"/>
  <c r="AZ53" i="4"/>
  <c r="AZ50" i="4"/>
  <c r="AZ52" i="4"/>
  <c r="AZ57" i="4"/>
  <c r="AZ59" i="4"/>
  <c r="AZ56" i="4"/>
  <c r="AZ58" i="4"/>
  <c r="AY36" i="4"/>
  <c r="AZ32" i="4" s="1"/>
  <c r="AZ51" i="4"/>
  <c r="AY42" i="4"/>
  <c r="AZ38" i="4" s="1"/>
  <c r="AZ64" i="4"/>
  <c r="AZ15" i="4"/>
  <c r="AY48" i="4"/>
  <c r="AZ47" i="4" s="1"/>
  <c r="AZ44" i="4"/>
  <c r="AY72" i="4"/>
  <c r="AZ70" i="4" s="1"/>
  <c r="AZ68" i="4"/>
  <c r="AZ16" i="4"/>
  <c r="AY78" i="4"/>
  <c r="AZ75" i="4" s="1"/>
  <c r="AZ74" i="4"/>
  <c r="AZ62" i="4"/>
  <c r="AZ21" i="4"/>
  <c r="AZ11" i="4"/>
  <c r="AZ17" i="4"/>
  <c r="AZ28" i="4" l="1"/>
  <c r="AZ29" i="4"/>
  <c r="AZ27" i="4"/>
  <c r="AZ9" i="4"/>
  <c r="AZ8" i="4"/>
  <c r="AZ12" i="4" s="1"/>
  <c r="BA11" i="4" s="1"/>
  <c r="AO11" i="4" s="1"/>
  <c r="AZ76" i="4"/>
  <c r="AZ41" i="4"/>
  <c r="AZ66" i="4"/>
  <c r="BA16" i="4"/>
  <c r="AO16" i="4" s="1"/>
  <c r="AZ60" i="4"/>
  <c r="BA58" i="4" s="1"/>
  <c r="AO58" i="4" s="1"/>
  <c r="AZ24" i="4"/>
  <c r="AZ69" i="4"/>
  <c r="AZ71" i="4"/>
  <c r="AZ77" i="4"/>
  <c r="AZ78" i="4" s="1"/>
  <c r="BA76" i="4" s="1"/>
  <c r="AO76" i="4" s="1"/>
  <c r="AZ30" i="4"/>
  <c r="BA26" i="4" s="1"/>
  <c r="AO26" i="4" s="1"/>
  <c r="AZ34" i="4"/>
  <c r="AZ35" i="4"/>
  <c r="AZ54" i="4"/>
  <c r="BA51" i="4" s="1"/>
  <c r="AO51" i="4" s="1"/>
  <c r="AZ46" i="4"/>
  <c r="AZ45" i="4"/>
  <c r="AZ18" i="4"/>
  <c r="BA14" i="4" s="1"/>
  <c r="AO14" i="4" s="1"/>
  <c r="AZ33" i="4"/>
  <c r="BA17" i="4"/>
  <c r="AO17" i="4" s="1"/>
  <c r="AZ39" i="4"/>
  <c r="AZ40" i="4"/>
  <c r="BA59" i="4" l="1"/>
  <c r="AO59" i="4" s="1"/>
  <c r="BA56" i="4"/>
  <c r="AO56" i="4" s="1"/>
  <c r="BA27" i="4"/>
  <c r="AO27" i="4" s="1"/>
  <c r="BA29" i="4"/>
  <c r="AO29" i="4" s="1"/>
  <c r="X38" i="4" s="1"/>
  <c r="BA50" i="4"/>
  <c r="AO50" i="4" s="1"/>
  <c r="BA8" i="4"/>
  <c r="AO8" i="4" s="1"/>
  <c r="X59" i="4" s="1"/>
  <c r="BA15" i="4"/>
  <c r="AO15" i="4" s="1"/>
  <c r="AO18" i="4" s="1"/>
  <c r="BA57" i="4"/>
  <c r="AO57" i="4" s="1"/>
  <c r="X68" i="4" s="1"/>
  <c r="BA28" i="4"/>
  <c r="AO28" i="4" s="1"/>
  <c r="X12" i="4" s="1"/>
  <c r="X24" i="4"/>
  <c r="X20" i="4"/>
  <c r="BA53" i="4"/>
  <c r="AO53" i="4" s="1"/>
  <c r="BA23" i="4"/>
  <c r="AO23" i="4" s="1"/>
  <c r="BA22" i="4"/>
  <c r="AO22" i="4" s="1"/>
  <c r="BA20" i="4"/>
  <c r="AO20" i="4" s="1"/>
  <c r="AZ48" i="4"/>
  <c r="X47" i="4"/>
  <c r="X67" i="4"/>
  <c r="BA52" i="4"/>
  <c r="AO52" i="4" s="1"/>
  <c r="X71" i="4" s="1"/>
  <c r="AO60" i="4"/>
  <c r="X23" i="4"/>
  <c r="X48" i="4"/>
  <c r="X14" i="4"/>
  <c r="AZ72" i="4"/>
  <c r="BA69" i="4" s="1"/>
  <c r="AO69" i="4" s="1"/>
  <c r="BA74" i="4"/>
  <c r="AO74" i="4" s="1"/>
  <c r="BA75" i="4"/>
  <c r="AO75" i="4" s="1"/>
  <c r="BA63" i="4"/>
  <c r="AO63" i="4" s="1"/>
  <c r="BA65" i="4"/>
  <c r="AO65" i="4" s="1"/>
  <c r="BA62" i="4"/>
  <c r="AO62" i="4" s="1"/>
  <c r="BA35" i="4"/>
  <c r="AO35" i="4" s="1"/>
  <c r="BA21" i="4"/>
  <c r="AO21" i="4" s="1"/>
  <c r="X66" i="4"/>
  <c r="X65" i="4"/>
  <c r="AZ36" i="4"/>
  <c r="BA32" i="4" s="1"/>
  <c r="AO32" i="4" s="1"/>
  <c r="BA64" i="4"/>
  <c r="AO64" i="4" s="1"/>
  <c r="X37" i="4"/>
  <c r="X10" i="4"/>
  <c r="X57" i="4"/>
  <c r="BA77" i="4"/>
  <c r="AO77" i="4" s="1"/>
  <c r="AZ42" i="4"/>
  <c r="BA40" i="4" s="1"/>
  <c r="AO40" i="4" s="1"/>
  <c r="X33" i="4"/>
  <c r="BA9" i="4"/>
  <c r="AO9" i="4" s="1"/>
  <c r="BA10" i="4"/>
  <c r="AO10" i="4" s="1"/>
  <c r="AO30" i="4" l="1"/>
  <c r="AO54" i="4"/>
  <c r="X32" i="4"/>
  <c r="Y32" i="4" s="1"/>
  <c r="X44" i="4"/>
  <c r="Z44" i="4" s="1"/>
  <c r="X58" i="4"/>
  <c r="Z58" i="4" s="1"/>
  <c r="X9" i="4"/>
  <c r="BA33" i="4"/>
  <c r="AO33" i="4" s="1"/>
  <c r="X40" i="4" s="1"/>
  <c r="X11" i="4"/>
  <c r="Z20" i="4"/>
  <c r="Y20" i="4"/>
  <c r="BA38" i="4"/>
  <c r="AO38" i="4" s="1"/>
  <c r="BA41" i="4"/>
  <c r="AO41" i="4" s="1"/>
  <c r="BA47" i="4"/>
  <c r="AO47" i="4" s="1"/>
  <c r="BA44" i="4"/>
  <c r="AO44" i="4" s="1"/>
  <c r="X62" i="4"/>
  <c r="AO66" i="4"/>
  <c r="X25" i="4"/>
  <c r="X49" i="4"/>
  <c r="X36" i="4"/>
  <c r="X55" i="4"/>
  <c r="Z12" i="4"/>
  <c r="Y12" i="4"/>
  <c r="X26" i="4"/>
  <c r="BA68" i="4"/>
  <c r="AO68" i="4" s="1"/>
  <c r="BA70" i="4"/>
  <c r="AO70" i="4" s="1"/>
  <c r="Z57" i="4"/>
  <c r="Y57" i="4"/>
  <c r="X43" i="4"/>
  <c r="X72" i="4"/>
  <c r="X56" i="4"/>
  <c r="X52" i="4"/>
  <c r="X73" i="4"/>
  <c r="AO24" i="4"/>
  <c r="X35" i="4"/>
  <c r="X13" i="4"/>
  <c r="X50" i="4"/>
  <c r="X76" i="4"/>
  <c r="X75" i="4"/>
  <c r="Z10" i="4"/>
  <c r="Y10" i="4"/>
  <c r="X74" i="4"/>
  <c r="X78" i="4"/>
  <c r="Z37" i="4"/>
  <c r="Y37" i="4"/>
  <c r="AO78" i="4"/>
  <c r="X28" i="4"/>
  <c r="X51" i="4"/>
  <c r="Y14" i="4"/>
  <c r="Z14" i="4"/>
  <c r="X8" i="4"/>
  <c r="Y65" i="4"/>
  <c r="Z65" i="4"/>
  <c r="X60" i="4"/>
  <c r="Z38" i="4"/>
  <c r="Y38" i="4"/>
  <c r="Z68" i="4"/>
  <c r="Y68" i="4"/>
  <c r="BA46" i="4"/>
  <c r="AO46" i="4" s="1"/>
  <c r="Z33" i="4"/>
  <c r="Y33" i="4"/>
  <c r="BA71" i="4"/>
  <c r="AO71" i="4" s="1"/>
  <c r="Y9" i="4"/>
  <c r="Z9" i="4"/>
  <c r="Z59" i="4"/>
  <c r="Y59" i="4"/>
  <c r="Z48" i="4"/>
  <c r="Y48" i="4"/>
  <c r="BA45" i="4"/>
  <c r="AO45" i="4" s="1"/>
  <c r="X31" i="4"/>
  <c r="Z23" i="4"/>
  <c r="Y23" i="4"/>
  <c r="Z71" i="4"/>
  <c r="Y71" i="4"/>
  <c r="X34" i="4"/>
  <c r="BA39" i="4"/>
  <c r="AO39" i="4" s="1"/>
  <c r="X27" i="4"/>
  <c r="X7" i="4"/>
  <c r="Y66" i="4"/>
  <c r="Z66" i="4"/>
  <c r="X19" i="4"/>
  <c r="Z67" i="4"/>
  <c r="Y67" i="4"/>
  <c r="Z24" i="4"/>
  <c r="Y24" i="4"/>
  <c r="AO12" i="4"/>
  <c r="BA34" i="4"/>
  <c r="AO34" i="4" s="1"/>
  <c r="X61" i="4" s="1"/>
  <c r="Z47" i="4"/>
  <c r="Y47" i="4"/>
  <c r="X16" i="4" l="1"/>
  <c r="AO36" i="4"/>
  <c r="Y44" i="4"/>
  <c r="Z32" i="4"/>
  <c r="Y58" i="4"/>
  <c r="Z13" i="4"/>
  <c r="Y13" i="4"/>
  <c r="Z36" i="4"/>
  <c r="Y36" i="4"/>
  <c r="Z52" i="4"/>
  <c r="Y52" i="4"/>
  <c r="X21" i="4"/>
  <c r="Z25" i="4"/>
  <c r="Y25" i="4"/>
  <c r="Y51" i="4"/>
  <c r="Z51" i="4"/>
  <c r="Z35" i="4"/>
  <c r="Y35" i="4"/>
  <c r="Z28" i="4"/>
  <c r="Y28" i="4"/>
  <c r="Z49" i="4"/>
  <c r="Y49" i="4"/>
  <c r="Y56" i="4"/>
  <c r="Z56" i="4"/>
  <c r="Y7" i="4"/>
  <c r="BB64" i="4" a="1"/>
  <c r="Z7" i="4"/>
  <c r="BC22" i="4" a="1"/>
  <c r="BD52" i="4" a="1"/>
  <c r="BE59" i="4" a="1"/>
  <c r="BD40" i="4" a="1"/>
  <c r="Z78" i="4"/>
  <c r="Y78" i="4"/>
  <c r="Y61" i="4"/>
  <c r="Z61" i="4"/>
  <c r="Z62" i="4"/>
  <c r="Y62" i="4"/>
  <c r="Z16" i="4"/>
  <c r="Y16" i="4"/>
  <c r="Z19" i="4"/>
  <c r="Y19" i="4"/>
  <c r="Y74" i="4"/>
  <c r="Z74" i="4"/>
  <c r="X54" i="4"/>
  <c r="X77" i="4"/>
  <c r="Y43" i="4"/>
  <c r="Z43" i="4"/>
  <c r="AO48" i="4"/>
  <c r="X22" i="4"/>
  <c r="X45" i="4"/>
  <c r="X46" i="4"/>
  <c r="X70" i="4"/>
  <c r="X64" i="4"/>
  <c r="X42" i="4"/>
  <c r="Z8" i="4"/>
  <c r="Y8" i="4"/>
  <c r="Z75" i="4"/>
  <c r="Y75" i="4"/>
  <c r="AO42" i="4"/>
  <c r="X17" i="4"/>
  <c r="X41" i="4"/>
  <c r="X30" i="4"/>
  <c r="X18" i="4"/>
  <c r="Y31" i="4"/>
  <c r="Z31" i="4"/>
  <c r="Z76" i="4"/>
  <c r="Y76" i="4"/>
  <c r="AO72" i="4"/>
  <c r="X29" i="4"/>
  <c r="X53" i="4"/>
  <c r="X69" i="4"/>
  <c r="Y50" i="4"/>
  <c r="Z50" i="4"/>
  <c r="Y26" i="4"/>
  <c r="Z26" i="4"/>
  <c r="Z55" i="4"/>
  <c r="Y55" i="4"/>
  <c r="Z73" i="4"/>
  <c r="Y73" i="4"/>
  <c r="Z27" i="4"/>
  <c r="Y27" i="4"/>
  <c r="Y40" i="4"/>
  <c r="Z40" i="4"/>
  <c r="X63" i="4"/>
  <c r="Z60" i="4"/>
  <c r="Y60" i="4"/>
  <c r="Y72" i="4"/>
  <c r="Z72" i="4"/>
  <c r="Y34" i="4"/>
  <c r="Z34" i="4"/>
  <c r="Z11" i="4"/>
  <c r="Y11" i="4"/>
  <c r="X15" i="4"/>
  <c r="BE69" i="4" s="1" a="1"/>
  <c r="X39" i="4"/>
  <c r="BD40" i="4" l="1"/>
  <c r="BE59" i="4"/>
  <c r="BD52" i="4"/>
  <c r="BC22" i="4"/>
  <c r="BE69" i="4"/>
  <c r="BB64" i="4"/>
  <c r="BC47" i="4" a="1"/>
  <c r="BC47" i="4" s="1"/>
  <c r="BB28" i="4" a="1"/>
  <c r="BB28" i="4" s="1"/>
  <c r="BE64" i="4" a="1"/>
  <c r="BE64" i="4" s="1"/>
  <c r="BC69" i="4" a="1"/>
  <c r="BC69" i="4" s="1"/>
  <c r="BB34" i="4" a="1"/>
  <c r="BB34" i="4" s="1"/>
  <c r="BC34" i="4" a="1"/>
  <c r="BC34" i="4" s="1"/>
  <c r="BD16" i="4" a="1"/>
  <c r="BD16" i="4" s="1"/>
  <c r="BE11" i="4" a="1"/>
  <c r="BE11" i="4" s="1"/>
  <c r="BD51" i="4" a="1"/>
  <c r="BD51" i="4" s="1"/>
  <c r="Z46" i="4"/>
  <c r="Y46" i="4"/>
  <c r="BD64" i="4" a="1"/>
  <c r="BD64" i="4" s="1"/>
  <c r="BE51" i="4" a="1"/>
  <c r="BE51" i="4" s="1"/>
  <c r="BE65" i="4" a="1"/>
  <c r="BE65" i="4" s="1"/>
  <c r="BB57" i="4" a="1"/>
  <c r="BB57" i="4" s="1"/>
  <c r="BD8" i="4" a="1"/>
  <c r="BD8" i="4" s="1"/>
  <c r="BE47" i="4" a="1"/>
  <c r="BE47" i="4" s="1"/>
  <c r="BB69" i="4" a="1"/>
  <c r="BB69" i="4" s="1"/>
  <c r="BB23" i="4" a="1"/>
  <c r="BB23" i="4" s="1"/>
  <c r="BB38" i="4" a="1"/>
  <c r="BB38" i="4" s="1"/>
  <c r="Y64" i="4"/>
  <c r="Z64" i="4"/>
  <c r="BC23" i="4" a="1"/>
  <c r="BC23" i="4" s="1"/>
  <c r="BD63" i="4" a="1"/>
  <c r="BD63" i="4" s="1"/>
  <c r="BC11" i="4" a="1"/>
  <c r="BC11" i="4" s="1"/>
  <c r="BE45" i="4" a="1"/>
  <c r="BE45" i="4" s="1"/>
  <c r="BB15" i="4" a="1"/>
  <c r="BB15" i="4" s="1"/>
  <c r="BE34" i="4" a="1"/>
  <c r="BE34" i="4" s="1"/>
  <c r="BB9" i="4" a="1"/>
  <c r="BB9" i="4" s="1"/>
  <c r="BD33" i="4" a="1"/>
  <c r="BD33" i="4" s="1"/>
  <c r="BB41" i="4" a="1"/>
  <c r="BB41" i="4" s="1"/>
  <c r="BB59" i="4" a="1"/>
  <c r="BB59" i="4" s="1"/>
  <c r="Z22" i="4"/>
  <c r="Y22" i="4"/>
  <c r="BB29" i="4" a="1"/>
  <c r="BB29" i="4" s="1"/>
  <c r="BD59" i="4" a="1"/>
  <c r="BD59" i="4" s="1"/>
  <c r="BF59" i="4" s="1"/>
  <c r="BE50" i="4" a="1"/>
  <c r="BE50" i="4" s="1"/>
  <c r="BC15" i="4" a="1"/>
  <c r="BC15" i="4" s="1"/>
  <c r="BD23" i="4" a="1"/>
  <c r="BD23" i="4" s="1"/>
  <c r="BD28" i="4" a="1"/>
  <c r="BD28" i="4" s="1"/>
  <c r="BB75" i="4" a="1"/>
  <c r="BB75" i="4" s="1"/>
  <c r="BE9" i="4" a="1"/>
  <c r="BE9" i="4" s="1"/>
  <c r="BD29" i="4" a="1"/>
  <c r="BD29" i="4" s="1"/>
  <c r="BC26" i="4" a="1"/>
  <c r="BC26" i="4" s="1"/>
  <c r="BB46" i="4" a="1"/>
  <c r="BB46" i="4" s="1"/>
  <c r="BC52" i="4" a="1"/>
  <c r="BC52" i="4" s="1"/>
  <c r="BB21" i="4" a="1"/>
  <c r="BB21" i="4" s="1"/>
  <c r="BE16" i="4" a="1"/>
  <c r="BE16" i="4" s="1"/>
  <c r="BD21" i="4" a="1"/>
  <c r="BD21" i="4" s="1"/>
  <c r="BC70" i="4" a="1"/>
  <c r="BC70" i="4" s="1"/>
  <c r="BB50" i="4" a="1"/>
  <c r="BB50" i="4" s="1"/>
  <c r="BC40" i="4" a="1"/>
  <c r="BC40" i="4" s="1"/>
  <c r="BE8" i="4" a="1"/>
  <c r="BE8" i="4" s="1"/>
  <c r="BE23" i="4" a="1"/>
  <c r="BE23" i="4" s="1"/>
  <c r="Y63" i="4"/>
  <c r="Z63" i="4"/>
  <c r="BE38" i="4" a="1"/>
  <c r="BE38" i="4" s="1"/>
  <c r="BE42" i="4" s="1"/>
  <c r="BD68" i="4" a="1"/>
  <c r="BD68" i="4" s="1"/>
  <c r="BC8" i="4" a="1"/>
  <c r="BC8" i="4" s="1"/>
  <c r="BB26" i="4" a="1"/>
  <c r="BB26" i="4" s="1"/>
  <c r="BB44" i="4" a="1"/>
  <c r="BB44" i="4" s="1"/>
  <c r="BB62" i="4" a="1"/>
  <c r="BB62" i="4" s="1"/>
  <c r="BD15" i="4" a="1"/>
  <c r="BD15" i="4" s="1"/>
  <c r="BE28" i="4" a="1"/>
  <c r="BE28" i="4" s="1"/>
  <c r="BE75" i="4" a="1"/>
  <c r="BE75" i="4" s="1"/>
  <c r="BD47" i="4" a="1"/>
  <c r="BD47" i="4" s="1"/>
  <c r="BC21" i="4" a="1"/>
  <c r="BC21" i="4" s="1"/>
  <c r="BB8" i="4" a="1"/>
  <c r="BB8" i="4" s="1"/>
  <c r="BC63" i="4" a="1"/>
  <c r="BC63" i="4" s="1"/>
  <c r="BD70" i="4" a="1"/>
  <c r="BD70" i="4" s="1"/>
  <c r="BE68" i="4" a="1"/>
  <c r="BE68" i="4" s="1"/>
  <c r="BD56" i="4" a="1"/>
  <c r="BD56" i="4" s="1"/>
  <c r="BE41" i="4" a="1"/>
  <c r="BE41" i="4" s="1"/>
  <c r="Y45" i="4"/>
  <c r="Z45" i="4"/>
  <c r="BC16" i="4" a="1"/>
  <c r="BC16" i="4" s="1"/>
  <c r="BB71" i="4" a="1"/>
  <c r="BB71" i="4" s="1"/>
  <c r="BC14" i="4" a="1"/>
  <c r="BC14" i="4" s="1"/>
  <c r="BE26" i="4" a="1"/>
  <c r="BE26" i="4" s="1"/>
  <c r="BE57" i="4" a="1"/>
  <c r="BE57" i="4" s="1"/>
  <c r="BB27" i="4" a="1"/>
  <c r="BB27" i="4" s="1"/>
  <c r="BE10" i="4" a="1"/>
  <c r="BE10" i="4" s="1"/>
  <c r="BB53" i="4" a="1"/>
  <c r="BB53" i="4" s="1"/>
  <c r="BE70" i="4" a="1"/>
  <c r="BE70" i="4" s="1"/>
  <c r="BC71" i="4" a="1"/>
  <c r="BC71" i="4" s="1"/>
  <c r="BC33" i="4" a="1"/>
  <c r="BC33" i="4" s="1"/>
  <c r="BC58" i="4" a="1"/>
  <c r="BC58" i="4" s="1"/>
  <c r="Z70" i="4"/>
  <c r="Y70" i="4"/>
  <c r="BE39" i="4" a="1"/>
  <c r="BE39" i="4" s="1"/>
  <c r="BC44" i="4" a="1"/>
  <c r="BC44" i="4" s="1"/>
  <c r="BC9" i="4" a="1"/>
  <c r="BC9" i="4" s="1"/>
  <c r="BC50" i="4" a="1"/>
  <c r="BC50" i="4" s="1"/>
  <c r="BB17" i="4" a="1"/>
  <c r="BB17" i="4" s="1"/>
  <c r="BC45" i="4" a="1"/>
  <c r="BC45" i="4" s="1"/>
  <c r="BD69" i="4" a="1"/>
  <c r="BD69" i="4" s="1"/>
  <c r="BF69" i="4" s="1"/>
  <c r="BD58" i="4" a="1"/>
  <c r="BD58" i="4" s="1"/>
  <c r="BC77" i="4" a="1"/>
  <c r="BC77" i="4" s="1"/>
  <c r="BD9" i="4" a="1"/>
  <c r="BD9" i="4" s="1"/>
  <c r="BE15" i="4" a="1"/>
  <c r="BE15" i="4" s="1"/>
  <c r="BD39" i="4" a="1"/>
  <c r="BD39" i="4" s="1"/>
  <c r="BF39" i="4" s="1"/>
  <c r="BC32" i="4" a="1"/>
  <c r="BC32" i="4" s="1"/>
  <c r="BB74" i="4" a="1"/>
  <c r="BB74" i="4" s="1"/>
  <c r="BD17" i="4" a="1"/>
  <c r="BD17" i="4" s="1"/>
  <c r="BD27" i="4" a="1"/>
  <c r="BD27" i="4" s="1"/>
  <c r="BC38" i="4" a="1"/>
  <c r="BC38" i="4" s="1"/>
  <c r="BD34" i="4" a="1"/>
  <c r="BD34" i="4" s="1"/>
  <c r="BF34" i="4" s="1"/>
  <c r="BE74" i="4" a="1"/>
  <c r="BE74" i="4" s="1"/>
  <c r="BC29" i="4" a="1"/>
  <c r="BC29" i="4" s="1"/>
  <c r="Y18" i="4"/>
  <c r="Z18" i="4"/>
  <c r="Y77" i="4"/>
  <c r="Z77" i="4"/>
  <c r="BE53" i="4" a="1"/>
  <c r="BE53" i="4" s="1"/>
  <c r="BD77" i="4" a="1"/>
  <c r="BD77" i="4" s="1"/>
  <c r="BC62" i="4" a="1"/>
  <c r="BC62" i="4" s="1"/>
  <c r="BD50" i="4" a="1"/>
  <c r="BD50" i="4" s="1"/>
  <c r="BD14" i="4" a="1"/>
  <c r="BD14" i="4" s="1"/>
  <c r="BE27" i="4" a="1"/>
  <c r="BE27" i="4" s="1"/>
  <c r="BE21" i="4" a="1"/>
  <c r="BE21" i="4" s="1"/>
  <c r="BB76" i="4" a="1"/>
  <c r="BB76" i="4" s="1"/>
  <c r="BC64" i="4" a="1"/>
  <c r="BC64" i="4" s="1"/>
  <c r="Z21" i="4"/>
  <c r="Y21" i="4"/>
  <c r="BB56" i="4" a="1"/>
  <c r="BB56" i="4" s="1"/>
  <c r="Z42" i="4"/>
  <c r="Y42" i="4"/>
  <c r="BD26" i="4" a="1"/>
  <c r="BD26" i="4" s="1"/>
  <c r="BB10" i="4" a="1"/>
  <c r="BB10" i="4" s="1"/>
  <c r="BB40" i="4" a="1"/>
  <c r="BB40" i="4" s="1"/>
  <c r="BC17" i="4" a="1"/>
  <c r="BC17" i="4" s="1"/>
  <c r="BB51" i="4" a="1"/>
  <c r="BB51" i="4" s="1"/>
  <c r="BE44" i="4" a="1"/>
  <c r="BE44" i="4" s="1"/>
  <c r="BC57" i="4" a="1"/>
  <c r="BC57" i="4" s="1"/>
  <c r="Y30" i="4"/>
  <c r="Z30" i="4"/>
  <c r="Z54" i="4"/>
  <c r="Y54" i="4"/>
  <c r="Y41" i="4"/>
  <c r="Z41" i="4"/>
  <c r="BC41" i="4" a="1"/>
  <c r="BC41" i="4" s="1"/>
  <c r="BB14" i="4" a="1"/>
  <c r="BB14" i="4" s="1"/>
  <c r="BD76" i="4" a="1"/>
  <c r="BD76" i="4" s="1"/>
  <c r="BF76" i="4" s="1"/>
  <c r="BC53" i="4" a="1"/>
  <c r="BC53" i="4" s="1"/>
  <c r="BB65" i="4" a="1"/>
  <c r="BB65" i="4" s="1"/>
  <c r="BE32" i="4" a="1"/>
  <c r="BE32" i="4" s="1"/>
  <c r="BD45" i="4" a="1"/>
  <c r="BD45" i="4" s="1"/>
  <c r="BF45" i="4" s="1"/>
  <c r="BE52" i="4" a="1"/>
  <c r="BE52" i="4" s="1"/>
  <c r="BF52" i="4" s="1"/>
  <c r="BB77" i="4" a="1"/>
  <c r="BB77" i="4" s="1"/>
  <c r="BC27" i="4" a="1"/>
  <c r="BC27" i="4" s="1"/>
  <c r="BE71" i="4" a="1"/>
  <c r="BE71" i="4" s="1"/>
  <c r="BD41" i="4" a="1"/>
  <c r="BD41" i="4" s="1"/>
  <c r="BD53" i="4" a="1"/>
  <c r="BD53" i="4" s="1"/>
  <c r="BE62" i="4" a="1"/>
  <c r="BE62" i="4" s="1"/>
  <c r="BB16" i="4" a="1"/>
  <c r="BB16" i="4" s="1"/>
  <c r="Z69" i="4"/>
  <c r="Y69" i="4"/>
  <c r="BE29" i="4" a="1"/>
  <c r="BE29" i="4" s="1"/>
  <c r="BC28" i="4" a="1"/>
  <c r="BC28" i="4" s="1"/>
  <c r="Y15" i="4"/>
  <c r="Z15" i="4"/>
  <c r="BC59" i="4" a="1"/>
  <c r="BC59" i="4" s="1"/>
  <c r="BB70" i="4" a="1"/>
  <c r="BB70" i="4" s="1"/>
  <c r="Y53" i="4"/>
  <c r="Z53" i="4"/>
  <c r="BB20" i="4" a="1"/>
  <c r="BB20" i="4" s="1"/>
  <c r="Y29" i="4"/>
  <c r="Z29" i="4"/>
  <c r="Z17" i="4"/>
  <c r="Y17" i="4"/>
  <c r="BB33" i="4" a="1"/>
  <c r="BB33" i="4" s="1"/>
  <c r="BD65" i="4" a="1"/>
  <c r="BD65" i="4" s="1"/>
  <c r="BE14" i="4" a="1"/>
  <c r="BE14" i="4" s="1"/>
  <c r="BB32" i="4" a="1"/>
  <c r="BB32" i="4" s="1"/>
  <c r="BE35" i="4" a="1"/>
  <c r="BE35" i="4" s="1"/>
  <c r="BE76" i="4" a="1"/>
  <c r="BE76" i="4" s="1"/>
  <c r="BB68" i="4" a="1"/>
  <c r="BB68" i="4" s="1"/>
  <c r="BE77" i="4" a="1"/>
  <c r="BE77" i="4" s="1"/>
  <c r="BE58" i="4" a="1"/>
  <c r="BE58" i="4" s="1"/>
  <c r="BE63" i="4" a="1"/>
  <c r="BE63" i="4" s="1"/>
  <c r="BD62" i="4" a="1"/>
  <c r="BD62" i="4" s="1"/>
  <c r="BD46" i="4" a="1"/>
  <c r="BD46" i="4" s="1"/>
  <c r="BE40" i="4" a="1"/>
  <c r="BE40" i="4" s="1"/>
  <c r="BF40" i="4" s="1"/>
  <c r="BD22" i="4" a="1"/>
  <c r="BD22" i="4" s="1"/>
  <c r="BE20" i="4" a="1"/>
  <c r="BE20" i="4" s="1"/>
  <c r="BC74" i="4" a="1"/>
  <c r="BC74" i="4" s="1"/>
  <c r="BD11" i="4" a="1"/>
  <c r="BD11" i="4" s="1"/>
  <c r="BF11" i="4" s="1"/>
  <c r="BE56" i="4" a="1"/>
  <c r="BE56" i="4" s="1"/>
  <c r="BD71" i="4" a="1"/>
  <c r="BD71" i="4" s="1"/>
  <c r="BC51" i="4" a="1"/>
  <c r="BC51" i="4" s="1"/>
  <c r="BC46" i="4" a="1"/>
  <c r="BC46" i="4" s="1"/>
  <c r="BE22" i="4" a="1"/>
  <c r="BE22" i="4" s="1"/>
  <c r="BB47" i="4" a="1"/>
  <c r="BB47" i="4" s="1"/>
  <c r="BC75" i="4" a="1"/>
  <c r="BC75" i="4" s="1"/>
  <c r="BE46" i="4" a="1"/>
  <c r="BE46" i="4" s="1"/>
  <c r="BD44" i="4" a="1"/>
  <c r="BD44" i="4" s="1"/>
  <c r="BC56" i="4" a="1"/>
  <c r="BC56" i="4" s="1"/>
  <c r="BC39" i="4" a="1"/>
  <c r="BC39" i="4" s="1"/>
  <c r="BC76" i="4" a="1"/>
  <c r="BC76" i="4" s="1"/>
  <c r="BD75" i="4" a="1"/>
  <c r="BD75" i="4" s="1"/>
  <c r="BC65" i="4" a="1"/>
  <c r="BC65" i="4" s="1"/>
  <c r="BB52" i="4" a="1"/>
  <c r="BB52" i="4" s="1"/>
  <c r="BE17" i="4" a="1"/>
  <c r="BE17" i="4" s="1"/>
  <c r="BB22" i="4" a="1"/>
  <c r="BB22" i="4" s="1"/>
  <c r="BD57" i="4" a="1"/>
  <c r="BD57" i="4" s="1"/>
  <c r="BB45" i="4" a="1"/>
  <c r="BB45" i="4" s="1"/>
  <c r="BB35" i="4" a="1"/>
  <c r="BB35" i="4" s="1"/>
  <c r="BD35" i="4" a="1"/>
  <c r="BD35" i="4" s="1"/>
  <c r="BF35" i="4" s="1"/>
  <c r="BD10" i="4" a="1"/>
  <c r="BD10" i="4" s="1"/>
  <c r="BB11" i="4" a="1"/>
  <c r="BB11" i="4" s="1"/>
  <c r="BC20" i="4" a="1"/>
  <c r="BC20" i="4" s="1"/>
  <c r="BC24" i="4" s="1"/>
  <c r="BB58" i="4" a="1"/>
  <c r="BB58" i="4" s="1"/>
  <c r="BC68" i="4" a="1"/>
  <c r="BC68" i="4" s="1"/>
  <c r="Y39" i="4"/>
  <c r="Z39" i="4"/>
  <c r="BC35" i="4" a="1"/>
  <c r="BC35" i="4" s="1"/>
  <c r="BD32" i="4" a="1"/>
  <c r="BD32" i="4" s="1"/>
  <c r="BC10" i="4" a="1"/>
  <c r="BC10" i="4" s="1"/>
  <c r="BB39" i="4" a="1"/>
  <c r="BB39" i="4" s="1"/>
  <c r="BD38" i="4" a="1"/>
  <c r="BD38" i="4" s="1"/>
  <c r="BE33" i="4" a="1"/>
  <c r="BE33" i="4" s="1"/>
  <c r="BD20" i="4" a="1"/>
  <c r="BD20" i="4" s="1"/>
  <c r="BB63" i="4" a="1"/>
  <c r="BB63" i="4" s="1"/>
  <c r="BD74" i="4" a="1"/>
  <c r="BD74" i="4" s="1"/>
  <c r="BF64" i="4" l="1"/>
  <c r="BF17" i="4"/>
  <c r="BF33" i="4"/>
  <c r="BF77" i="4"/>
  <c r="BF16" i="4"/>
  <c r="BF10" i="4"/>
  <c r="BF29" i="4"/>
  <c r="BE60" i="4"/>
  <c r="BE18" i="4"/>
  <c r="BE78" i="4"/>
  <c r="BF57" i="4"/>
  <c r="BH57" i="4" s="1"/>
  <c r="BF65" i="4"/>
  <c r="BF15" i="4"/>
  <c r="BC42" i="4"/>
  <c r="BF27" i="4"/>
  <c r="BF23" i="4"/>
  <c r="BB60" i="4"/>
  <c r="BB30" i="4"/>
  <c r="BD12" i="4"/>
  <c r="BF8" i="4"/>
  <c r="BF28" i="4"/>
  <c r="BF71" i="4"/>
  <c r="BE36" i="4"/>
  <c r="BB78" i="4"/>
  <c r="BC12" i="4"/>
  <c r="BE54" i="4"/>
  <c r="BF26" i="4"/>
  <c r="BD30" i="4"/>
  <c r="BB66" i="4"/>
  <c r="BC72" i="4"/>
  <c r="BB48" i="4"/>
  <c r="BB24" i="4"/>
  <c r="BC36" i="4"/>
  <c r="BF68" i="4"/>
  <c r="BD72" i="4"/>
  <c r="BD36" i="4"/>
  <c r="BF32" i="4"/>
  <c r="BG32" i="4" s="1"/>
  <c r="BB42" i="4"/>
  <c r="BC18" i="4"/>
  <c r="BH59" i="4"/>
  <c r="BF14" i="4"/>
  <c r="BG16" i="4" s="1"/>
  <c r="BD18" i="4"/>
  <c r="BF58" i="4"/>
  <c r="BG58" i="4" s="1"/>
  <c r="BE12" i="4"/>
  <c r="BF51" i="4"/>
  <c r="BB18" i="4"/>
  <c r="BE24" i="4"/>
  <c r="BE30" i="4"/>
  <c r="BC78" i="4"/>
  <c r="BD54" i="4"/>
  <c r="BF50" i="4"/>
  <c r="BE72" i="4"/>
  <c r="BF20" i="4"/>
  <c r="BD24" i="4"/>
  <c r="BF75" i="4"/>
  <c r="BF70" i="4"/>
  <c r="BF22" i="4"/>
  <c r="BF46" i="4"/>
  <c r="BC66" i="4"/>
  <c r="BB54" i="4"/>
  <c r="BF56" i="4"/>
  <c r="BD60" i="4"/>
  <c r="BC54" i="4"/>
  <c r="BF21" i="4"/>
  <c r="BB72" i="4"/>
  <c r="BC48" i="4"/>
  <c r="BF9" i="4"/>
  <c r="BF38" i="4"/>
  <c r="BD42" i="4"/>
  <c r="BE66" i="4"/>
  <c r="BE48" i="4"/>
  <c r="BB12" i="4"/>
  <c r="BF63" i="4"/>
  <c r="BD66" i="4"/>
  <c r="BF62" i="4"/>
  <c r="BD78" i="4"/>
  <c r="BF74" i="4"/>
  <c r="BC60" i="4"/>
  <c r="BF53" i="4"/>
  <c r="BD48" i="4"/>
  <c r="BF44" i="4"/>
  <c r="BB36" i="4"/>
  <c r="BF41" i="4"/>
  <c r="BF47" i="4"/>
  <c r="BC30" i="4"/>
  <c r="BG70" i="4" l="1"/>
  <c r="BG75" i="4"/>
  <c r="BG35" i="4"/>
  <c r="BG15" i="4"/>
  <c r="BG29" i="4"/>
  <c r="BG10" i="4"/>
  <c r="BG62" i="4"/>
  <c r="BG33" i="4"/>
  <c r="BG9" i="4"/>
  <c r="BG44" i="4"/>
  <c r="BG28" i="4"/>
  <c r="BG53" i="4"/>
  <c r="BG74" i="4"/>
  <c r="BG22" i="4"/>
  <c r="BG14" i="4"/>
  <c r="BG38" i="4"/>
  <c r="BG59" i="4"/>
  <c r="BG40" i="4"/>
  <c r="BG71" i="4"/>
  <c r="BG20" i="4"/>
  <c r="BG68" i="4"/>
  <c r="BG51" i="4"/>
  <c r="BG34" i="4"/>
  <c r="BG39" i="4"/>
  <c r="BG50" i="4"/>
  <c r="BG57" i="4"/>
  <c r="BG65" i="4"/>
  <c r="BG69" i="4"/>
  <c r="BG23" i="4"/>
  <c r="BG11" i="4"/>
  <c r="BG8" i="4"/>
  <c r="BG21" i="4"/>
  <c r="BG17" i="4"/>
  <c r="BG63" i="4"/>
  <c r="BG56" i="4"/>
  <c r="BG27" i="4"/>
  <c r="BH56" i="4"/>
  <c r="BG77" i="4"/>
  <c r="BG45" i="4"/>
  <c r="BG47" i="4"/>
  <c r="BG64" i="4"/>
  <c r="BH58" i="4"/>
  <c r="BG41" i="4"/>
  <c r="BG26" i="4"/>
  <c r="BG46" i="4"/>
  <c r="BG76" i="4"/>
  <c r="BG52" i="4"/>
  <c r="BG78" i="4" l="1"/>
  <c r="BH74" i="4" s="1"/>
  <c r="BG48" i="4"/>
  <c r="BH44" i="4" s="1"/>
  <c r="BG54" i="4"/>
  <c r="BH53" i="4" s="1"/>
  <c r="BG30" i="4"/>
  <c r="BH26" i="4" s="1"/>
  <c r="BG60" i="4"/>
  <c r="BG66" i="4"/>
  <c r="BH62" i="4" s="1"/>
  <c r="BG42" i="4"/>
  <c r="BH38" i="4" s="1"/>
  <c r="BH60" i="4"/>
  <c r="BI58" i="4" s="1"/>
  <c r="AP58" i="4" s="1"/>
  <c r="BG36" i="4"/>
  <c r="BG18" i="4"/>
  <c r="BG72" i="4"/>
  <c r="BH70" i="4" s="1"/>
  <c r="BG12" i="4"/>
  <c r="BG24" i="4"/>
  <c r="BH20" i="4" s="1"/>
  <c r="BH75" i="4" l="1"/>
  <c r="BH76" i="4"/>
  <c r="BH77" i="4"/>
  <c r="BH78" i="4" s="1"/>
  <c r="BI74" i="4" s="1"/>
  <c r="AP74" i="4" s="1"/>
  <c r="BH50" i="4"/>
  <c r="BH51" i="4"/>
  <c r="BH47" i="4"/>
  <c r="BH46" i="4"/>
  <c r="BH45" i="4"/>
  <c r="BH52" i="4"/>
  <c r="BH54" i="4" s="1"/>
  <c r="BH40" i="4"/>
  <c r="BH41" i="4"/>
  <c r="BH22" i="4"/>
  <c r="BH21" i="4"/>
  <c r="BH9" i="4"/>
  <c r="BH10" i="4"/>
  <c r="BH8" i="4"/>
  <c r="BH68" i="4"/>
  <c r="BH14" i="4"/>
  <c r="BH15" i="4"/>
  <c r="BH16" i="4"/>
  <c r="BH29" i="4"/>
  <c r="BH28" i="4"/>
  <c r="BH35" i="4"/>
  <c r="BH33" i="4"/>
  <c r="BH32" i="4"/>
  <c r="BH63" i="4"/>
  <c r="BI57" i="4"/>
  <c r="AP57" i="4" s="1"/>
  <c r="BI59" i="4"/>
  <c r="AP59" i="4" s="1"/>
  <c r="BH64" i="4"/>
  <c r="BI56" i="4"/>
  <c r="AP56" i="4" s="1"/>
  <c r="BH69" i="4"/>
  <c r="BH23" i="4"/>
  <c r="BH65" i="4"/>
  <c r="BH24" i="4"/>
  <c r="BI20" i="4" s="1"/>
  <c r="AP20" i="4" s="1"/>
  <c r="BH71" i="4"/>
  <c r="BH17" i="4"/>
  <c r="BH11" i="4"/>
  <c r="BH27" i="4"/>
  <c r="BH34" i="4"/>
  <c r="BH39" i="4"/>
  <c r="BH42" i="4" l="1"/>
  <c r="BI38" i="4" s="1"/>
  <c r="AP38" i="4" s="1"/>
  <c r="BH48" i="4"/>
  <c r="BI53" i="4"/>
  <c r="AP53" i="4" s="1"/>
  <c r="BI52" i="4"/>
  <c r="AP52" i="4" s="1"/>
  <c r="BI51" i="4"/>
  <c r="AP51" i="4" s="1"/>
  <c r="BH30" i="4"/>
  <c r="BI26" i="4" s="1"/>
  <c r="AP26" i="4" s="1"/>
  <c r="AP60" i="4"/>
  <c r="AR58" i="4" s="1"/>
  <c r="BI64" i="4"/>
  <c r="AP64" i="4" s="1"/>
  <c r="BI76" i="4"/>
  <c r="AP76" i="4" s="1"/>
  <c r="BI21" i="4"/>
  <c r="AP21" i="4" s="1"/>
  <c r="BI22" i="4"/>
  <c r="AP22" i="4" s="1"/>
  <c r="BI75" i="4"/>
  <c r="AP75" i="4" s="1"/>
  <c r="BI63" i="4"/>
  <c r="AP63" i="4" s="1"/>
  <c r="BI77" i="4"/>
  <c r="AP77" i="4" s="1"/>
  <c r="BI33" i="4"/>
  <c r="AP33" i="4" s="1"/>
  <c r="BI28" i="4"/>
  <c r="AP28" i="4" s="1"/>
  <c r="BI16" i="4"/>
  <c r="AP16" i="4" s="1"/>
  <c r="BH12" i="4"/>
  <c r="BI8" i="4" s="1"/>
  <c r="AP8" i="4" s="1"/>
  <c r="BI10" i="4"/>
  <c r="AP10" i="4" s="1"/>
  <c r="BI39" i="4"/>
  <c r="AP39" i="4" s="1"/>
  <c r="BI27" i="4"/>
  <c r="AP27" i="4" s="1"/>
  <c r="BI40" i="4"/>
  <c r="AP40" i="4" s="1"/>
  <c r="BI50" i="4"/>
  <c r="AP50" i="4" s="1"/>
  <c r="BH66" i="4"/>
  <c r="BI62" i="4" s="1"/>
  <c r="AP62" i="4" s="1"/>
  <c r="BI23" i="4"/>
  <c r="AP23" i="4" s="1"/>
  <c r="BI41" i="4"/>
  <c r="AP41" i="4" s="1"/>
  <c r="BH18" i="4"/>
  <c r="BI17" i="4" s="1"/>
  <c r="AP17" i="4" s="1"/>
  <c r="BH72" i="4"/>
  <c r="BI70" i="4" s="1"/>
  <c r="AP70" i="4" s="1"/>
  <c r="BH36" i="4"/>
  <c r="BI35" i="4" s="1"/>
  <c r="AP35" i="4" s="1"/>
  <c r="BI14" i="4" l="1"/>
  <c r="AP14" i="4" s="1"/>
  <c r="BI11" i="4"/>
  <c r="AP11" i="4" s="1"/>
  <c r="AR59" i="4"/>
  <c r="BI44" i="4"/>
  <c r="AP44" i="4" s="1"/>
  <c r="BI47" i="4"/>
  <c r="AP47" i="4" s="1"/>
  <c r="BI46" i="4"/>
  <c r="AP46" i="4" s="1"/>
  <c r="BI45" i="4"/>
  <c r="AP45" i="4" s="1"/>
  <c r="AP24" i="4"/>
  <c r="AR20" i="4" s="1"/>
  <c r="BI69" i="4"/>
  <c r="AP69" i="4" s="1"/>
  <c r="BI15" i="4"/>
  <c r="AP15" i="4" s="1"/>
  <c r="BI29" i="4"/>
  <c r="AP29" i="4" s="1"/>
  <c r="AP30" i="4" s="1"/>
  <c r="AR26" i="4" s="1"/>
  <c r="BI71" i="4"/>
  <c r="AP71" i="4" s="1"/>
  <c r="BI34" i="4"/>
  <c r="AP34" i="4" s="1"/>
  <c r="BI9" i="4"/>
  <c r="AP9" i="4" s="1"/>
  <c r="AP12" i="4"/>
  <c r="AR10" i="4" s="1"/>
  <c r="AR8" i="4"/>
  <c r="AR23" i="4"/>
  <c r="AR11" i="4"/>
  <c r="AR57" i="4"/>
  <c r="AD57" i="4" s="1"/>
  <c r="AR9" i="4"/>
  <c r="AR41" i="4"/>
  <c r="AR22" i="4"/>
  <c r="AP54" i="4"/>
  <c r="AR56" i="4"/>
  <c r="AP78" i="4"/>
  <c r="AR74" i="4" s="1"/>
  <c r="BI68" i="4"/>
  <c r="AP68" i="4" s="1"/>
  <c r="BI32" i="4"/>
  <c r="AP32" i="4" s="1"/>
  <c r="BI65" i="4"/>
  <c r="AP65" i="4" s="1"/>
  <c r="AP66" i="4" s="1"/>
  <c r="AP42" i="4"/>
  <c r="AR38" i="4" s="1"/>
  <c r="AP18" i="4" l="1"/>
  <c r="AD9" i="4"/>
  <c r="AR21" i="4"/>
  <c r="AD59" i="4"/>
  <c r="AP48" i="4"/>
  <c r="AR46" i="4" s="1"/>
  <c r="AR62" i="4"/>
  <c r="AR63" i="4"/>
  <c r="AR64" i="4"/>
  <c r="AD64" i="4" s="1"/>
  <c r="AR15" i="4"/>
  <c r="AR27" i="4"/>
  <c r="AD10" i="4"/>
  <c r="AR39" i="4"/>
  <c r="AD23" i="4"/>
  <c r="AR29" i="4"/>
  <c r="AR28" i="4"/>
  <c r="AR40" i="4"/>
  <c r="AD41" i="4" s="1"/>
  <c r="AR65" i="4"/>
  <c r="AR76" i="4"/>
  <c r="AD20" i="4"/>
  <c r="AD21" i="4"/>
  <c r="AD11" i="4"/>
  <c r="AR51" i="4"/>
  <c r="AR52" i="4"/>
  <c r="AR53" i="4"/>
  <c r="AD8" i="4"/>
  <c r="AP36" i="4"/>
  <c r="AR32" i="4" s="1"/>
  <c r="AD58" i="4"/>
  <c r="AP72" i="4"/>
  <c r="AD56" i="4"/>
  <c r="AR75" i="4"/>
  <c r="AR50" i="4"/>
  <c r="AR77" i="4"/>
  <c r="AD22" i="4"/>
  <c r="AD63" i="4" l="1"/>
  <c r="AR17" i="4"/>
  <c r="AD17" i="4" s="1"/>
  <c r="AR16" i="4"/>
  <c r="AD16" i="4" s="1"/>
  <c r="AR14" i="4"/>
  <c r="AD14" i="4" s="1"/>
  <c r="AD46" i="4"/>
  <c r="AD77" i="4"/>
  <c r="AD39" i="4"/>
  <c r="AD53" i="4"/>
  <c r="AD62" i="4"/>
  <c r="N64" i="4" s="1"/>
  <c r="AD27" i="4"/>
  <c r="O29" i="4" s="1"/>
  <c r="AR44" i="4"/>
  <c r="AR45" i="4"/>
  <c r="AR47" i="4"/>
  <c r="AD51" i="4"/>
  <c r="AD40" i="4"/>
  <c r="AD26" i="4"/>
  <c r="AD65" i="4"/>
  <c r="AD38" i="4"/>
  <c r="AD28" i="4"/>
  <c r="AD74" i="4"/>
  <c r="M75" i="4" s="1"/>
  <c r="AD29" i="4"/>
  <c r="N75" i="4"/>
  <c r="N12" i="4"/>
  <c r="O10" i="4"/>
  <c r="M12" i="4"/>
  <c r="O11" i="4"/>
  <c r="N10" i="4"/>
  <c r="O9" i="4"/>
  <c r="L9" i="4"/>
  <c r="J10" i="4"/>
  <c r="AS9" i="4" s="1"/>
  <c r="BL18" i="4" s="1"/>
  <c r="E96" i="7" s="1"/>
  <c r="L11" i="4"/>
  <c r="J11" i="4"/>
  <c r="AE80" i="4" s="1"/>
  <c r="L10" i="4"/>
  <c r="M11" i="4"/>
  <c r="N9" i="4"/>
  <c r="J12" i="4"/>
  <c r="M10" i="4"/>
  <c r="M9" i="4"/>
  <c r="O12" i="4"/>
  <c r="J9" i="4"/>
  <c r="L12" i="4"/>
  <c r="N11" i="4"/>
  <c r="O58" i="4"/>
  <c r="M59" i="4"/>
  <c r="L59" i="4"/>
  <c r="J59" i="4"/>
  <c r="AE88" i="4" s="1"/>
  <c r="J60" i="4"/>
  <c r="L57" i="4"/>
  <c r="N58" i="4"/>
  <c r="J58" i="4"/>
  <c r="AS57" i="4" s="1"/>
  <c r="BL47" i="4" s="1"/>
  <c r="N57" i="4"/>
  <c r="M57" i="4"/>
  <c r="L58" i="4"/>
  <c r="O57" i="4"/>
  <c r="M58" i="4"/>
  <c r="J57" i="4"/>
  <c r="N59" i="4"/>
  <c r="O59" i="4"/>
  <c r="O60" i="4"/>
  <c r="N60" i="4"/>
  <c r="M60" i="4"/>
  <c r="L60" i="4"/>
  <c r="N22" i="4"/>
  <c r="M22" i="4"/>
  <c r="O24" i="4"/>
  <c r="L22" i="4"/>
  <c r="N24" i="4"/>
  <c r="L24" i="4"/>
  <c r="J21" i="4"/>
  <c r="J23" i="4"/>
  <c r="AE82" i="4" s="1"/>
  <c r="O22" i="4"/>
  <c r="J22" i="4"/>
  <c r="AS21" i="4" s="1"/>
  <c r="BL23" i="4" s="1"/>
  <c r="M23" i="4"/>
  <c r="O21" i="4"/>
  <c r="N21" i="4"/>
  <c r="M21" i="4"/>
  <c r="L21" i="4"/>
  <c r="L23" i="4"/>
  <c r="M24" i="4"/>
  <c r="J24" i="4"/>
  <c r="O23" i="4"/>
  <c r="N23" i="4"/>
  <c r="AR71" i="4"/>
  <c r="AR70" i="4"/>
  <c r="AR69" i="4"/>
  <c r="AR68" i="4"/>
  <c r="L65" i="4"/>
  <c r="J63" i="4"/>
  <c r="AR34" i="4"/>
  <c r="AR33" i="4"/>
  <c r="AR35" i="4"/>
  <c r="AD35" i="4" s="1"/>
  <c r="AD52" i="4"/>
  <c r="AD50" i="4"/>
  <c r="AD75" i="4"/>
  <c r="J27" i="4"/>
  <c r="O27" i="4"/>
  <c r="N27" i="4"/>
  <c r="AD76" i="4"/>
  <c r="N16" i="4" l="1"/>
  <c r="O17" i="4"/>
  <c r="N17" i="4"/>
  <c r="J16" i="4"/>
  <c r="AS15" i="4" s="1"/>
  <c r="BL19" i="4" s="1"/>
  <c r="E97" i="7" s="1"/>
  <c r="N29" i="4"/>
  <c r="M64" i="4"/>
  <c r="P64" i="4" s="1"/>
  <c r="J64" i="4"/>
  <c r="AS63" i="4" s="1"/>
  <c r="BL31" i="4" s="1"/>
  <c r="E103" i="7" s="1"/>
  <c r="L42" i="4"/>
  <c r="O66" i="4"/>
  <c r="J30" i="4"/>
  <c r="J29" i="4"/>
  <c r="AE83" i="4" s="1"/>
  <c r="O65" i="4"/>
  <c r="L63" i="4"/>
  <c r="M63" i="4"/>
  <c r="M29" i="4"/>
  <c r="K29" i="4" s="1"/>
  <c r="J39" i="4"/>
  <c r="E83" i="7" s="1"/>
  <c r="N63" i="4"/>
  <c r="O63" i="4"/>
  <c r="O64" i="4"/>
  <c r="AD15" i="4"/>
  <c r="M17" i="4" s="1"/>
  <c r="M27" i="4"/>
  <c r="AD45" i="4"/>
  <c r="O28" i="4"/>
  <c r="M65" i="4"/>
  <c r="K65" i="4" s="1"/>
  <c r="L29" i="4"/>
  <c r="N65" i="4"/>
  <c r="L27" i="4"/>
  <c r="P27" i="4" s="1"/>
  <c r="J65" i="4"/>
  <c r="AE89" i="4" s="1"/>
  <c r="AG89" i="4" s="1"/>
  <c r="N28" i="4"/>
  <c r="M30" i="4"/>
  <c r="N30" i="4"/>
  <c r="J66" i="4"/>
  <c r="N42" i="4"/>
  <c r="O30" i="4"/>
  <c r="L30" i="4"/>
  <c r="L66" i="4"/>
  <c r="K66" i="4" s="1"/>
  <c r="N39" i="4"/>
  <c r="AD47" i="4"/>
  <c r="J40" i="4"/>
  <c r="AS39" i="4" s="1"/>
  <c r="BL43" i="4" s="1"/>
  <c r="E109" i="7" s="1"/>
  <c r="AD44" i="4"/>
  <c r="N40" i="4"/>
  <c r="O40" i="4"/>
  <c r="L16" i="4"/>
  <c r="K16" i="4" s="1"/>
  <c r="L39" i="4"/>
  <c r="M16" i="4"/>
  <c r="P16" i="4" s="1"/>
  <c r="L40" i="4"/>
  <c r="O16" i="4"/>
  <c r="N66" i="4"/>
  <c r="M39" i="4"/>
  <c r="J17" i="4"/>
  <c r="AE81" i="4" s="1"/>
  <c r="AT81" i="4" s="1"/>
  <c r="L64" i="4"/>
  <c r="L41" i="4"/>
  <c r="O75" i="4"/>
  <c r="M40" i="4"/>
  <c r="O76" i="4"/>
  <c r="AD68" i="4"/>
  <c r="N69" i="4" s="1"/>
  <c r="L75" i="4"/>
  <c r="K75" i="4" s="1"/>
  <c r="J75" i="4"/>
  <c r="N41" i="4"/>
  <c r="O41" i="4"/>
  <c r="O42" i="4"/>
  <c r="O18" i="4"/>
  <c r="L15" i="4"/>
  <c r="J18" i="4"/>
  <c r="J41" i="4"/>
  <c r="AE85" i="4" s="1"/>
  <c r="AG85" i="4" s="1"/>
  <c r="M42" i="4"/>
  <c r="K42" i="4" s="1"/>
  <c r="M41" i="4"/>
  <c r="J28" i="4"/>
  <c r="AS27" i="4" s="1"/>
  <c r="BL62" i="4" s="1"/>
  <c r="BS61" i="4" s="1"/>
  <c r="E139" i="7" s="1"/>
  <c r="O39" i="4"/>
  <c r="L28" i="4"/>
  <c r="M66" i="4"/>
  <c r="J42" i="4"/>
  <c r="M28" i="4"/>
  <c r="P60" i="4"/>
  <c r="K60" i="4"/>
  <c r="P75" i="4"/>
  <c r="AI88" i="4"/>
  <c r="AF88" i="4"/>
  <c r="AN88" i="4"/>
  <c r="AH88" i="4"/>
  <c r="AG88" i="4"/>
  <c r="AT88" i="4"/>
  <c r="AL88" i="4"/>
  <c r="AJ88" i="4"/>
  <c r="AQ88" i="4"/>
  <c r="K59" i="4"/>
  <c r="P59" i="4"/>
  <c r="K22" i="4"/>
  <c r="P22" i="4"/>
  <c r="AD33" i="4"/>
  <c r="O69" i="4"/>
  <c r="AD32" i="4"/>
  <c r="P12" i="4"/>
  <c r="K12" i="4"/>
  <c r="AD71" i="4"/>
  <c r="O78" i="4"/>
  <c r="N77" i="4"/>
  <c r="J77" i="4"/>
  <c r="AE91" i="4" s="1"/>
  <c r="E86" i="7"/>
  <c r="AS56" i="4"/>
  <c r="BL14" i="4" s="1"/>
  <c r="E87" i="7"/>
  <c r="AS62" i="4"/>
  <c r="BL58" i="4" s="1"/>
  <c r="N76" i="4"/>
  <c r="P11" i="4"/>
  <c r="K11" i="4"/>
  <c r="AG83" i="4"/>
  <c r="AT83" i="4"/>
  <c r="AI83" i="4"/>
  <c r="AN83" i="4"/>
  <c r="AQ83" i="4"/>
  <c r="AL83" i="4"/>
  <c r="AJ83" i="4"/>
  <c r="AF83" i="4"/>
  <c r="AH83" i="4"/>
  <c r="E89" i="7"/>
  <c r="AS74" i="4"/>
  <c r="BL54" i="4" s="1"/>
  <c r="E111" i="7"/>
  <c r="BS45" i="4"/>
  <c r="O77" i="4"/>
  <c r="E81" i="7"/>
  <c r="AS26" i="4"/>
  <c r="BL34" i="4" s="1"/>
  <c r="AD34" i="4"/>
  <c r="L77" i="4"/>
  <c r="AD70" i="4"/>
  <c r="E78" i="7"/>
  <c r="AS8" i="4"/>
  <c r="BL50" i="4" s="1"/>
  <c r="J76" i="4"/>
  <c r="AS75" i="4" s="1"/>
  <c r="BL27" i="4" s="1"/>
  <c r="AS38" i="4"/>
  <c r="BL22" i="4" s="1"/>
  <c r="E98" i="7" s="1"/>
  <c r="AN89" i="4"/>
  <c r="AT89" i="4"/>
  <c r="AL89" i="4"/>
  <c r="AJ89" i="4"/>
  <c r="AI89" i="4"/>
  <c r="AH89" i="4"/>
  <c r="AF89" i="4"/>
  <c r="K10" i="4"/>
  <c r="P10" i="4"/>
  <c r="S89" i="4"/>
  <c r="T89" i="4" s="1" a="1"/>
  <c r="T89" i="4" s="1"/>
  <c r="E99" i="7"/>
  <c r="BS21" i="4"/>
  <c r="AG82" i="4"/>
  <c r="AT82" i="4"/>
  <c r="AN82" i="4"/>
  <c r="AH82" i="4"/>
  <c r="AL82" i="4"/>
  <c r="AF82" i="4"/>
  <c r="AJ82" i="4"/>
  <c r="AQ82" i="4"/>
  <c r="AI82" i="4"/>
  <c r="P57" i="4"/>
  <c r="K57" i="4"/>
  <c r="P63" i="4"/>
  <c r="K63" i="4"/>
  <c r="P24" i="4"/>
  <c r="K24" i="4"/>
  <c r="M53" i="4"/>
  <c r="O53" i="4"/>
  <c r="N51" i="4"/>
  <c r="M54" i="4"/>
  <c r="N54" i="4"/>
  <c r="M51" i="4"/>
  <c r="L54" i="4"/>
  <c r="L51" i="4"/>
  <c r="N53" i="4"/>
  <c r="L53" i="4"/>
  <c r="J53" i="4"/>
  <c r="AE87" i="4" s="1"/>
  <c r="N52" i="4"/>
  <c r="O54" i="4"/>
  <c r="O51" i="4"/>
  <c r="L52" i="4"/>
  <c r="J52" i="4"/>
  <c r="AS51" i="4" s="1"/>
  <c r="BL59" i="4" s="1"/>
  <c r="E117" i="7" s="1"/>
  <c r="J54" i="4"/>
  <c r="M52" i="4"/>
  <c r="O52" i="4"/>
  <c r="J51" i="4"/>
  <c r="AD69" i="4"/>
  <c r="M78" i="4"/>
  <c r="P29" i="4"/>
  <c r="N78" i="4"/>
  <c r="AG81" i="4"/>
  <c r="M77" i="4"/>
  <c r="K23" i="4"/>
  <c r="P23" i="4"/>
  <c r="P21" i="4"/>
  <c r="K21" i="4"/>
  <c r="M76" i="4"/>
  <c r="AG80" i="4"/>
  <c r="AT80" i="4"/>
  <c r="AI80" i="4"/>
  <c r="AH80" i="4"/>
  <c r="AJ80" i="4"/>
  <c r="AN80" i="4"/>
  <c r="AF80" i="4"/>
  <c r="AQ80" i="4"/>
  <c r="AL80" i="4"/>
  <c r="K58" i="4"/>
  <c r="P58" i="4"/>
  <c r="L78" i="4"/>
  <c r="P30" i="4"/>
  <c r="K30" i="4"/>
  <c r="J78" i="4"/>
  <c r="P9" i="4"/>
  <c r="K9" i="4"/>
  <c r="L76" i="4"/>
  <c r="P40" i="4"/>
  <c r="K40" i="4"/>
  <c r="E80" i="7"/>
  <c r="AS20" i="4"/>
  <c r="BL42" i="4" s="1"/>
  <c r="AQ89" i="4" l="1"/>
  <c r="N18" i="4"/>
  <c r="AQ81" i="4"/>
  <c r="K27" i="4"/>
  <c r="L69" i="4"/>
  <c r="P65" i="4"/>
  <c r="AH81" i="4"/>
  <c r="M69" i="4"/>
  <c r="K69" i="4" s="1"/>
  <c r="AL81" i="4"/>
  <c r="J69" i="4"/>
  <c r="E88" i="7" s="1"/>
  <c r="N15" i="4"/>
  <c r="AI81" i="4"/>
  <c r="AJ81" i="4"/>
  <c r="K64" i="4"/>
  <c r="J15" i="4"/>
  <c r="M15" i="4"/>
  <c r="P15" i="4" s="1"/>
  <c r="AF81" i="4"/>
  <c r="AN81" i="4"/>
  <c r="J72" i="4"/>
  <c r="L18" i="4"/>
  <c r="P18" i="4" s="1"/>
  <c r="BS20" i="4"/>
  <c r="E128" i="7" s="1"/>
  <c r="S88" i="4"/>
  <c r="T88" i="4" s="1" a="1"/>
  <c r="T88" i="4" s="1"/>
  <c r="P39" i="4"/>
  <c r="M18" i="4"/>
  <c r="L17" i="4"/>
  <c r="O15" i="4"/>
  <c r="K39" i="4"/>
  <c r="N72" i="4"/>
  <c r="P66" i="4"/>
  <c r="M47" i="4"/>
  <c r="O45" i="4"/>
  <c r="N48" i="4"/>
  <c r="J48" i="4"/>
  <c r="M46" i="4"/>
  <c r="L45" i="4"/>
  <c r="J47" i="4"/>
  <c r="AE86" i="4" s="1"/>
  <c r="L46" i="4"/>
  <c r="L47" i="4"/>
  <c r="M48" i="4"/>
  <c r="O47" i="4"/>
  <c r="N45" i="4"/>
  <c r="J46" i="4"/>
  <c r="AS45" i="4" s="1"/>
  <c r="BL63" i="4" s="1"/>
  <c r="E119" i="7" s="1"/>
  <c r="M45" i="4"/>
  <c r="O48" i="4"/>
  <c r="L48" i="4"/>
  <c r="N46" i="4"/>
  <c r="J45" i="4"/>
  <c r="O46" i="4"/>
  <c r="N47" i="4"/>
  <c r="K28" i="4"/>
  <c r="P41" i="4"/>
  <c r="P42" i="4"/>
  <c r="AF85" i="4"/>
  <c r="AI85" i="4"/>
  <c r="AJ85" i="4"/>
  <c r="E118" i="7"/>
  <c r="K41" i="4"/>
  <c r="AH85" i="4"/>
  <c r="AL85" i="4"/>
  <c r="AQ85" i="4"/>
  <c r="P28" i="4"/>
  <c r="AN85" i="4"/>
  <c r="AT85" i="4"/>
  <c r="K15" i="4"/>
  <c r="P78" i="4"/>
  <c r="K78" i="4"/>
  <c r="O72" i="4"/>
  <c r="J71" i="4"/>
  <c r="AE90" i="4" s="1"/>
  <c r="L72" i="4"/>
  <c r="O70" i="4"/>
  <c r="P69" i="4"/>
  <c r="AH91" i="4"/>
  <c r="AQ91" i="4"/>
  <c r="AT91" i="4"/>
  <c r="AI91" i="4"/>
  <c r="AN91" i="4"/>
  <c r="AL91" i="4"/>
  <c r="AJ91" i="4"/>
  <c r="AG91" i="4"/>
  <c r="AF91" i="4"/>
  <c r="J70" i="4"/>
  <c r="AS69" i="4" s="1"/>
  <c r="BL26" i="4" s="1"/>
  <c r="E100" i="7" s="1"/>
  <c r="E112" i="7"/>
  <c r="BS52" i="4"/>
  <c r="E136" i="7" s="1"/>
  <c r="M70" i="4"/>
  <c r="M71" i="4"/>
  <c r="P77" i="4"/>
  <c r="K77" i="4"/>
  <c r="AN87" i="4"/>
  <c r="AJ87" i="4"/>
  <c r="AH87" i="4"/>
  <c r="AI87" i="4"/>
  <c r="AG87" i="4"/>
  <c r="AT87" i="4"/>
  <c r="AQ87" i="4"/>
  <c r="AL87" i="4"/>
  <c r="AF87" i="4"/>
  <c r="K53" i="4"/>
  <c r="P53" i="4"/>
  <c r="BS44" i="4"/>
  <c r="E134" i="7" s="1"/>
  <c r="E108" i="7"/>
  <c r="N71" i="4"/>
  <c r="S86" i="4"/>
  <c r="T86" i="4" s="1" a="1"/>
  <c r="T86" i="4" s="1"/>
  <c r="E101" i="7"/>
  <c r="BS28" i="4"/>
  <c r="E130" i="7" s="1"/>
  <c r="K52" i="4"/>
  <c r="P52" i="4"/>
  <c r="L71" i="4"/>
  <c r="M72" i="4"/>
  <c r="N70" i="4"/>
  <c r="O71" i="4"/>
  <c r="E116" i="7"/>
  <c r="BS60" i="4"/>
  <c r="E129" i="7"/>
  <c r="BZ17" i="4"/>
  <c r="S96" i="4"/>
  <c r="T96" i="4" s="1" a="1"/>
  <c r="T96" i="4" s="1"/>
  <c r="E94" i="7"/>
  <c r="S85" i="4"/>
  <c r="T85" i="4" s="1" a="1"/>
  <c r="T85" i="4" s="1"/>
  <c r="BS13" i="4"/>
  <c r="L70" i="4"/>
  <c r="K76" i="4"/>
  <c r="P76" i="4"/>
  <c r="E85" i="7"/>
  <c r="AS50" i="4"/>
  <c r="BL30" i="4" s="1"/>
  <c r="S90" i="4"/>
  <c r="T90" i="4" s="1" a="1"/>
  <c r="T90" i="4" s="1"/>
  <c r="E104" i="7"/>
  <c r="BS36" i="4"/>
  <c r="K51" i="4"/>
  <c r="P51" i="4"/>
  <c r="K54" i="4"/>
  <c r="P54" i="4"/>
  <c r="E135" i="7"/>
  <c r="BZ48" i="4"/>
  <c r="E148" i="7" s="1"/>
  <c r="J36" i="4"/>
  <c r="L35" i="4"/>
  <c r="N36" i="4"/>
  <c r="M35" i="4"/>
  <c r="J33" i="4"/>
  <c r="O33" i="4"/>
  <c r="N33" i="4"/>
  <c r="N34" i="4"/>
  <c r="L33" i="4"/>
  <c r="M34" i="4"/>
  <c r="L34" i="4"/>
  <c r="O35" i="4"/>
  <c r="J34" i="4"/>
  <c r="AS33" i="4" s="1"/>
  <c r="BL46" i="4" s="1"/>
  <c r="E110" i="7" s="1"/>
  <c r="J35" i="4"/>
  <c r="AE84" i="4" s="1"/>
  <c r="M36" i="4"/>
  <c r="M33" i="4"/>
  <c r="O34" i="4"/>
  <c r="N35" i="4"/>
  <c r="L36" i="4"/>
  <c r="O36" i="4"/>
  <c r="E114" i="7"/>
  <c r="BS53" i="4"/>
  <c r="E79" i="7" l="1"/>
  <c r="AS14" i="4"/>
  <c r="BL66" i="4" s="1"/>
  <c r="K18" i="4"/>
  <c r="AS68" i="4"/>
  <c r="BL70" i="4" s="1"/>
  <c r="E122" i="7" s="1"/>
  <c r="P17" i="4"/>
  <c r="K17" i="4"/>
  <c r="E84" i="7"/>
  <c r="AS44" i="4"/>
  <c r="BL38" i="4" s="1"/>
  <c r="P48" i="4"/>
  <c r="K48" i="4"/>
  <c r="AL86" i="4"/>
  <c r="AT86" i="4"/>
  <c r="AF86" i="4"/>
  <c r="AI86" i="4"/>
  <c r="AG86" i="4"/>
  <c r="AH86" i="4"/>
  <c r="AQ86" i="4"/>
  <c r="AJ86" i="4"/>
  <c r="AN86" i="4"/>
  <c r="P46" i="4"/>
  <c r="K46" i="4"/>
  <c r="K47" i="4"/>
  <c r="P47" i="4"/>
  <c r="K45" i="4"/>
  <c r="P45" i="4"/>
  <c r="P33" i="4"/>
  <c r="K33" i="4"/>
  <c r="E137" i="7"/>
  <c r="BZ49" i="4"/>
  <c r="P36" i="4"/>
  <c r="K36" i="4"/>
  <c r="P72" i="4"/>
  <c r="K72" i="4"/>
  <c r="E138" i="7"/>
  <c r="BZ64" i="4"/>
  <c r="K34" i="4"/>
  <c r="P34" i="4"/>
  <c r="E132" i="7"/>
  <c r="S98" i="4"/>
  <c r="T98" i="4" s="1" a="1"/>
  <c r="T98" i="4" s="1"/>
  <c r="BZ33" i="4"/>
  <c r="E82" i="7"/>
  <c r="AS32" i="4"/>
  <c r="BL10" i="4" s="1"/>
  <c r="K71" i="4"/>
  <c r="P71" i="4"/>
  <c r="K35" i="4"/>
  <c r="P35" i="4"/>
  <c r="S95" i="4"/>
  <c r="T95" i="4" s="1" a="1"/>
  <c r="T95" i="4" s="1"/>
  <c r="E127" i="7"/>
  <c r="BZ16" i="4"/>
  <c r="AT84" i="4"/>
  <c r="AI84" i="4"/>
  <c r="AH84" i="4"/>
  <c r="AG84" i="4"/>
  <c r="AF84" i="4"/>
  <c r="AL84" i="4"/>
  <c r="AJ84" i="4"/>
  <c r="AN84" i="4"/>
  <c r="AQ84" i="4"/>
  <c r="S87" i="4"/>
  <c r="T87" i="4" s="1" a="1"/>
  <c r="T87" i="4" s="1"/>
  <c r="E102" i="7"/>
  <c r="BS29" i="4"/>
  <c r="BS69" i="4"/>
  <c r="K70" i="4"/>
  <c r="P70" i="4"/>
  <c r="AT90" i="4"/>
  <c r="AJ90" i="4"/>
  <c r="AI90" i="4"/>
  <c r="AG90" i="4"/>
  <c r="AF90" i="4"/>
  <c r="AQ90" i="4"/>
  <c r="AN90" i="4"/>
  <c r="AL90" i="4"/>
  <c r="AH90" i="4"/>
  <c r="U102" i="4"/>
  <c r="AC102" i="4" s="1" a="1"/>
  <c r="AC102" i="4" s="1"/>
  <c r="E145" i="7"/>
  <c r="BS68" i="4" l="1"/>
  <c r="E140" i="7" s="1"/>
  <c r="E120" i="7"/>
  <c r="AF92" i="4"/>
  <c r="S91" i="4"/>
  <c r="T91" i="4" s="1" a="1"/>
  <c r="T91" i="4" s="1"/>
  <c r="BS37" i="4"/>
  <c r="E133" i="7" s="1"/>
  <c r="E106" i="7"/>
  <c r="AJ92" i="4"/>
  <c r="AG92" i="4"/>
  <c r="E131" i="7"/>
  <c r="S97" i="4"/>
  <c r="T97" i="4" s="1" a="1"/>
  <c r="T97" i="4" s="1"/>
  <c r="BZ32" i="4"/>
  <c r="AH92" i="4"/>
  <c r="AI92" i="4"/>
  <c r="AN92" i="4"/>
  <c r="AL92" i="4"/>
  <c r="E150" i="7"/>
  <c r="CG56" i="4"/>
  <c r="AM90" i="4"/>
  <c r="E144" i="7"/>
  <c r="S102" i="4"/>
  <c r="T102" i="4" s="1" a="1"/>
  <c r="T102" i="4" s="1"/>
  <c r="CG23" i="4"/>
  <c r="E149" i="7"/>
  <c r="CG55" i="4"/>
  <c r="E141" i="7"/>
  <c r="BZ65" i="4"/>
  <c r="E151" i="7" s="1"/>
  <c r="E92" i="7"/>
  <c r="S84" i="4"/>
  <c r="T84" i="4" s="1" a="1"/>
  <c r="T84" i="4" s="1"/>
  <c r="BS12" i="4"/>
  <c r="E126" i="7" s="1"/>
  <c r="U103" i="4"/>
  <c r="AC103" i="4" s="1" a="1"/>
  <c r="AC103" i="4" s="1"/>
  <c r="E147" i="7"/>
  <c r="AS92" i="4"/>
  <c r="E156" i="7" l="1"/>
  <c r="CN49" i="4"/>
  <c r="E161" i="7" s="1"/>
  <c r="E157" i="7"/>
  <c r="CN38" i="4"/>
  <c r="E166" i="7" s="1"/>
  <c r="AM88" i="4"/>
  <c r="AM86" i="4"/>
  <c r="AM81" i="4"/>
  <c r="AM83" i="4"/>
  <c r="AM80" i="4"/>
  <c r="AM82" i="4"/>
  <c r="AM85" i="4"/>
  <c r="AM89" i="4"/>
  <c r="AM91" i="4"/>
  <c r="AM87" i="4"/>
  <c r="E154" i="7"/>
  <c r="CN48" i="4"/>
  <c r="AM84" i="4"/>
  <c r="S103" i="4"/>
  <c r="T103" i="4" s="1" a="1"/>
  <c r="T103" i="4" s="1"/>
  <c r="E146" i="7"/>
  <c r="CG24" i="4"/>
  <c r="AM92" i="4" l="1"/>
  <c r="AP84" i="4" s="1"/>
  <c r="E162" i="7"/>
  <c r="E160" i="7"/>
  <c r="E155" i="7"/>
  <c r="S111" i="4"/>
  <c r="T111" i="4" s="1"/>
  <c r="CN37" i="4"/>
  <c r="AP90" i="4" l="1"/>
  <c r="AD90" i="4" s="1"/>
  <c r="AS90" i="4" s="1"/>
  <c r="AP80" i="4"/>
  <c r="AP86" i="4"/>
  <c r="AP81" i="4"/>
  <c r="AP89" i="4"/>
  <c r="AD89" i="4" s="1"/>
  <c r="AS89" i="4" s="1"/>
  <c r="AP88" i="4"/>
  <c r="AP85" i="4"/>
  <c r="AP83" i="4"/>
  <c r="AP82" i="4"/>
  <c r="AP91" i="4"/>
  <c r="AD91" i="4" s="1"/>
  <c r="AS91" i="4" s="1"/>
  <c r="AP87" i="4"/>
  <c r="AD87" i="4" s="1"/>
  <c r="AS87" i="4" s="1"/>
  <c r="E165" i="7"/>
  <c r="CK68" i="4"/>
  <c r="E167" i="7" s="1"/>
  <c r="AD80" i="4" l="1"/>
  <c r="AD81" i="4"/>
  <c r="AS81" i="4" s="1"/>
  <c r="AD86" i="4"/>
  <c r="AS86" i="4" s="1"/>
  <c r="AD85" i="4"/>
  <c r="AS85" i="4" s="1"/>
  <c r="AD83" i="4"/>
  <c r="AS83" i="4" s="1"/>
  <c r="AD84" i="4"/>
  <c r="AS84" i="4" s="1"/>
  <c r="AD82" i="4"/>
  <c r="AS82" i="4" s="1"/>
  <c r="AD88" i="4"/>
  <c r="AS88" i="4" s="1"/>
  <c r="L92" i="4" l="1"/>
  <c r="P92" i="4" s="1"/>
  <c r="AS80" i="4"/>
  <c r="O86" i="4"/>
  <c r="L83" i="4"/>
  <c r="N83" i="4"/>
  <c r="M81" i="4"/>
  <c r="O81" i="4"/>
  <c r="O83" i="4"/>
  <c r="AR80" i="4"/>
  <c r="AR81" i="4" s="1"/>
  <c r="AR82" i="4" s="1"/>
  <c r="AR83" i="4" s="1"/>
  <c r="AR84" i="4" s="1"/>
  <c r="AR85" i="4" s="1"/>
  <c r="AR86" i="4" s="1"/>
  <c r="AR87" i="4" s="1"/>
  <c r="AR88" i="4" s="1"/>
  <c r="AR89" i="4" s="1"/>
  <c r="AR90" i="4" s="1"/>
  <c r="AR91" i="4" s="1"/>
  <c r="C3" i="5" s="1"/>
  <c r="E3" i="5" s="1"/>
  <c r="BL67" i="4" s="1"/>
  <c r="E121" i="7" s="1"/>
  <c r="N91" i="4"/>
  <c r="J81" i="4"/>
  <c r="N90" i="4"/>
  <c r="J83" i="4"/>
  <c r="M85" i="4"/>
  <c r="L81" i="4"/>
  <c r="L87" i="4"/>
  <c r="P87" i="4" s="1"/>
  <c r="N81" i="4"/>
  <c r="M83" i="4"/>
  <c r="M91" i="4"/>
  <c r="M84" i="4"/>
  <c r="J87" i="4"/>
  <c r="O88" i="4"/>
  <c r="O82" i="4"/>
  <c r="M82" i="4"/>
  <c r="N88" i="4"/>
  <c r="O85" i="4"/>
  <c r="M89" i="4"/>
  <c r="N84" i="4"/>
  <c r="L86" i="4"/>
  <c r="J84" i="4"/>
  <c r="J82" i="4"/>
  <c r="J88" i="4"/>
  <c r="J92" i="4"/>
  <c r="N92" i="4"/>
  <c r="N82" i="4"/>
  <c r="O89" i="4"/>
  <c r="M90" i="4"/>
  <c r="O87" i="4"/>
  <c r="J85" i="4"/>
  <c r="O92" i="4"/>
  <c r="P81" i="4"/>
  <c r="L89" i="4"/>
  <c r="M86" i="4"/>
  <c r="N86" i="4"/>
  <c r="L85" i="4"/>
  <c r="M88" i="4"/>
  <c r="M92" i="4"/>
  <c r="M87" i="4"/>
  <c r="J91" i="4"/>
  <c r="J90" i="4"/>
  <c r="N87" i="4"/>
  <c r="L84" i="4"/>
  <c r="O84" i="4"/>
  <c r="J89" i="4"/>
  <c r="O90" i="4"/>
  <c r="L91" i="4"/>
  <c r="J86" i="4"/>
  <c r="N89" i="4"/>
  <c r="L88" i="4"/>
  <c r="N85" i="4"/>
  <c r="L90" i="4"/>
  <c r="P90" i="4" s="1"/>
  <c r="L82" i="4"/>
  <c r="O91" i="4"/>
  <c r="K87" i="4" l="1"/>
  <c r="K89" i="4"/>
  <c r="K88" i="4"/>
  <c r="P82" i="4"/>
  <c r="P86" i="4"/>
  <c r="K81" i="4"/>
  <c r="K92" i="4"/>
  <c r="P83" i="4"/>
  <c r="K83" i="4"/>
  <c r="P88" i="4"/>
  <c r="D3" i="5"/>
  <c r="BL51" i="4" s="1"/>
  <c r="E113" i="7" s="1"/>
  <c r="K91" i="4"/>
  <c r="P91" i="4"/>
  <c r="I3" i="5"/>
  <c r="BL15" i="4" s="1"/>
  <c r="E95" i="7" s="1"/>
  <c r="F3" i="5"/>
  <c r="BL35" i="4" s="1"/>
  <c r="E105" i="7" s="1"/>
  <c r="H3" i="5"/>
  <c r="BL39" i="4" s="1"/>
  <c r="E107" i="7" s="1"/>
  <c r="K90" i="4"/>
  <c r="B3" i="5"/>
  <c r="K86" i="4"/>
  <c r="K82" i="4"/>
  <c r="G3" i="5"/>
  <c r="BL11" i="4" s="1"/>
  <c r="E93" i="7" s="1"/>
  <c r="K84" i="4"/>
  <c r="P84" i="4"/>
  <c r="J3" i="5"/>
  <c r="BL71" i="4" s="1"/>
  <c r="E123" i="7" s="1"/>
  <c r="K3" i="5"/>
  <c r="BL55" i="4" s="1"/>
  <c r="E115" i="7" s="1"/>
  <c r="P89" i="4"/>
  <c r="P85" i="4"/>
  <c r="K85" i="4"/>
</calcChain>
</file>

<file path=xl/sharedStrings.xml><?xml version="1.0" encoding="utf-8"?>
<sst xmlns="http://schemas.openxmlformats.org/spreadsheetml/2006/main" count="9839" uniqueCount="3737">
  <si>
    <t>Home Page: www.excely.com</t>
  </si>
  <si>
    <t>Date + Time + GMT</t>
  </si>
  <si>
    <t>GF</t>
  </si>
  <si>
    <t>GA</t>
  </si>
  <si>
    <t>Place</t>
  </si>
  <si>
    <t>Team</t>
  </si>
  <si>
    <t>W</t>
  </si>
  <si>
    <t>D</t>
  </si>
  <si>
    <t>L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</si>
  <si>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</si>
  <si>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</si>
  <si>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</si>
  <si>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</si>
  <si>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</si>
  <si>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</si>
  <si>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</si>
  <si>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</si>
  <si>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</si>
  <si>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</si>
  <si>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</si>
  <si>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</si>
  <si>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t>World Cup 2026
Interactive Schedule Online
www.wallchart.io</t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</si>
  <si>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</si>
  <si>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</si>
  <si>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</si>
  <si>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</si>
  <si>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</si>
  <si>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</si>
  <si>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</si>
  <si>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</si>
  <si>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</si>
  <si>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</si>
  <si>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</si>
  <si>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</si>
  <si>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</si>
  <si>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</si>
  <si>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</si>
  <si>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</si>
  <si>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</si>
  <si>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</si>
  <si>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</si>
  <si>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</si>
  <si>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</si>
  <si>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</si>
  <si>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</si>
  <si>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</si>
  <si>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</si>
  <si>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</si>
  <si>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</si>
  <si>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</si>
  <si>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</si>
  <si>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</si>
  <si>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</si>
  <si>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</si>
  <si>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</si>
  <si>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</si>
  <si>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</si>
  <si>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</si>
  <si>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</si>
  <si>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</si>
  <si>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</si>
  <si>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</si>
  <si>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</si>
  <si>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</si>
  <si>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</si>
  <si>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</si>
  <si>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</si>
  <si>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</si>
  <si>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</si>
  <si>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</si>
  <si>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</si>
  <si>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</si>
  <si>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</si>
  <si>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</si>
  <si>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</si>
  <si>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</si>
  <si>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</si>
  <si>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</si>
  <si>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</si>
  <si>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</si>
  <si>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</si>
  <si>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</si>
  <si>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</si>
  <si>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</si>
  <si>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</si>
  <si>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</si>
  <si>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</si>
  <si>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</si>
  <si>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</si>
  <si>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</si>
  <si>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</si>
  <si>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</si>
  <si>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</si>
  <si>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</si>
  <si>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</si>
  <si>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</si>
  <si>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</si>
  <si>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</si>
  <si>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</si>
  <si>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</si>
  <si>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</si>
  <si>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</si>
  <si>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</si>
  <si>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</si>
  <si>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</si>
  <si>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</si>
  <si>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</si>
  <si>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</si>
  <si>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</si>
  <si>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</si>
  <si>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</si>
  <si>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</si>
  <si>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</si>
  <si>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</si>
  <si>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</si>
  <si>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</si>
  <si>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</si>
  <si>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</si>
  <si>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</si>
  <si>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</si>
  <si>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</si>
  <si>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</si>
  <si>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</si>
  <si>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</si>
  <si>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</si>
  <si>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</si>
  <si>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</si>
  <si>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</si>
  <si>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</si>
  <si>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</si>
  <si>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</si>
  <si>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</si>
  <si>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</si>
  <si>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</si>
  <si>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</si>
  <si>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</si>
  <si>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</si>
  <si>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</si>
  <si>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</si>
  <si>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</si>
  <si>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</si>
  <si>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</si>
  <si>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</si>
  <si>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</si>
  <si>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</si>
  <si>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</si>
  <si>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</si>
  <si>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</si>
  <si>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</si>
  <si>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</si>
  <si>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</si>
  <si>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</si>
  <si>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</si>
  <si>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</si>
  <si>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</si>
  <si>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</si>
  <si>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</si>
  <si>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</si>
  <si>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</si>
  <si>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</si>
  <si>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</si>
  <si>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</si>
  <si>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</si>
  <si>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</si>
  <si>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</si>
  <si>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</si>
  <si>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</si>
  <si>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</si>
  <si>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</si>
  <si>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</si>
  <si>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</si>
  <si>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</si>
  <si>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</si>
  <si>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</si>
  <si>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</si>
  <si>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</si>
  <si>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</si>
  <si>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</si>
  <si>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</si>
  <si>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</si>
  <si>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</si>
  <si>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</si>
  <si>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</si>
  <si>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</si>
  <si>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</si>
  <si>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</si>
  <si>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</si>
  <si>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</si>
  <si>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</si>
  <si>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</si>
  <si>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</si>
  <si>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</si>
  <si>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</si>
  <si>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</si>
  <si>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</si>
  <si>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</si>
  <si>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</si>
  <si>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</si>
  <si>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</si>
  <si>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</si>
  <si>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</si>
  <si>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</si>
  <si>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</si>
  <si>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</si>
  <si>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</si>
  <si>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</si>
  <si>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</si>
  <si>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</si>
  <si>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</si>
  <si>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</si>
  <si>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</si>
  <si>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</si>
  <si>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</si>
  <si>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</si>
  <si>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</si>
  <si>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</si>
  <si>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</si>
  <si>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</si>
  <si>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</si>
  <si>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</si>
  <si>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</si>
  <si>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</si>
  <si>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</si>
  <si>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</si>
  <si>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</si>
  <si>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</si>
  <si>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</si>
  <si>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</si>
  <si>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</si>
  <si>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</si>
  <si>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</si>
  <si>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</si>
  <si>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</si>
  <si>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</si>
  <si>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</si>
  <si>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</si>
  <si>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</si>
  <si>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</si>
  <si>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</si>
  <si>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</si>
  <si>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</si>
  <si>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</si>
  <si>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</si>
  <si>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</si>
  <si>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</si>
  <si>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</si>
  <si>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</si>
  <si>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</si>
  <si>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</si>
  <si>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</si>
  <si>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</si>
  <si>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</si>
  <si>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</si>
  <si>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</si>
  <si>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</si>
  <si>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</si>
  <si>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</si>
  <si>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</si>
  <si>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</si>
  <si>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</si>
  <si>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</si>
  <si>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</si>
  <si>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</si>
  <si>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</si>
  <si>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</si>
  <si>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</si>
  <si>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</si>
  <si>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</si>
  <si>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</si>
  <si>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</si>
  <si>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</si>
  <si>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</si>
  <si>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</si>
  <si>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</si>
  <si>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</si>
  <si>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</si>
  <si>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</si>
  <si>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</si>
  <si>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</si>
  <si>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</si>
  <si>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</si>
  <si>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</si>
  <si>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</si>
  <si>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</si>
  <si>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</si>
  <si>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</si>
  <si>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</si>
  <si>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</si>
  <si>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</si>
  <si>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</si>
  <si>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</si>
  <si>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</si>
  <si>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</si>
  <si>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</si>
  <si>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</si>
  <si>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</si>
  <si>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</si>
  <si>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</si>
  <si>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</si>
  <si>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</si>
  <si>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</si>
  <si>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</si>
  <si>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</si>
  <si>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</si>
  <si>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</si>
  <si>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</si>
  <si>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</si>
  <si>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</si>
  <si>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</si>
  <si>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</si>
  <si>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</si>
  <si>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</si>
  <si>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</si>
  <si>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</si>
  <si>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</si>
  <si>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</si>
  <si>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</si>
  <si>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</si>
  <si>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</si>
  <si>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</si>
  <si>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</si>
  <si>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</si>
  <si>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</si>
  <si>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</si>
  <si>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</si>
  <si>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</si>
  <si>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</si>
  <si>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</si>
  <si>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</si>
  <si>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</si>
  <si>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</si>
  <si>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</si>
  <si>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</si>
  <si>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</si>
  <si>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</si>
  <si>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</si>
  <si>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</si>
  <si>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</si>
  <si>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</si>
  <si>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</si>
  <si>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</si>
  <si>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</si>
  <si>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</si>
  <si>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</si>
  <si>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</si>
  <si>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</si>
  <si>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</si>
  <si>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</si>
  <si>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</si>
  <si>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</si>
  <si>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</si>
  <si>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</si>
  <si>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</si>
  <si>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</si>
  <si>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</si>
  <si>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</si>
  <si>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</si>
  <si>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</si>
  <si>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</si>
  <si>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</si>
  <si>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</si>
  <si>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</si>
  <si>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</si>
  <si>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</si>
  <si>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</si>
  <si>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</si>
  <si>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</si>
  <si>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</si>
  <si>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</si>
  <si>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</si>
  <si>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</si>
  <si>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</si>
  <si>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</si>
  <si>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</si>
  <si>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</si>
  <si>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</si>
  <si>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</si>
  <si>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</si>
  <si>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</si>
  <si>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</si>
  <si>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</si>
  <si>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</si>
  <si>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</si>
  <si>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</si>
  <si>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</si>
  <si>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</si>
  <si>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</si>
  <si>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</si>
  <si>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</si>
  <si>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</si>
  <si>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</si>
  <si>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</si>
  <si>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</si>
  <si>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</si>
  <si>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</si>
  <si>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</si>
  <si>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</si>
  <si>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</si>
  <si>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</si>
  <si>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</si>
  <si>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</si>
  <si>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</si>
  <si>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</si>
  <si>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</si>
  <si>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</si>
  <si>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</si>
  <si>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</si>
  <si>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</si>
  <si>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</si>
  <si>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</si>
  <si>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</si>
  <si>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</si>
  <si>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</si>
  <si>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</si>
  <si>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</si>
  <si>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</si>
  <si>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</si>
  <si>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</si>
  <si>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</si>
  <si>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</si>
  <si>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</si>
  <si>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</si>
  <si>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</si>
  <si>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</si>
  <si>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</si>
  <si>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</si>
  <si>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</si>
  <si>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</si>
  <si>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</si>
  <si>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</si>
  <si>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</si>
  <si>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</si>
  <si>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</si>
  <si>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</si>
  <si>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</si>
  <si>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</si>
  <si>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</si>
  <si>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</si>
  <si>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</si>
  <si>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</si>
  <si>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</si>
  <si>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</si>
  <si>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</si>
  <si>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</si>
  <si>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</si>
  <si>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</si>
  <si>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</si>
  <si>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</si>
  <si>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</si>
  <si>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</si>
  <si>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</si>
  <si>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</si>
  <si>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</si>
  <si>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</si>
  <si>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</si>
  <si>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</si>
  <si>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</si>
  <si>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</si>
  <si>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</si>
  <si>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</si>
  <si>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</si>
  <si>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</si>
  <si>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</si>
  <si>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</si>
  <si>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</si>
  <si>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</si>
  <si>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</si>
  <si>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</si>
  <si>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</si>
  <si>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</si>
  <si>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</si>
  <si>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</si>
  <si>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</si>
  <si>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</si>
  <si>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</si>
  <si>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</si>
  <si>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</si>
  <si>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</si>
  <si>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</si>
  <si>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</si>
  <si>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</si>
  <si>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</si>
  <si>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</si>
  <si>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</si>
  <si>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</si>
  <si>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</si>
  <si>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</si>
  <si>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</si>
  <si>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</si>
  <si>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</si>
  <si>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</si>
  <si>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</si>
  <si>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</si>
  <si>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</si>
  <si>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</si>
  <si>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</si>
  <si>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</si>
  <si>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</si>
  <si>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</si>
  <si>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</si>
  <si>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</si>
  <si>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</si>
  <si>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</si>
  <si>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</si>
  <si>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</si>
  <si>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</si>
  <si>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</si>
  <si>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</si>
  <si>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</si>
  <si>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</si>
  <si>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</si>
  <si>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</si>
  <si>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</si>
  <si>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</si>
  <si>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</si>
  <si>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</si>
  <si>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</si>
  <si>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</si>
  <si>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</si>
  <si>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</si>
  <si>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</si>
  <si>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</si>
  <si>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</si>
  <si>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</si>
  <si>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</si>
  <si>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</si>
  <si>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</si>
  <si>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</si>
  <si>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</si>
  <si>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</si>
  <si>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</si>
  <si>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</si>
  <si>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</si>
  <si>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</si>
  <si>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</si>
  <si>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</si>
  <si>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</si>
  <si>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</si>
  <si>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</si>
  <si>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</si>
  <si>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</si>
  <si>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</si>
  <si>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</si>
  <si>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</si>
  <si>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</si>
  <si>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</si>
  <si>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</si>
  <si>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</si>
  <si>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</si>
  <si>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</si>
  <si>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</si>
  <si>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</si>
  <si>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</si>
  <si>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</si>
  <si>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</si>
  <si>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</si>
  <si>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</si>
  <si>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</si>
  <si>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</si>
  <si>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</si>
  <si>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</si>
  <si>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</si>
  <si>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</si>
  <si>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</si>
  <si>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</si>
  <si>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</si>
  <si>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</si>
  <si>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</si>
  <si>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</si>
  <si>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</si>
  <si>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</si>
  <si>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</si>
  <si>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</si>
  <si>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</si>
  <si>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</si>
  <si>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</si>
  <si>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</si>
  <si>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</si>
  <si>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</si>
  <si>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</si>
  <si>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</si>
  <si>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</si>
  <si>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</si>
  <si>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</si>
  <si>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</si>
  <si>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</si>
  <si>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</si>
  <si>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</si>
  <si>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</si>
  <si>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</si>
  <si>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</si>
  <si>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</si>
  <si>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</si>
  <si>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</si>
  <si>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</si>
  <si>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</si>
  <si>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</si>
  <si>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</si>
  <si>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</si>
  <si>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</si>
  <si>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</si>
  <si>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</si>
  <si>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</si>
  <si>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</si>
  <si>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</si>
  <si>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</si>
  <si>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</si>
  <si>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</si>
  <si>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</si>
  <si>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</si>
  <si>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</si>
  <si>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</si>
  <si>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</si>
  <si>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</si>
  <si>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</si>
  <si>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</si>
  <si>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</si>
  <si>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</si>
  <si>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</si>
  <si>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</si>
  <si>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</si>
  <si>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</si>
  <si>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</si>
  <si>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</si>
  <si>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</si>
  <si>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</si>
  <si>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</si>
  <si>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</si>
  <si>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</si>
  <si>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</si>
  <si>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</si>
  <si>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</si>
  <si>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</si>
  <si>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</si>
  <si>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</si>
  <si>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</si>
  <si>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</si>
  <si>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</si>
  <si>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</si>
  <si>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</si>
  <si>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</si>
  <si>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</si>
  <si>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</si>
  <si>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</si>
  <si>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</si>
  <si>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</si>
  <si>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</si>
  <si>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</si>
  <si>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</si>
  <si>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</si>
  <si>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</si>
  <si>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</si>
  <si>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</si>
  <si>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</si>
  <si>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</si>
  <si>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</si>
  <si>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</si>
  <si>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</si>
  <si>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</si>
  <si>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</si>
  <si>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</si>
  <si>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</si>
  <si>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</si>
  <si>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</si>
  <si>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</si>
  <si>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</si>
  <si>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</si>
  <si>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</si>
  <si>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</si>
  <si>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</si>
  <si>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</si>
  <si>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</si>
  <si>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</si>
  <si>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</si>
  <si>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</si>
  <si>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</si>
  <si>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</si>
  <si>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</si>
  <si>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</si>
  <si>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</si>
  <si>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</si>
  <si>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</si>
  <si>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</si>
  <si>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</si>
  <si>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</si>
  <si>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</si>
  <si>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</si>
  <si>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</si>
  <si>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</si>
  <si>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</si>
  <si>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</si>
  <si>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</si>
  <si>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</si>
  <si>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</si>
  <si>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</si>
  <si>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</si>
  <si>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</si>
  <si>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</si>
  <si>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</si>
  <si>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</si>
  <si>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</si>
  <si>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</si>
  <si>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</si>
  <si>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</si>
  <si>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</si>
  <si>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</si>
  <si>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</si>
  <si>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</si>
  <si>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</si>
  <si>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</si>
  <si>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</si>
  <si>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</si>
  <si>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</si>
  <si>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</si>
  <si>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</si>
  <si>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</si>
  <si>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</si>
  <si>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</si>
  <si>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</si>
  <si>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</si>
  <si>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</si>
  <si>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</si>
  <si>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</si>
  <si>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</si>
  <si>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</si>
  <si>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</si>
  <si>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</si>
  <si>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</si>
  <si>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</si>
  <si>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</si>
  <si>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</si>
  <si>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</si>
  <si>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</si>
  <si>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</si>
  <si>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</si>
  <si>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</si>
  <si>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</si>
  <si>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</si>
  <si>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</si>
  <si>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</si>
  <si>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</si>
  <si>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</si>
  <si>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</si>
  <si>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</si>
  <si>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</si>
  <si>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</si>
  <si>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</si>
  <si>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</si>
  <si>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</si>
  <si>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</si>
  <si>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</si>
  <si>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</si>
  <si>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</si>
  <si>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</si>
  <si>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</si>
  <si>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</si>
  <si>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</si>
  <si>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</si>
  <si>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</si>
  <si>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</si>
  <si>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</si>
  <si>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</si>
  <si>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</si>
  <si>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</si>
  <si>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</si>
  <si>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</si>
  <si>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</si>
  <si>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</si>
  <si>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</si>
  <si>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</si>
  <si>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</si>
  <si>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</si>
  <si>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</si>
  <si>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</si>
  <si>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</si>
  <si>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</si>
  <si>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</si>
  <si>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</si>
  <si>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</si>
  <si>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</si>
  <si>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</si>
  <si>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</si>
  <si>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</si>
  <si>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</si>
  <si>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</si>
  <si>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</si>
  <si>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</si>
  <si>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</si>
  <si>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</si>
  <si>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</si>
  <si>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</si>
  <si>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</si>
  <si>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</si>
  <si>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</si>
  <si>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</si>
  <si>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</si>
  <si>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</si>
  <si>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</si>
  <si>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</si>
  <si>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</si>
  <si>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</si>
  <si>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</si>
  <si>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</si>
  <si>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</si>
  <si>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</si>
  <si>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</si>
  <si>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</si>
  <si>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</si>
  <si>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</si>
  <si>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</si>
  <si>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</si>
  <si>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</si>
  <si>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</si>
  <si>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</si>
  <si>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</si>
  <si>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</si>
  <si>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</si>
  <si>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</si>
  <si>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</si>
  <si>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</si>
  <si>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</si>
  <si>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</si>
  <si>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</si>
  <si>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</si>
  <si>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</si>
  <si>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</si>
  <si>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</si>
  <si>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</si>
  <si>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</si>
  <si>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</si>
  <si>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</si>
  <si>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</si>
  <si>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</si>
  <si>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</si>
  <si>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</si>
  <si>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</si>
  <si>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</si>
  <si>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</si>
  <si>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</si>
  <si>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</si>
  <si>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</si>
  <si>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</si>
  <si>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</si>
  <si>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</si>
  <si>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</si>
  <si>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</si>
  <si>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</si>
  <si>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</si>
  <si>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</si>
  <si>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</si>
  <si>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</si>
  <si>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</si>
  <si>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</si>
  <si>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</si>
  <si>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</si>
  <si>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</si>
  <si>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</si>
  <si>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</si>
  <si>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</si>
  <si>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</si>
  <si>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</si>
  <si>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</si>
  <si>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</si>
  <si>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</si>
  <si>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</si>
  <si>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</si>
  <si>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</si>
  <si>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</si>
  <si>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</si>
  <si>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</si>
  <si>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</si>
  <si>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</si>
  <si>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</si>
  <si>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</si>
  <si>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</si>
  <si>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</si>
  <si>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</si>
  <si>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</si>
  <si>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</si>
  <si>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</si>
  <si>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</si>
  <si>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</si>
  <si>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</si>
  <si>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</si>
  <si>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</si>
  <si>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</si>
  <si>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</si>
  <si>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</si>
  <si>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</si>
  <si>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</si>
  <si>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</si>
  <si>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</si>
  <si>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</si>
  <si>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</si>
  <si>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</si>
  <si>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</si>
  <si>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</si>
  <si>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</si>
  <si>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</si>
  <si>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</si>
  <si>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</si>
  <si>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</si>
  <si>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</si>
  <si>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</si>
  <si>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</si>
  <si>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</si>
  <si>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</si>
  <si>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</si>
  <si>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</si>
  <si>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</si>
  <si>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</si>
  <si>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</si>
  <si>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</si>
  <si>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</si>
  <si>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</si>
  <si>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</si>
  <si>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</si>
  <si>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</si>
  <si>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</si>
  <si>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</si>
  <si>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</si>
  <si>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</si>
  <si>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</si>
  <si>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</si>
  <si>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</si>
  <si>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</si>
  <si>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</si>
  <si>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</si>
  <si>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</si>
  <si>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</si>
  <si>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</si>
  <si>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</si>
  <si>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</si>
  <si>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</si>
  <si>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</si>
  <si>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</si>
  <si>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</si>
  <si>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</si>
  <si>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</si>
  <si>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</si>
  <si>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</si>
  <si>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</si>
  <si>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</si>
  <si>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</si>
  <si>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</si>
  <si>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</si>
  <si>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</si>
  <si>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</si>
  <si>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</si>
  <si>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</si>
  <si>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</si>
  <si>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</si>
  <si>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</si>
  <si>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</si>
  <si>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</si>
  <si>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</si>
  <si>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</si>
  <si>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</si>
  <si>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</si>
  <si>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</si>
  <si>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</si>
  <si>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</si>
  <si>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</si>
  <si>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</si>
  <si>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</si>
  <si>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</si>
  <si>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</si>
  <si>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</si>
  <si>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</si>
  <si>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</si>
  <si>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</si>
  <si>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</si>
  <si>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</si>
  <si>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</si>
  <si>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</si>
  <si>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</si>
  <si>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</si>
  <si>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</si>
  <si>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</si>
  <si>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</si>
  <si>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</si>
  <si>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</si>
  <si>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</si>
  <si>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</si>
  <si>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</si>
  <si>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</si>
  <si>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</si>
  <si>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</si>
  <si>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</si>
  <si>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</si>
  <si>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</si>
  <si>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</si>
  <si>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</si>
  <si>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</si>
  <si>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</si>
  <si>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</si>
  <si>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</si>
  <si>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</si>
  <si>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</si>
  <si>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</si>
  <si>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</si>
  <si>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</si>
  <si>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</si>
  <si>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</si>
  <si>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</si>
  <si>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</si>
  <si>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</si>
  <si>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</si>
  <si>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</si>
  <si>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</si>
  <si>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</si>
  <si>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</si>
  <si>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</si>
  <si>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</si>
  <si>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</si>
  <si>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</si>
  <si>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</si>
  <si>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</si>
  <si>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</si>
  <si>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</si>
  <si>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</si>
  <si>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</si>
  <si>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</si>
  <si>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</si>
  <si>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</si>
  <si>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</si>
  <si>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</si>
  <si>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</si>
  <si>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</si>
  <si>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</si>
  <si>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</si>
  <si>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</si>
  <si>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</si>
  <si>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</si>
  <si>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</si>
  <si>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</si>
  <si>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</si>
  <si>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</si>
  <si>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</si>
  <si>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</si>
  <si>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</si>
  <si>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</si>
  <si>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</si>
  <si>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</si>
  <si>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</si>
  <si>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</si>
  <si>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</si>
  <si>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</si>
  <si>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</si>
  <si>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</si>
  <si>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</si>
  <si>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</si>
  <si>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</si>
  <si>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</si>
  <si>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</si>
  <si>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</si>
  <si>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</si>
  <si>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</si>
  <si>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</si>
  <si>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</si>
  <si>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</si>
  <si>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</si>
  <si>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</si>
  <si>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</si>
  <si>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</si>
  <si>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</si>
  <si>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</si>
  <si>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</si>
  <si>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</si>
  <si>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</si>
  <si>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</si>
  <si>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</si>
  <si>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</si>
  <si>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</si>
  <si>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</si>
  <si>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</si>
  <si>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</si>
  <si>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</si>
  <si>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</si>
  <si>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</si>
  <si>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</si>
  <si>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</si>
  <si>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</si>
  <si>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</si>
  <si>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</si>
  <si>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</si>
  <si>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</si>
  <si>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</si>
  <si>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</si>
  <si>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</si>
  <si>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</si>
  <si>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</si>
  <si>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</si>
  <si>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</si>
  <si>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</si>
  <si>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</si>
  <si>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</si>
  <si>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</si>
  <si>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</si>
  <si>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</si>
  <si>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</si>
  <si>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</si>
  <si>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</si>
  <si>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</si>
  <si>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</si>
  <si>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</si>
  <si>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</si>
  <si>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</si>
  <si>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</si>
  <si>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</si>
  <si>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</si>
  <si>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</si>
  <si>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</si>
  <si>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</si>
  <si>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</si>
  <si>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</si>
  <si>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</si>
  <si>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</si>
  <si>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</si>
  <si>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</si>
  <si>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</si>
  <si>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</si>
  <si>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</si>
  <si>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</si>
  <si>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</si>
  <si>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</si>
  <si>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</si>
  <si>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</si>
  <si>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</si>
  <si>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</si>
  <si>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</si>
  <si>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</si>
  <si>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</si>
  <si>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</si>
  <si>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</si>
  <si>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</si>
  <si>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</si>
  <si>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</si>
  <si>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</si>
  <si>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</si>
  <si>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</si>
  <si>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</si>
  <si>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</si>
  <si>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</si>
  <si>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</si>
  <si>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</si>
  <si>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</si>
  <si>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</si>
  <si>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</si>
  <si>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</si>
  <si>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</si>
  <si>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</si>
  <si>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</si>
  <si>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</si>
  <si>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</si>
  <si>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</si>
  <si>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</si>
  <si>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</si>
  <si>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</si>
  <si>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</si>
  <si>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</si>
  <si>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</si>
  <si>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</si>
  <si>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</si>
  <si>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</si>
  <si>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</si>
  <si>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</si>
  <si>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</si>
  <si>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</si>
  <si>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</si>
  <si>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</si>
  <si>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</si>
  <si>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</si>
  <si>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</si>
  <si>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</si>
  <si>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</si>
  <si>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</si>
  <si>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</si>
  <si>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</si>
  <si>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</si>
  <si>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</si>
  <si>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</si>
  <si>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</si>
  <si>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</si>
  <si>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</si>
  <si>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</si>
  <si>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</si>
  <si>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</si>
  <si>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</si>
  <si>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</si>
  <si>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</si>
  <si>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</si>
  <si>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</si>
  <si>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</si>
  <si>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</si>
  <si>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</si>
  <si>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</si>
  <si>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</si>
  <si>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</si>
  <si>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</si>
  <si>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</si>
  <si>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</si>
  <si>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</si>
  <si>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</si>
  <si>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</si>
  <si>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</si>
  <si>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</si>
  <si>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</si>
  <si>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</si>
  <si>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</si>
  <si>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</si>
  <si>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</si>
  <si>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</si>
  <si>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</si>
  <si>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</si>
  <si>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</si>
  <si>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</si>
  <si>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</si>
  <si>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</si>
  <si>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</si>
  <si>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</si>
  <si>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</si>
  <si>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</si>
  <si>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</si>
  <si>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</si>
  <si>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</si>
  <si>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</si>
  <si>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</si>
  <si>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</si>
  <si>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</si>
  <si>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</si>
  <si>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</si>
  <si>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</si>
  <si>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</si>
  <si>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</si>
  <si>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</si>
  <si>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</si>
  <si>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</si>
  <si>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</si>
  <si>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</si>
  <si>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</si>
  <si>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</si>
  <si>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</si>
  <si>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</si>
  <si>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</si>
  <si>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</si>
  <si>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</si>
  <si>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</si>
  <si>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</si>
  <si>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</si>
  <si>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</si>
  <si>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</si>
  <si>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</si>
  <si>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</si>
  <si>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</si>
  <si>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</si>
  <si>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</si>
  <si>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</si>
  <si>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</si>
  <si>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</si>
  <si>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</si>
  <si>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</si>
  <si>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</si>
  <si>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</si>
  <si>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</si>
  <si>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</si>
  <si>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</si>
  <si>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</si>
  <si>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</si>
  <si>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</si>
  <si>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</si>
  <si>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</si>
  <si>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</si>
  <si>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</si>
  <si>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</si>
  <si>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</si>
  <si>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</si>
  <si>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</si>
  <si>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</si>
  <si>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</si>
  <si>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</si>
  <si>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</si>
  <si>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</si>
  <si>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</si>
  <si>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</si>
  <si>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</si>
  <si>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</si>
  <si>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</si>
  <si>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</si>
  <si>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</si>
  <si>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</si>
  <si>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</si>
  <si>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</si>
  <si>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</si>
  <si>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</si>
  <si>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</si>
  <si>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</si>
  <si>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</si>
  <si>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</si>
  <si>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</si>
  <si>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</si>
  <si>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</si>
  <si>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</si>
  <si>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</si>
  <si>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</si>
  <si>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</si>
  <si>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</si>
  <si>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</si>
  <si>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</si>
  <si>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</si>
  <si>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</si>
  <si>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</si>
  <si>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</si>
  <si>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</si>
  <si>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</si>
  <si>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</si>
  <si>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</si>
  <si>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</si>
  <si>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</si>
  <si>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</si>
  <si>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</si>
  <si>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</si>
  <si>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</si>
  <si>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</si>
  <si>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</si>
  <si>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</si>
  <si>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</si>
  <si>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</si>
  <si>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</si>
  <si>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</si>
  <si>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</si>
  <si>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</si>
  <si>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</si>
  <si>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</si>
  <si>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</si>
  <si>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</si>
  <si>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</si>
  <si>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</si>
  <si>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</si>
  <si>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</si>
  <si>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</si>
  <si>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</si>
  <si>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</si>
  <si>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</si>
  <si>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</si>
  <si>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</si>
  <si>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</si>
  <si>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</si>
  <si>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</si>
  <si>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</si>
  <si>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</si>
  <si>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</si>
  <si>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</si>
  <si>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</si>
  <si>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</si>
  <si>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</si>
  <si>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</si>
  <si>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</si>
  <si>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</si>
  <si>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</si>
  <si>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</si>
  <si>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</si>
  <si>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</si>
  <si>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</si>
  <si>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</si>
  <si>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</si>
  <si>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</si>
  <si>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</si>
  <si>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</si>
  <si>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</si>
  <si>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</si>
  <si>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</si>
  <si>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</si>
  <si>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</si>
  <si>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</si>
  <si>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</si>
  <si>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</si>
  <si>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</si>
  <si>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</si>
  <si>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</si>
  <si>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</si>
  <si>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</si>
  <si>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</si>
  <si>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</si>
  <si>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</si>
  <si>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</si>
  <si>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</si>
  <si>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</si>
  <si>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</si>
  <si>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</si>
  <si>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</si>
  <si>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</si>
  <si>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</si>
  <si>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</si>
  <si>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</si>
  <si>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</si>
  <si>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</si>
  <si>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</si>
  <si>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</si>
  <si>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</si>
  <si>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</si>
  <si>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</si>
  <si>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</si>
  <si>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</si>
  <si>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</si>
  <si>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</si>
  <si>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</si>
  <si>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</si>
  <si>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</si>
  <si>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</si>
  <si>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</si>
  <si>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</si>
  <si>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</si>
  <si>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</si>
  <si>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</si>
  <si>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</si>
  <si>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</si>
  <si>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</si>
  <si>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</si>
  <si>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</si>
  <si>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</si>
  <si>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</si>
  <si>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</si>
  <si>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</si>
  <si>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</si>
  <si>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</si>
  <si>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</si>
  <si>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</si>
  <si>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</si>
  <si>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</si>
  <si>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</si>
  <si>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</si>
  <si>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</si>
  <si>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</si>
  <si>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</si>
  <si>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</si>
  <si>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</si>
  <si>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</si>
  <si>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</si>
  <si>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</si>
  <si>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</si>
  <si>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</si>
  <si>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</si>
  <si>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</si>
  <si>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</si>
  <si>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</si>
  <si>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</si>
  <si>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</si>
  <si>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</si>
  <si>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</si>
  <si>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</si>
  <si>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</si>
  <si>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</si>
  <si>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</si>
  <si>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</si>
  <si>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</si>
  <si>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</si>
  <si>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</si>
  <si>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</si>
  <si>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</si>
  <si>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</si>
  <si>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</si>
  <si>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</si>
  <si>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</si>
  <si>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</si>
  <si>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</si>
  <si>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</si>
  <si>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</si>
  <si>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</si>
  <si>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</si>
  <si>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</si>
  <si>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</si>
  <si>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</si>
  <si>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</si>
  <si>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</si>
  <si>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</si>
  <si>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</si>
  <si>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</si>
  <si>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</si>
  <si>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</si>
  <si>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</si>
  <si>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</si>
  <si>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</si>
  <si>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</si>
  <si>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</si>
  <si>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</si>
  <si>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</si>
  <si>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</si>
  <si>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</si>
  <si>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</si>
  <si>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</si>
  <si>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</si>
  <si>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</si>
  <si>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</si>
  <si>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</si>
  <si>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</si>
  <si>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</si>
  <si>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</si>
  <si>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</si>
  <si>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</si>
  <si>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</si>
  <si>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</si>
  <si>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</si>
  <si>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</si>
  <si>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</si>
  <si>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</si>
  <si>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</si>
  <si>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</si>
  <si>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</si>
  <si>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</si>
  <si>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</si>
  <si>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</si>
  <si>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</si>
  <si>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</si>
  <si>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</si>
  <si>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</si>
  <si>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</si>
  <si>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</si>
  <si>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</si>
  <si>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</si>
  <si>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</si>
  <si>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</si>
  <si>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</si>
  <si>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</si>
  <si>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</si>
  <si>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</si>
  <si>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</si>
  <si>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</si>
  <si>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</si>
  <si>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</si>
  <si>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</si>
  <si>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</si>
  <si>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</si>
  <si>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</si>
  <si>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</si>
  <si>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</si>
  <si>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</si>
  <si>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</si>
  <si>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</si>
  <si>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</si>
  <si>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</si>
  <si>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</si>
  <si>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</si>
  <si>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</si>
  <si>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</si>
  <si>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</si>
  <si>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</si>
  <si>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</si>
  <si>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</si>
  <si>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</si>
  <si>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</si>
  <si>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</si>
  <si>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</si>
  <si>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</si>
  <si>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</si>
  <si>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</si>
  <si>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</si>
  <si>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</si>
  <si>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</si>
  <si>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</si>
  <si>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</si>
  <si>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</si>
  <si>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</si>
  <si>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</si>
  <si>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</si>
  <si>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</si>
  <si>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</si>
  <si>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</si>
  <si>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</si>
  <si>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</si>
  <si>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</si>
  <si>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</si>
  <si>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</si>
  <si>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</si>
  <si>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</si>
  <si>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</si>
  <si>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</si>
  <si>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</si>
  <si>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</si>
  <si>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</si>
  <si>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</si>
  <si>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</si>
  <si>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</si>
  <si>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</si>
  <si>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</si>
  <si>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</si>
  <si>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</si>
  <si>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</si>
  <si>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</si>
  <si>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</si>
  <si>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</si>
  <si>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</si>
  <si>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</si>
  <si>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</si>
  <si>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</si>
  <si>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</si>
  <si>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</si>
  <si>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</si>
  <si>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</si>
  <si>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</si>
  <si>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</si>
  <si>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</si>
  <si>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</si>
  <si>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</si>
  <si>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</si>
  <si>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</si>
  <si>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</si>
  <si>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</si>
  <si>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</si>
  <si>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</si>
  <si>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</si>
  <si>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</si>
  <si>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</si>
  <si>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</si>
  <si>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</si>
  <si>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</si>
  <si>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</si>
  <si>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</si>
  <si>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</si>
  <si>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</si>
  <si>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</si>
  <si>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</si>
  <si>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</si>
  <si>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</si>
  <si>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</si>
  <si>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</si>
  <si>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</si>
  <si>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</si>
  <si>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</si>
  <si>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</si>
  <si>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</si>
  <si>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</si>
  <si>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</si>
  <si>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</si>
  <si>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</si>
  <si>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</si>
  <si>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</si>
  <si>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</si>
  <si>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</si>
  <si>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</si>
  <si>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</si>
  <si>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</si>
  <si>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</si>
  <si>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</si>
  <si>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</si>
  <si>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</si>
  <si>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</si>
  <si>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</si>
  <si>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</si>
  <si>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</si>
  <si>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</si>
  <si>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</si>
  <si>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</si>
  <si>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</si>
  <si>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</si>
  <si>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</si>
  <si>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</si>
  <si>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</si>
  <si>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</si>
  <si>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</si>
  <si>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</si>
  <si>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</si>
  <si>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</si>
  <si>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</si>
  <si>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</si>
  <si>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</si>
  <si>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</si>
  <si>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</si>
  <si>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</si>
  <si>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</si>
  <si>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</si>
  <si>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</si>
  <si>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</si>
  <si>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</si>
  <si>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</si>
  <si>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</si>
  <si>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</si>
  <si>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</si>
  <si>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</si>
  <si>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</si>
  <si>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</si>
  <si>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</si>
  <si>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</si>
  <si>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</si>
  <si>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</si>
  <si>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</si>
  <si>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</si>
  <si>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</si>
  <si>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</si>
  <si>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</si>
  <si>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</si>
  <si>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</si>
  <si>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</si>
  <si>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</si>
  <si>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</si>
  <si>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</si>
  <si>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</si>
  <si>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</si>
  <si>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</si>
  <si>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</si>
  <si>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</si>
  <si>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</si>
  <si>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</si>
  <si>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</si>
  <si>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</si>
  <si>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</si>
  <si>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</si>
  <si>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</si>
  <si>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</si>
  <si>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</si>
  <si>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</si>
  <si>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</si>
  <si>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</si>
  <si>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</si>
  <si>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</si>
  <si>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</si>
  <si>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</si>
  <si>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</si>
  <si>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</si>
  <si>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</si>
  <si>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</si>
  <si>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</si>
  <si>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</si>
  <si>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</si>
  <si>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</si>
  <si>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</si>
  <si>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</si>
  <si>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</si>
  <si>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</si>
  <si>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</si>
  <si>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</si>
  <si>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</si>
  <si>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</si>
  <si>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</si>
  <si>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</si>
  <si>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</si>
  <si>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</si>
  <si>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</si>
  <si>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</si>
  <si>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</si>
  <si>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</si>
  <si>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</si>
  <si>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</si>
  <si>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</si>
  <si>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</si>
  <si>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</si>
  <si>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</si>
  <si>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</si>
  <si>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</si>
  <si>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</si>
  <si>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</si>
  <si>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</si>
  <si>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</si>
  <si>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</si>
  <si>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</si>
  <si>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</si>
  <si>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</si>
  <si>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</si>
  <si>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</si>
  <si>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</si>
  <si>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</si>
  <si>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</si>
  <si>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</si>
  <si>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</si>
  <si>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</si>
  <si>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</si>
  <si>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</si>
  <si>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</si>
  <si>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</si>
  <si>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</si>
  <si>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</si>
  <si>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</si>
  <si>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</si>
  <si>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</si>
  <si>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</si>
  <si>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</si>
  <si>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</si>
  <si>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</si>
  <si>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</si>
  <si>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</si>
  <si>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</si>
  <si>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</si>
  <si>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</si>
  <si>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</si>
  <si>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</si>
  <si>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</si>
  <si>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</si>
  <si>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</si>
  <si>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</si>
  <si>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</si>
  <si>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</si>
  <si>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</si>
  <si>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</si>
  <si>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</si>
  <si>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</si>
  <si>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</si>
  <si>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</si>
  <si>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</si>
  <si>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</si>
  <si>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</si>
  <si>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</si>
  <si>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</si>
  <si>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</si>
  <si>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</si>
  <si>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</si>
  <si>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</si>
  <si>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</si>
  <si>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</si>
  <si>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</si>
  <si>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</si>
  <si>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</si>
  <si>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</si>
  <si>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</si>
  <si>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</si>
  <si>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</si>
  <si>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</si>
  <si>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</si>
  <si>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</si>
  <si>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</si>
  <si>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</si>
  <si>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</si>
  <si>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</si>
  <si>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</si>
  <si>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</si>
  <si>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</si>
  <si>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</si>
  <si>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</si>
  <si>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</si>
  <si>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</si>
  <si>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</si>
  <si>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</si>
  <si>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</si>
  <si>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</si>
  <si>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</si>
  <si>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</si>
  <si>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</si>
  <si>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</si>
  <si>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</si>
  <si>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</si>
  <si>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</si>
  <si>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</si>
  <si>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</si>
  <si>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</si>
  <si>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</si>
  <si>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</si>
  <si>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</si>
  <si>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</si>
  <si>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</si>
  <si>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</si>
  <si>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</si>
  <si>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</si>
  <si>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</si>
  <si>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</si>
  <si>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</si>
  <si>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</si>
  <si>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</si>
  <si>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</si>
  <si>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</si>
  <si>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</si>
  <si>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</si>
  <si>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</si>
  <si>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</si>
  <si>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</si>
  <si>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</si>
  <si>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</si>
  <si>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</si>
  <si>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</si>
  <si>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</si>
  <si>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</si>
  <si>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</si>
  <si>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</si>
  <si>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</si>
  <si>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</si>
  <si>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</si>
  <si>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</si>
  <si>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</si>
  <si>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</si>
  <si>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</si>
  <si>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</si>
  <si>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</si>
  <si>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</si>
  <si>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</si>
  <si>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</si>
  <si>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</si>
  <si>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</si>
  <si>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</si>
  <si>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</si>
  <si>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</si>
  <si>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</si>
  <si>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</si>
  <si>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</si>
  <si>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</si>
  <si>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</si>
  <si>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</si>
  <si>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</si>
  <si>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</si>
  <si>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</si>
  <si>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</si>
  <si>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</si>
  <si>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</si>
  <si>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</si>
  <si>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</si>
  <si>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</si>
  <si>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</si>
  <si>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</si>
  <si>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</si>
  <si>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</si>
  <si>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</si>
  <si>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</si>
  <si>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</si>
  <si>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</si>
  <si>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</si>
  <si>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</si>
  <si>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</si>
  <si>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</si>
  <si>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</si>
  <si>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</si>
  <si>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</si>
  <si>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</si>
  <si>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</si>
  <si>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</si>
  <si>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</si>
  <si>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</si>
  <si>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</si>
  <si>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</si>
  <si>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</si>
  <si>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</si>
  <si>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</si>
  <si>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</si>
  <si>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</si>
  <si>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</si>
  <si>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</si>
  <si>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</si>
  <si>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</si>
  <si>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</si>
  <si>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</si>
  <si>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</si>
  <si>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</si>
  <si>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</si>
  <si>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</si>
  <si>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</si>
  <si>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</si>
  <si>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</si>
  <si>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</si>
  <si>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</si>
  <si>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</si>
  <si>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</si>
  <si>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</si>
  <si>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</si>
  <si>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</si>
  <si>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</si>
  <si>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</si>
  <si>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</si>
  <si>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</si>
  <si>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</si>
  <si>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</si>
  <si>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</si>
  <si>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</si>
  <si>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</si>
  <si>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</si>
  <si>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</si>
  <si>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</si>
  <si>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</si>
  <si>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</si>
  <si>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</si>
  <si>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</si>
  <si>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</si>
  <si>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</si>
  <si>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</si>
  <si>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</si>
  <si>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</si>
  <si>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</si>
  <si>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</si>
  <si>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</si>
  <si>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</si>
  <si>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</si>
  <si>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</si>
  <si>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</si>
  <si>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</si>
  <si>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</si>
  <si>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</si>
  <si>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</si>
  <si>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</si>
  <si>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</si>
  <si>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</si>
  <si>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</si>
  <si>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</si>
  <si>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</si>
  <si>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</si>
  <si>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</si>
  <si>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</si>
  <si>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</si>
  <si>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</si>
  <si>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</si>
  <si>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</si>
  <si>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</si>
  <si>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</si>
  <si>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</si>
  <si>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</si>
  <si>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</si>
  <si>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</si>
  <si>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</si>
  <si>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</si>
  <si>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</si>
  <si>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</si>
  <si>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</si>
  <si>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</si>
  <si>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</si>
  <si>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</si>
  <si>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</si>
  <si>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</si>
  <si>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</si>
  <si>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</si>
  <si>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</si>
  <si>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</si>
  <si>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</si>
  <si>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</si>
  <si>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</si>
  <si>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</si>
  <si>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</si>
  <si>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</si>
  <si>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</si>
  <si>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</si>
  <si>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</si>
  <si>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</si>
  <si>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</si>
  <si>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</si>
  <si>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</si>
  <si>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</si>
  <si>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</si>
  <si>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</si>
  <si>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</si>
  <si>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</si>
  <si>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</si>
  <si>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</si>
  <si>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</si>
  <si>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</si>
  <si>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</si>
  <si>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</si>
  <si>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</si>
  <si>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</si>
  <si>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</si>
  <si>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</si>
  <si>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</si>
  <si>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</si>
  <si>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</si>
  <si>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</si>
  <si>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</si>
  <si>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</si>
  <si>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</si>
  <si>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</si>
  <si>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</si>
  <si>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</si>
  <si>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</si>
  <si>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</si>
  <si>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</si>
  <si>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</si>
  <si>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</si>
  <si>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</si>
  <si>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</si>
  <si>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</si>
  <si>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</si>
  <si>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</si>
  <si>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</si>
  <si>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</si>
  <si>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</si>
  <si>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</si>
  <si>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</si>
  <si>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</si>
  <si>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</si>
  <si>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</si>
  <si>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</si>
  <si>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</si>
  <si>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</si>
  <si>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</si>
  <si>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</si>
  <si>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</si>
  <si>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</si>
  <si>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</si>
  <si>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</si>
  <si>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</si>
  <si>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</si>
  <si>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</si>
  <si>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</si>
  <si>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</si>
  <si>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</si>
  <si>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</si>
  <si>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</si>
  <si>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</si>
  <si>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</si>
  <si>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</si>
  <si>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</si>
  <si>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</si>
  <si>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</si>
  <si>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</si>
  <si>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</si>
  <si>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</si>
  <si>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</si>
  <si>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</si>
  <si>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</si>
  <si>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</si>
  <si>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</si>
  <si>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</si>
  <si>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</si>
  <si>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</si>
  <si>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</si>
  <si>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</si>
  <si>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</si>
  <si>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</si>
  <si>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</si>
  <si>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</si>
  <si>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</si>
  <si>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</si>
  <si>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</si>
  <si>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</si>
  <si>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</si>
  <si>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</si>
  <si>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</si>
  <si>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</si>
  <si>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</si>
  <si>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</si>
  <si>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</si>
  <si>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</si>
  <si>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</si>
  <si>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</si>
  <si>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</si>
  <si>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</si>
  <si>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</si>
  <si>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</si>
  <si>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</si>
  <si>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</si>
  <si>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</si>
  <si>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</si>
  <si>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</si>
  <si>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</si>
  <si>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</si>
  <si>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</si>
  <si>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</si>
  <si>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</si>
  <si>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</si>
  <si>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</si>
  <si>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</si>
  <si>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</si>
  <si>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</si>
  <si>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</si>
  <si>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</si>
  <si>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</si>
  <si>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</si>
  <si>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</si>
  <si>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</si>
  <si>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</si>
  <si>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</si>
  <si>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</si>
  <si>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</si>
  <si>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</si>
  <si>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</si>
  <si>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</si>
  <si>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</si>
  <si>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</si>
  <si>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</si>
  <si>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</si>
  <si>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</si>
  <si>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</si>
  <si>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</si>
  <si>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</si>
  <si>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</si>
  <si>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</si>
  <si>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</si>
  <si>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</si>
  <si>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</si>
  <si>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</si>
  <si>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</si>
  <si>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</si>
  <si>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</si>
  <si>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</si>
  <si>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</si>
  <si>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</si>
  <si>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</si>
  <si>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</si>
  <si>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</si>
  <si>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</si>
  <si>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</si>
  <si>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</si>
  <si>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</si>
  <si>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</si>
  <si>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</si>
  <si>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</si>
  <si>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</si>
  <si>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</si>
  <si>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</si>
  <si>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</si>
  <si>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</si>
  <si>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</si>
  <si>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</si>
  <si>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</si>
  <si>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</si>
  <si>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</si>
  <si>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</si>
  <si>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</si>
  <si>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</si>
  <si>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</si>
  <si>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</si>
  <si>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</si>
  <si>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</si>
  <si>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</si>
  <si>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</si>
  <si>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</si>
  <si>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</si>
  <si>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</si>
  <si>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</si>
  <si>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</si>
  <si>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</si>
  <si>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</si>
  <si>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</si>
  <si>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</si>
  <si>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</si>
  <si>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</si>
  <si>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</si>
  <si>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</si>
  <si>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</si>
  <si>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</si>
  <si>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</si>
  <si>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</si>
  <si>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</si>
  <si>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</si>
  <si>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</si>
  <si>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</si>
  <si>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</si>
  <si>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</si>
  <si>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</si>
  <si>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</si>
  <si>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</si>
  <si>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</si>
  <si>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</si>
  <si>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</si>
  <si>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</si>
  <si>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</si>
  <si>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</si>
  <si>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</si>
  <si>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</si>
  <si>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</si>
  <si>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</si>
  <si>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</si>
  <si>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</si>
  <si>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</si>
  <si>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</si>
  <si>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</si>
  <si>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</si>
  <si>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</si>
  <si>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</si>
  <si>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</si>
  <si>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</si>
  <si>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</si>
  <si>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</si>
  <si>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</si>
  <si>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</si>
  <si>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</si>
  <si>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</si>
  <si>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</si>
  <si>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</si>
  <si>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</si>
  <si>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</si>
  <si>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</si>
  <si>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</si>
  <si>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</si>
  <si>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</si>
  <si>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</si>
  <si>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</si>
  <si>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</si>
  <si>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</si>
  <si>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</si>
  <si>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</si>
  <si>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</si>
  <si>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</si>
  <si>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</si>
  <si>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</si>
  <si>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</si>
  <si>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</si>
  <si>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</si>
  <si>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</si>
  <si>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</si>
  <si>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</si>
  <si>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</si>
  <si>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</si>
  <si>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</si>
  <si>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</si>
  <si>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</si>
  <si>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</si>
  <si>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</si>
  <si>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</si>
  <si>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</si>
  <si>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</si>
  <si>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</si>
  <si>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</si>
  <si>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</si>
  <si>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</si>
  <si>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</si>
  <si>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</si>
  <si>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</si>
  <si>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</si>
  <si>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</si>
  <si>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</si>
  <si>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</si>
  <si>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</si>
  <si>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</si>
  <si>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</si>
  <si>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</si>
  <si>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</si>
  <si>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</si>
  <si>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</si>
  <si>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</si>
  <si>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</si>
  <si>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</si>
  <si>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</si>
  <si>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</si>
  <si>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</si>
  <si>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</si>
  <si>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</si>
  <si>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</si>
  <si>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</si>
  <si>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</si>
  <si>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</si>
  <si>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</si>
  <si>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</si>
  <si>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</si>
  <si>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</si>
  <si>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</si>
  <si>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</si>
  <si>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</si>
  <si>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</si>
  <si>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</si>
  <si>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</si>
  <si>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</si>
  <si>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</si>
  <si>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</si>
  <si>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</si>
  <si>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</si>
  <si>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</si>
  <si>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</si>
  <si>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</si>
  <si>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</si>
  <si>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</si>
  <si>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</si>
  <si>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</si>
  <si>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</si>
  <si>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</si>
  <si>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</si>
  <si>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</si>
  <si>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</si>
  <si>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</si>
  <si>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</si>
  <si>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</si>
  <si>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</si>
  <si>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</si>
  <si>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</si>
  <si>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</si>
  <si>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</si>
  <si>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</si>
  <si>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</si>
  <si>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</si>
  <si>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</si>
  <si>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</si>
  <si>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</si>
  <si>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</si>
  <si>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</si>
  <si>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</si>
  <si>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</si>
  <si>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</si>
  <si>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</si>
  <si>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</si>
  <si>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</si>
  <si>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</si>
  <si>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</si>
  <si>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</si>
  <si>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</si>
  <si>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</si>
  <si>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</si>
  <si>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</si>
  <si>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</si>
  <si>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</si>
  <si>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</si>
  <si>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</si>
  <si>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</si>
  <si>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</si>
  <si>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</si>
  <si>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</si>
  <si>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</si>
  <si>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</si>
  <si>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</si>
  <si>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</si>
  <si>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</si>
  <si>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</si>
  <si>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</si>
  <si>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</si>
  <si>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</si>
  <si>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</si>
  <si>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</si>
  <si>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</si>
  <si>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</si>
  <si>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</si>
  <si>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</si>
  <si>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</si>
  <si>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</si>
  <si>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</si>
  <si>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</si>
  <si>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</si>
  <si>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</si>
  <si>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</si>
  <si>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</si>
  <si>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</si>
  <si>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</si>
  <si>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</si>
  <si>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</si>
  <si>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</si>
  <si>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</si>
  <si>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</si>
  <si>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</si>
  <si>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</si>
  <si>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</si>
  <si>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</si>
  <si>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</si>
  <si>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</si>
  <si>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</si>
  <si>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</si>
  <si>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</si>
  <si>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</si>
  <si>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</si>
  <si>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</si>
  <si>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</si>
  <si>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</si>
  <si>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</si>
  <si>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</si>
  <si>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</si>
  <si>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</si>
  <si>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</si>
  <si>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</si>
  <si>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</si>
  <si>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</si>
  <si>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</si>
  <si>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</si>
  <si>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</si>
  <si>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</si>
  <si>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</si>
  <si>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</si>
  <si>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</si>
  <si>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</si>
  <si>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</si>
  <si>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</si>
  <si>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</si>
  <si>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</si>
  <si>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</si>
  <si>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</si>
  <si>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</si>
  <si>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</si>
  <si>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</si>
  <si>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</si>
  <si>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</si>
  <si>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</si>
  <si>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</si>
  <si>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</si>
  <si>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</si>
  <si>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</si>
  <si>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</si>
  <si>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</si>
  <si>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</si>
  <si>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</si>
  <si>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</si>
  <si>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</si>
  <si>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</si>
  <si>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</si>
  <si>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</si>
  <si>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</si>
  <si>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</si>
  <si>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</si>
  <si>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</si>
  <si>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</si>
  <si>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</si>
  <si>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</si>
  <si>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</si>
  <si>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</si>
  <si>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</si>
  <si>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</si>
  <si>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</si>
  <si>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</si>
  <si>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</si>
  <si>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</si>
  <si>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</si>
  <si>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</si>
  <si>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</si>
  <si>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</si>
  <si>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</si>
  <si>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</si>
  <si>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</si>
  <si>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</si>
  <si>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</si>
  <si>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</si>
  <si>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</si>
  <si>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</si>
  <si>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</si>
  <si>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</si>
  <si>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</si>
  <si>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</si>
  <si>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</si>
  <si>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</si>
  <si>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</si>
  <si>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</si>
  <si>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</si>
  <si>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</si>
  <si>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</si>
  <si>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</si>
  <si>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</si>
  <si>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</si>
  <si>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</si>
  <si>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</si>
  <si>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</si>
  <si>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</si>
  <si>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</si>
  <si>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</si>
  <si>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</si>
  <si>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</si>
  <si>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</si>
  <si>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</si>
  <si>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</si>
  <si>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</si>
  <si>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</si>
  <si>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</si>
  <si>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</si>
  <si>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</si>
  <si>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</si>
  <si>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</si>
  <si>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</si>
  <si>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</si>
  <si>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</si>
  <si>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</si>
  <si>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</si>
  <si>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</si>
  <si>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</si>
  <si>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</si>
  <si>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</si>
  <si>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</si>
  <si>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</si>
  <si>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</si>
  <si>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</si>
  <si>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</si>
  <si>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</si>
  <si>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</si>
  <si>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</si>
  <si>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</si>
  <si>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</si>
  <si>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</si>
  <si>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</si>
  <si>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</si>
  <si>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</si>
  <si>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</si>
  <si>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</si>
  <si>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</si>
  <si>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</si>
  <si>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</si>
  <si>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</si>
  <si>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</si>
  <si>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</si>
  <si>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</si>
  <si>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</si>
  <si>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</si>
  <si>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</si>
  <si>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</si>
  <si>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</si>
  <si>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</si>
  <si>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</si>
  <si>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</si>
  <si>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</si>
  <si>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</si>
  <si>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</si>
  <si>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</si>
  <si>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</si>
  <si>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</si>
  <si>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</si>
  <si>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</si>
  <si>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</si>
  <si>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</si>
  <si>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</si>
  <si>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</si>
  <si>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</si>
  <si>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</si>
  <si>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</si>
  <si>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</si>
  <si>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</si>
  <si>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</si>
  <si>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</si>
  <si>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</si>
  <si>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</si>
  <si>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</si>
  <si>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</si>
  <si>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</si>
  <si>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</si>
  <si>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</si>
  <si>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</si>
  <si>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</si>
  <si>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</si>
  <si>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</si>
  <si>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</si>
  <si>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</si>
  <si>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</si>
  <si>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</si>
  <si>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</si>
  <si>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</si>
  <si>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</si>
  <si>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</si>
  <si>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</si>
  <si>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</si>
  <si>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</si>
  <si>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</si>
  <si>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</si>
  <si>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</si>
  <si>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</si>
  <si>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</si>
  <si>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</si>
  <si>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</si>
  <si>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</si>
  <si>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</si>
  <si>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</si>
  <si>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</si>
  <si>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</si>
  <si>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</si>
  <si>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</si>
  <si>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</si>
  <si>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</si>
  <si>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</si>
  <si>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</si>
  <si>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</si>
  <si>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</si>
  <si>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</si>
  <si>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</si>
  <si>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</si>
  <si>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</si>
  <si>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</si>
  <si>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</si>
  <si>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</si>
  <si>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</si>
  <si>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</si>
  <si>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</si>
  <si>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</si>
  <si>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</si>
  <si>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</si>
  <si>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</si>
  <si>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</si>
  <si>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</si>
  <si>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</si>
  <si>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</si>
  <si>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</si>
  <si>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</si>
  <si>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</si>
  <si>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</si>
  <si>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</si>
  <si>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</si>
  <si>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</si>
  <si>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</si>
  <si>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</si>
  <si>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</si>
  <si>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</si>
  <si>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</si>
  <si>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</si>
  <si>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</si>
  <si>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</si>
  <si>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</si>
  <si>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</si>
  <si>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</si>
  <si>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</si>
  <si>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</si>
  <si>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</si>
  <si>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</si>
  <si>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</si>
  <si>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</si>
  <si>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</si>
  <si>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</si>
  <si>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</si>
  <si>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</si>
  <si>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</si>
  <si>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</si>
  <si>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</si>
  <si>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</si>
  <si>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</si>
  <si>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</si>
  <si>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</si>
  <si>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</si>
  <si>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</si>
  <si>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</si>
  <si>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</si>
  <si>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</si>
  <si>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</si>
  <si>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</si>
  <si>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</si>
  <si>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</si>
  <si>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</si>
  <si>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</si>
  <si>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</si>
  <si>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</si>
  <si>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</si>
  <si>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</si>
  <si>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</si>
  <si>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</si>
  <si>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</si>
  <si>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</si>
  <si>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</si>
  <si>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</si>
  <si>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</si>
  <si>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</si>
  <si>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</si>
  <si>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</si>
  <si>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</si>
  <si>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</si>
  <si>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</si>
  <si>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</si>
  <si>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</si>
  <si>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</si>
  <si>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</si>
  <si>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</si>
  <si>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</si>
  <si>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</si>
  <si>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</si>
  <si>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</si>
  <si>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</si>
  <si>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</si>
  <si>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</si>
  <si>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</si>
  <si>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</si>
  <si>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</si>
  <si>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</si>
  <si>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</si>
  <si>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</si>
  <si>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</si>
  <si>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</si>
  <si>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</si>
  <si>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</si>
  <si>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</si>
  <si>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</si>
  <si>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</si>
  <si>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</si>
  <si>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</si>
  <si>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</si>
  <si>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</si>
  <si>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</si>
  <si>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</si>
  <si>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</si>
  <si>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</si>
  <si>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</si>
  <si>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</si>
  <si>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</si>
  <si>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</si>
  <si>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</si>
  <si>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</si>
  <si>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</si>
  <si>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</si>
  <si>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</si>
  <si>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</si>
  <si>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</si>
  <si>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</si>
  <si>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</si>
  <si>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</si>
  <si>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</si>
  <si>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</si>
  <si>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</si>
  <si>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</si>
  <si>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</si>
  <si>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</si>
  <si>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</si>
  <si>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</si>
  <si>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</si>
  <si>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</si>
  <si>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</si>
  <si>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</si>
  <si>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</si>
  <si>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</si>
  <si>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</si>
  <si>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</si>
  <si>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</si>
  <si>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</si>
  <si>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</si>
  <si>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</si>
  <si>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</si>
  <si>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</si>
  <si>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</si>
  <si>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</si>
  <si>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</si>
  <si>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</si>
  <si>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</si>
  <si>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</si>
  <si>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</si>
  <si>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</si>
  <si>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</si>
  <si>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</si>
  <si>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</si>
  <si>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</si>
  <si>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</si>
  <si>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</si>
  <si>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</si>
  <si>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</si>
  <si>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</si>
  <si>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</si>
  <si>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</si>
  <si>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</si>
  <si>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</si>
  <si>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</si>
  <si>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</si>
  <si>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</si>
  <si>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</si>
  <si>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</si>
  <si>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</si>
  <si>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</si>
  <si>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</si>
  <si>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</si>
  <si>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</si>
  <si>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</si>
  <si>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</si>
  <si>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</si>
  <si>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</si>
  <si>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</si>
  <si>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</si>
  <si>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</si>
  <si>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</si>
  <si>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</si>
  <si>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</si>
  <si>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</si>
  <si>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</si>
  <si>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</si>
  <si>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</si>
  <si>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</si>
  <si>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</si>
  <si>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</si>
  <si>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</si>
  <si>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</si>
  <si>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</si>
  <si>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</si>
  <si>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</si>
  <si>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</si>
  <si>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</si>
  <si>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</si>
  <si>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</si>
  <si>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</si>
  <si>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</si>
  <si>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</si>
  <si>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</si>
  <si>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</si>
  <si>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</si>
  <si>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</si>
  <si>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</si>
  <si>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</si>
  <si>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</si>
  <si>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</si>
  <si>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</si>
  <si>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</si>
  <si>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</si>
  <si>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</si>
  <si>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</si>
  <si>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</si>
  <si>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</si>
  <si>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</si>
  <si>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</si>
  <si>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</si>
  <si>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</si>
  <si>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</si>
  <si>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</si>
  <si>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</si>
  <si>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</si>
  <si>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</si>
  <si>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</si>
  <si>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</si>
  <si>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</si>
  <si>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</si>
  <si>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</si>
  <si>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</si>
  <si>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</si>
  <si>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</si>
  <si>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</si>
  <si>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</si>
  <si>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</si>
  <si>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</si>
  <si>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</si>
  <si>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</si>
  <si>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</si>
  <si>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</si>
  <si>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</si>
  <si>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</si>
  <si>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</si>
  <si>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</si>
  <si>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</si>
  <si>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</si>
  <si>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</si>
  <si>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</si>
  <si>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</si>
  <si>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</si>
  <si>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</si>
  <si>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</si>
  <si>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</si>
  <si>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</si>
  <si>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</si>
  <si>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</si>
  <si>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</si>
  <si>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</si>
  <si>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</si>
  <si>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</si>
  <si>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</si>
  <si>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</si>
  <si>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</si>
  <si>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</si>
  <si>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</si>
  <si>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</si>
  <si>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</si>
  <si>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</si>
  <si>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</si>
  <si>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</si>
  <si>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</si>
  <si>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</si>
  <si>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</si>
  <si>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</si>
  <si>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</si>
  <si>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</si>
  <si>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</si>
  <si>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</si>
  <si>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</si>
  <si>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</si>
  <si>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</si>
  <si>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</si>
  <si>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</si>
  <si>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</si>
  <si>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</si>
  <si>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</si>
  <si>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</si>
  <si>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</si>
  <si>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</si>
  <si>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</si>
  <si>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</si>
  <si>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</si>
  <si>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</si>
  <si>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</si>
  <si>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</si>
  <si>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</si>
  <si>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</si>
  <si>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</si>
  <si>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</si>
  <si>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</si>
  <si>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</si>
  <si>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</si>
  <si>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</si>
  <si>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</si>
  <si>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</si>
  <si>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</si>
  <si>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</si>
  <si>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</si>
  <si>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</si>
  <si>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</si>
  <si>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</si>
  <si>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</si>
  <si>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</si>
  <si>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</si>
  <si>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</si>
  <si>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</si>
  <si>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</si>
  <si>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</si>
  <si>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</si>
  <si>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</si>
  <si>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</si>
  <si>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</si>
  <si>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</si>
  <si>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</si>
  <si>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</si>
  <si>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</si>
  <si>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</si>
  <si>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</si>
  <si>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</si>
  <si>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</si>
  <si>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</si>
  <si>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</si>
  <si>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</si>
  <si>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</si>
  <si>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</si>
  <si>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</si>
  <si>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</si>
  <si>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</si>
  <si>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</si>
  <si>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</si>
  <si>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</si>
  <si>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</si>
  <si>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</si>
  <si>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</si>
  <si>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</si>
  <si>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</si>
  <si>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</si>
  <si>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</si>
  <si>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</si>
  <si>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</si>
  <si>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</si>
  <si>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</si>
  <si>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</si>
  <si>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</si>
  <si>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</si>
  <si>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</si>
  <si>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</si>
  <si>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</si>
  <si>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</si>
  <si>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</si>
  <si>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</si>
  <si>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</si>
  <si>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</si>
  <si>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</si>
  <si>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</si>
  <si>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</si>
  <si>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</si>
  <si>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</si>
  <si>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</si>
  <si>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</si>
  <si>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</si>
  <si>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</si>
  <si>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</si>
  <si>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</si>
  <si>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</si>
  <si>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</si>
  <si>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</si>
  <si>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</si>
  <si>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</si>
  <si>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</si>
  <si>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</si>
  <si>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</si>
  <si>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</si>
  <si>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</si>
  <si>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</si>
  <si>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</si>
  <si>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</si>
  <si>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</si>
  <si>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</si>
  <si>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</si>
  <si>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</si>
  <si>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</si>
  <si>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</si>
  <si>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</si>
  <si>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</si>
  <si>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</si>
  <si>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</si>
  <si>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</si>
  <si>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</si>
  <si>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</si>
  <si>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</si>
  <si>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</si>
  <si>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</si>
  <si>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</si>
  <si>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</si>
  <si>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</si>
  <si>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</si>
  <si>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</si>
  <si>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</si>
  <si>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</si>
  <si>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</si>
  <si>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</si>
  <si>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</si>
  <si>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</si>
  <si>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</si>
  <si>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</si>
  <si>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</si>
  <si>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</si>
  <si>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</si>
  <si>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</si>
  <si>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</si>
  <si>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</si>
  <si>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</si>
  <si>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</si>
  <si>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</si>
  <si>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</si>
  <si>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</si>
  <si>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</si>
  <si>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</si>
  <si>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</si>
  <si>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</si>
  <si>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</si>
  <si>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</si>
  <si>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</si>
  <si>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</si>
  <si>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</si>
  <si>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</si>
  <si>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</si>
  <si>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</si>
  <si>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</si>
  <si>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</si>
  <si>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</si>
  <si>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</si>
  <si>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</si>
  <si>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</si>
  <si>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</si>
  <si>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</si>
  <si>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</si>
  <si>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</si>
  <si>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</si>
  <si>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</si>
  <si>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</si>
  <si>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</si>
  <si>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</si>
  <si>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</si>
  <si>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</si>
  <si>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</si>
  <si>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</si>
  <si>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</si>
  <si>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</si>
  <si>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</si>
  <si>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</si>
  <si>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</si>
  <si>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</si>
  <si>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</si>
  <si>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</si>
  <si>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</si>
  <si>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</si>
  <si>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</si>
  <si>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</si>
  <si>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</si>
  <si>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</si>
  <si>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</si>
  <si>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</si>
  <si>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</si>
  <si>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</si>
  <si>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</si>
  <si>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</si>
  <si>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</si>
  <si>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</si>
  <si>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</si>
  <si>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</si>
  <si>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</si>
  <si>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</si>
  <si>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</si>
  <si>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</si>
  <si>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</si>
  <si>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</si>
  <si>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</si>
  <si>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</si>
  <si>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</si>
  <si>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</si>
  <si>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</si>
  <si>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</si>
  <si>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</si>
  <si>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</si>
  <si>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</si>
  <si>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</si>
  <si>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</si>
  <si>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</si>
  <si>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</si>
  <si>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</si>
  <si>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</si>
  <si>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</si>
  <si>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</si>
  <si>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</si>
  <si>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</si>
  <si>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</si>
  <si>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</si>
  <si>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</si>
  <si>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</si>
  <si>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</si>
  <si>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</si>
  <si>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</si>
  <si>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</si>
  <si>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</si>
  <si>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</si>
  <si>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</si>
  <si>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</si>
  <si>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</si>
  <si>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</si>
  <si>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</si>
  <si>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</si>
  <si>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</si>
  <si>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</si>
  <si>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</si>
  <si>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</si>
  <si>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</si>
  <si>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</si>
  <si>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</si>
  <si>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</si>
  <si>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</si>
  <si>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</si>
  <si>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</si>
  <si>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</si>
  <si>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</si>
  <si>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</si>
  <si>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</si>
  <si>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</si>
  <si>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</si>
  <si>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</si>
  <si>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</si>
  <si>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</si>
  <si>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</si>
  <si>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</si>
  <si>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</si>
  <si>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</si>
  <si>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</si>
  <si>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</si>
  <si>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</si>
  <si>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</si>
  <si>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</si>
  <si>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</si>
  <si>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</si>
  <si>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</si>
  <si>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</si>
  <si>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</si>
  <si>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</si>
  <si>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</si>
  <si>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</si>
  <si>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</si>
  <si>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</si>
  <si>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</si>
  <si>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</si>
  <si>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</si>
  <si>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</si>
  <si>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</si>
  <si>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</si>
  <si>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</si>
  <si>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</si>
  <si>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</si>
  <si>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</si>
  <si>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</si>
  <si>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</si>
  <si>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</si>
  <si>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</si>
  <si>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</si>
  <si>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</si>
  <si>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</si>
  <si>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</si>
  <si>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</si>
  <si>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</si>
  <si>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</si>
  <si>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</si>
  <si>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</si>
  <si>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</si>
  <si>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</si>
  <si>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</si>
  <si>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</si>
  <si>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</si>
  <si>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</si>
  <si>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</si>
  <si>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</si>
  <si>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</si>
  <si>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</si>
  <si>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</si>
  <si>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</si>
  <si>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</si>
  <si>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</si>
  <si>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</si>
  <si>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</si>
  <si>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</si>
  <si>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</si>
  <si>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</si>
  <si>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</si>
  <si>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</si>
  <si>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</si>
  <si>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</si>
  <si>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</si>
  <si>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</si>
  <si>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</si>
  <si>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</si>
  <si>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</si>
  <si>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</si>
  <si>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</si>
  <si>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</si>
  <si>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</si>
  <si>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</si>
  <si>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</si>
  <si>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</si>
  <si>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</si>
  <si>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</si>
  <si>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</si>
  <si>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</si>
  <si>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</si>
  <si>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</si>
  <si>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</si>
  <si>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</si>
  <si>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</si>
  <si>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</si>
  <si>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</si>
  <si>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</si>
  <si>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</si>
  <si>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</si>
  <si>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</si>
  <si>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</si>
  <si>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</si>
  <si>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</si>
  <si>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</si>
  <si>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</si>
  <si>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</si>
  <si>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</si>
  <si>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</si>
  <si>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</si>
  <si>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</si>
  <si>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</si>
  <si>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</si>
  <si>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</si>
  <si>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</si>
  <si>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</si>
  <si>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</si>
  <si>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</si>
  <si>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</si>
  <si>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</si>
  <si>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</si>
  <si>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</si>
  <si>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</si>
  <si>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</si>
  <si>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</si>
  <si>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</si>
  <si>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</si>
  <si>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</si>
  <si>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</si>
  <si>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</si>
  <si>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</si>
  <si>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</si>
  <si>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</si>
  <si>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</si>
  <si>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</si>
  <si>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</si>
  <si>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</si>
  <si>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</si>
  <si>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</si>
  <si>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</si>
  <si>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</si>
  <si>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</si>
  <si>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</si>
  <si>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</si>
  <si>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</si>
  <si>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</si>
  <si>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</si>
  <si>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</si>
  <si>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</si>
  <si>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</si>
  <si>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</si>
  <si>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</si>
  <si>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</si>
  <si>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</si>
  <si>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</si>
  <si>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</si>
  <si>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</si>
  <si>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</si>
  <si>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</si>
  <si>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</si>
  <si>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</si>
  <si>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</si>
  <si>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</si>
  <si>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</si>
  <si>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</si>
  <si>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</si>
  <si>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</si>
  <si>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</si>
  <si>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</si>
  <si>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</si>
  <si>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</si>
  <si>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</si>
  <si>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</si>
  <si>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</si>
  <si>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</si>
  <si>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</si>
  <si>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</si>
  <si>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</si>
  <si>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</si>
  <si>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</si>
  <si>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</si>
  <si>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</si>
  <si>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</si>
  <si>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</si>
  <si>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</si>
  <si>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</si>
  <si>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</si>
  <si>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</si>
  <si>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</si>
  <si>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</si>
  <si>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</si>
  <si>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</si>
  <si>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</si>
  <si>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</si>
  <si>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</si>
  <si>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</si>
  <si>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</si>
  <si>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</si>
  <si>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</si>
  <si>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</si>
  <si>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</si>
  <si>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</si>
  <si>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</si>
  <si>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</si>
  <si>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</si>
  <si>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</si>
  <si>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</si>
  <si>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</si>
  <si>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</si>
  <si>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</si>
  <si>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</si>
  <si>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</si>
  <si>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</si>
  <si>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</si>
  <si>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</si>
  <si>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</si>
  <si>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</si>
  <si>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</si>
  <si>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</si>
  <si>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</si>
  <si>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</si>
  <si>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</si>
  <si>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</si>
  <si>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</si>
  <si>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</si>
  <si>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</si>
  <si>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</si>
  <si>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</si>
  <si>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</si>
  <si>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</si>
  <si>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</si>
  <si>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</si>
  <si>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</si>
  <si>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</si>
  <si>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</si>
  <si>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</si>
  <si>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</si>
  <si>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</si>
  <si>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</si>
  <si>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</si>
  <si>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</si>
  <si>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</si>
  <si>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</si>
  <si>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</si>
  <si>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</si>
  <si>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</si>
  <si>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</si>
  <si>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</si>
  <si>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</si>
  <si>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</si>
  <si>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</si>
  <si>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</si>
  <si>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</si>
  <si>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</si>
  <si>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</si>
  <si>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</si>
  <si>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</si>
  <si>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</si>
  <si>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</si>
  <si>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</si>
  <si>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</si>
  <si>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</si>
  <si>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</si>
  <si>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</si>
  <si>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</si>
  <si>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</si>
  <si>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</si>
  <si>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</si>
  <si>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</si>
  <si>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</si>
  <si>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</si>
  <si>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</si>
  <si>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</si>
  <si>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</si>
  <si>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</si>
  <si>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</si>
  <si>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</si>
  <si>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</si>
  <si>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</si>
  <si>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</si>
  <si>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</si>
  <si>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</si>
  <si>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</si>
  <si>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</si>
  <si>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</si>
  <si>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</si>
  <si>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</si>
  <si>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</si>
  <si>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</si>
  <si>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</si>
  <si>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</si>
  <si>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</si>
  <si>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</si>
  <si>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</si>
  <si>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</si>
  <si>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</si>
  <si>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</si>
  <si>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</si>
  <si>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</si>
  <si>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</si>
  <si>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</si>
  <si>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</si>
  <si>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</si>
  <si>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</si>
  <si>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</si>
  <si>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</si>
  <si>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</si>
  <si>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</si>
  <si>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</si>
  <si>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</si>
  <si>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</si>
  <si>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</si>
  <si>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</si>
  <si>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</si>
  <si>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</si>
  <si>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</si>
  <si>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</si>
  <si>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</si>
  <si>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</si>
  <si>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</si>
  <si>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</si>
  <si>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</si>
  <si>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</si>
  <si>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</si>
  <si>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</si>
  <si>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</si>
  <si>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</si>
  <si>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</si>
  <si>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</si>
  <si>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</si>
  <si>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</si>
  <si>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</si>
  <si>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</si>
  <si>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</si>
  <si>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</si>
  <si>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</si>
  <si>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</si>
  <si>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</si>
  <si>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</si>
  <si>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</si>
  <si>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</si>
  <si>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</si>
  <si>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</si>
  <si>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</si>
  <si>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</si>
  <si>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</si>
  <si>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</si>
  <si>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</si>
  <si>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</si>
  <si>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</si>
  <si>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</si>
  <si>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</si>
  <si>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</si>
  <si>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</si>
  <si>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</si>
  <si>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</si>
  <si>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</si>
  <si>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</si>
  <si>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</si>
  <si>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</si>
  <si>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</si>
  <si>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</si>
  <si>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</si>
  <si>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</si>
  <si>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</si>
  <si>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</si>
  <si>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</si>
  <si>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</si>
  <si>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</si>
  <si>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</si>
  <si>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</si>
  <si>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</si>
  <si>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</si>
  <si>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</si>
  <si>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</si>
  <si>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</si>
  <si>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</si>
  <si>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</si>
  <si>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</si>
  <si>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</si>
  <si>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</si>
  <si>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</si>
  <si>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</si>
  <si>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</si>
  <si>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</si>
  <si>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</si>
  <si>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</si>
  <si>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</si>
  <si>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</si>
  <si>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</si>
  <si>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</si>
  <si>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</si>
  <si>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</si>
  <si>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</si>
  <si>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</si>
  <si>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</si>
  <si>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</si>
  <si>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</si>
  <si>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</si>
  <si>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</si>
  <si>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</si>
  <si>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</si>
  <si>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</si>
  <si>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</si>
  <si>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</si>
  <si>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</si>
  <si>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</si>
  <si>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</si>
  <si>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</si>
  <si>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</si>
  <si>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</si>
  <si>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</si>
  <si>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</si>
  <si>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</si>
  <si>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</si>
  <si>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</si>
  <si>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</si>
  <si>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</si>
  <si>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</si>
  <si>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</si>
  <si>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</si>
  <si>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</si>
  <si>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</si>
  <si>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</si>
  <si>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</si>
  <si>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</si>
  <si>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</si>
  <si>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</si>
  <si>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</si>
  <si>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</si>
  <si>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</si>
  <si>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</si>
  <si>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</si>
  <si>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</si>
  <si>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</si>
  <si>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</si>
  <si>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</si>
  <si>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</si>
  <si>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</si>
  <si>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</si>
  <si>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</si>
  <si>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</si>
  <si>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</si>
  <si>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</si>
  <si>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</si>
  <si>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</si>
  <si>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</si>
  <si>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</si>
  <si>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</si>
  <si>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</si>
  <si>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</si>
  <si>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</si>
  <si>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</si>
  <si>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</si>
  <si>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</si>
  <si>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</si>
  <si>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</si>
  <si>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</si>
  <si>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</si>
  <si>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</si>
  <si>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</si>
  <si>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</si>
  <si>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</si>
  <si>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</si>
  <si>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</si>
  <si>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</si>
  <si>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</si>
  <si>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</si>
  <si>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</si>
  <si>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</si>
  <si>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</si>
  <si>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</si>
  <si>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</si>
  <si>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</si>
  <si>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</si>
  <si>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</si>
  <si>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</si>
  <si>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</si>
  <si>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</si>
  <si>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</si>
  <si>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</si>
  <si>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</si>
  <si>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</si>
  <si>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</si>
  <si>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</si>
  <si>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</si>
  <si>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</si>
  <si>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</si>
  <si>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</si>
  <si>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</si>
  <si>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</si>
  <si>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</si>
  <si>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</si>
  <si>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</si>
  <si>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</si>
  <si>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</si>
  <si>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</si>
  <si>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</si>
  <si>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</si>
  <si>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</si>
  <si>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</si>
  <si>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</si>
  <si>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</si>
  <si>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</si>
  <si>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</si>
  <si>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</si>
  <si>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</si>
  <si>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</si>
  <si>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</si>
  <si>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</si>
  <si>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</si>
  <si>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</si>
  <si>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</si>
  <si>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</si>
  <si>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</si>
  <si>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</si>
  <si>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</si>
  <si>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</si>
  <si>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</si>
  <si>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</si>
  <si>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</si>
  <si>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</si>
  <si>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</si>
  <si>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Resultater gruppespill</t>
  </si>
  <si>
    <t>Kamp</t>
  </si>
  <si>
    <t>Hjemmelag</t>
  </si>
  <si>
    <t>Bortelag</t>
  </si>
  <si>
    <t>Resultat</t>
  </si>
  <si>
    <t>REGLER</t>
  </si>
  <si>
    <t>Spill:</t>
  </si>
  <si>
    <t>Poeng:</t>
  </si>
  <si>
    <t>1 poeng per riktig</t>
  </si>
  <si>
    <t>3 poeng per riktig</t>
  </si>
  <si>
    <t>Land videre til 16-dels finale</t>
  </si>
  <si>
    <t>2 poeng per riktig</t>
  </si>
  <si>
    <t>Land videre til kvartfinale</t>
  </si>
  <si>
    <t>Land videre til semifinale</t>
  </si>
  <si>
    <t>4 poeng per riktig</t>
  </si>
  <si>
    <t>Land i bronsefinalen</t>
  </si>
  <si>
    <t>Vinner bronsefinalen</t>
  </si>
  <si>
    <t>3 poeng hvis riktig</t>
  </si>
  <si>
    <t>Land i finalen</t>
  </si>
  <si>
    <t>5 poeng per riktig</t>
  </si>
  <si>
    <t>VM vinner</t>
  </si>
  <si>
    <t>10 poeng hvis riktig</t>
  </si>
  <si>
    <t>Bonusspill:</t>
  </si>
  <si>
    <t>Toppscorer</t>
  </si>
  <si>
    <t>Flest assist</t>
  </si>
  <si>
    <t>7 poeng hvis riktig</t>
  </si>
  <si>
    <t>Antall mål i mesterskapet</t>
  </si>
  <si>
    <t>20 poeng hvis riktig</t>
  </si>
  <si>
    <t>Antall kort i mesterskapet</t>
  </si>
  <si>
    <t>Deltakelseskontigent: NOK 250</t>
  </si>
  <si>
    <t>Spilleren med flest poeng (inkludert bonusspill) vinner hele potten</t>
  </si>
  <si>
    <t>HUSK Å FYLLE UT MANUELT HER:</t>
  </si>
  <si>
    <t>Kylian Mbappé</t>
  </si>
  <si>
    <t>Lamine Yamal</t>
  </si>
  <si>
    <t>Gruppevinnere</t>
  </si>
  <si>
    <t>Land videre til 8-dels finale</t>
  </si>
  <si>
    <t xml:space="preserve"> </t>
  </si>
  <si>
    <t>Bronsevinner</t>
  </si>
  <si>
    <t>Verdensmester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</si>
</sst>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  <font>
      <sz val="10"/>
      <name val="Calibri"/>
      <family val="2"/>
    </font>
    <font>
      <sz val="10"/>
      <color rgb="FF0000FF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07">
    <border>
      <left/>
      <right/>
      <top/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3" tint="0.39991454817346722"/>
      </left>
      <right style="thin">
        <color theme="3" tint="0.39988402966399123"/>
      </right>
      <top style="thin">
        <color theme="3" tint="0.39991454817346722"/>
      </top>
      <bottom style="thin">
        <color theme="3" tint="0.39991454817346722"/>
      </bottom>
      <diagonal/>
    </border>
    <border>
      <left style="thin">
        <color theme="3" tint="0.39991454817346722"/>
      </left>
      <right style="thin">
        <color theme="3" tint="0.39991454817346722"/>
      </right>
      <top style="thin">
        <color theme="3" tint="0.39991454817346722"/>
      </top>
      <bottom style="thin">
        <color theme="3" tint="0.39991454817346722"/>
      </bottom>
      <diagonal/>
    </border>
  </borders>
  <cellStyleXfs count="4">
    <xf numFmtId="0" fontId="0" fillId="0" borderId="0"/>
    <xf numFmtId="0" fontId="2" fillId="0" borderId="0"/>
    <xf numFmtId="0" fontId="11" fillId="6" borderId="48"/>
    <xf numFmtId="0" fontId="22" fillId="0" borderId="0"/>
  </cellStyleXfs>
  <cellXfs count="175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8" xfId="0" applyFill="1" applyBorder="1" applyAlignment="1" applyProtection="1">
      <alignment horizontal="center" vertical="center" shrinkToFit="1"/>
      <protection hidden="1"/>
    </xf>
    <xf numFmtId="0" fontId="1" fillId="3" borderId="9" xfId="0" applyFont="1" applyFill="1" applyBorder="1" applyAlignment="1" applyProtection="1">
      <alignment horizontal="center" vertical="center" shrinkToFit="1"/>
      <protection hidden="1"/>
    </xf>
    <xf numFmtId="0" fontId="0" fillId="3" borderId="9" xfId="0" applyFill="1" applyBorder="1" applyAlignment="1" applyProtection="1">
      <alignment horizontal="center" vertical="center" shrinkToFit="1"/>
      <protection hidden="1"/>
    </xf>
    <xf numFmtId="0" fontId="1" fillId="4" borderId="12" xfId="0" applyFont="1" applyFill="1" applyBorder="1" applyAlignment="1" applyProtection="1">
      <alignment horizontal="center" vertical="center"/>
      <protection locked="0"/>
    </xf>
    <xf numFmtId="0" fontId="1" fillId="4" borderId="11" xfId="0" applyFont="1" applyFill="1" applyBorder="1" applyAlignment="1" applyProtection="1">
      <alignment horizontal="center" vertical="center"/>
      <protection locked="0"/>
    </xf>
    <xf numFmtId="0" fontId="0" fillId="3" borderId="16" xfId="0" applyFill="1" applyBorder="1" applyAlignment="1" applyProtection="1">
      <alignment horizontal="center" vertical="center" shrinkToFit="1"/>
      <protection hidden="1"/>
    </xf>
    <xf numFmtId="0" fontId="1" fillId="3" borderId="17" xfId="0" applyFont="1" applyFill="1" applyBorder="1" applyAlignment="1" applyProtection="1">
      <alignment horizontal="center" vertical="center" shrinkToFit="1"/>
      <protection hidden="1"/>
    </xf>
    <xf numFmtId="0" fontId="0" fillId="3" borderId="17" xfId="0" applyFill="1" applyBorder="1" applyAlignment="1" applyProtection="1">
      <alignment horizontal="center" vertical="center" shrinkToFit="1"/>
      <protection hidden="1"/>
    </xf>
    <xf numFmtId="0" fontId="1" fillId="4" borderId="20" xfId="0" applyFont="1" applyFill="1" applyBorder="1" applyAlignment="1" applyProtection="1">
      <alignment horizontal="center" vertical="center"/>
      <protection locked="0"/>
    </xf>
    <xf numFmtId="0" fontId="1" fillId="4" borderId="19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1" xfId="0" applyFont="1" applyFill="1" applyBorder="1" applyAlignment="1" applyProtection="1">
      <alignment horizontal="right" vertical="center"/>
      <protection hidden="1"/>
    </xf>
    <xf numFmtId="0" fontId="0" fillId="0" borderId="22" xfId="0" applyBorder="1" applyAlignment="1" applyProtection="1">
      <alignment horizontal="center" vertical="center" shrinkToFit="1"/>
      <protection hidden="1"/>
    </xf>
    <xf numFmtId="0" fontId="0" fillId="3" borderId="23" xfId="0" applyFill="1" applyBorder="1" applyAlignment="1" applyProtection="1">
      <alignment horizontal="left" vertical="center" shrinkToFit="1"/>
      <protection hidden="1"/>
    </xf>
    <xf numFmtId="0" fontId="1" fillId="4" borderId="24" xfId="0" applyFont="1" applyFill="1" applyBorder="1" applyAlignment="1" applyProtection="1">
      <alignment horizontal="center" vertical="center"/>
      <protection locked="0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38" xfId="0" applyBorder="1" applyAlignment="1" applyProtection="1">
      <alignment vertical="center" shrinkToFit="1"/>
      <protection hidden="1"/>
    </xf>
    <xf numFmtId="0" fontId="0" fillId="0" borderId="39" xfId="0" applyBorder="1" applyAlignment="1" applyProtection="1">
      <alignment horizontal="center" vertical="center" shrinkToFit="1"/>
      <protection hidden="1"/>
    </xf>
    <xf numFmtId="0" fontId="0" fillId="0" borderId="40" xfId="0" applyBorder="1" applyAlignment="1" applyProtection="1">
      <alignment horizontal="center" vertical="center" shrinkToFit="1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vertical="center" shrinkToFit="1"/>
      <protection hidden="1"/>
    </xf>
    <xf numFmtId="0" fontId="0" fillId="0" borderId="44" xfId="0" applyBorder="1" applyAlignment="1" applyProtection="1">
      <alignment horizontal="center"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8" fillId="5" borderId="37" xfId="0" applyFont="1" applyFill="1" applyBorder="1" applyAlignment="1" applyProtection="1">
      <alignment horizontal="center" vertical="center" shrinkToFit="1"/>
      <protection hidden="1"/>
    </xf>
    <xf numFmtId="0" fontId="12" fillId="7" borderId="49" xfId="0" applyFont="1" applyFill="1" applyBorder="1" applyAlignment="1" applyProtection="1">
      <alignment horizontal="left" indent="1"/>
      <protection hidden="1"/>
    </xf>
    <xf numFmtId="0" fontId="1" fillId="7" borderId="50" xfId="0" applyFont="1" applyFill="1" applyBorder="1" applyAlignment="1" applyProtection="1">
      <alignment horizontal="left"/>
      <protection hidden="1"/>
    </xf>
    <xf numFmtId="0" fontId="1" fillId="7" borderId="51" xfId="0" applyFont="1" applyFill="1" applyBorder="1" applyProtection="1">
      <protection hidden="1"/>
    </xf>
    <xf numFmtId="0" fontId="1" fillId="7" borderId="52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3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2" xfId="0" applyFont="1" applyFill="1" applyBorder="1" applyAlignment="1" applyProtection="1">
      <alignment horizontal="right"/>
      <protection hidden="1"/>
    </xf>
    <xf numFmtId="0" fontId="1" fillId="8" borderId="54" xfId="0" applyFont="1" applyFill="1" applyBorder="1" applyProtection="1">
      <protection hidden="1"/>
    </xf>
    <xf numFmtId="0" fontId="1" fillId="8" borderId="55" xfId="0" applyFont="1" applyFill="1" applyBorder="1" applyProtection="1">
      <protection hidden="1"/>
    </xf>
    <xf numFmtId="0" fontId="1" fillId="8" borderId="56" xfId="0" applyFont="1" applyFill="1" applyBorder="1" applyProtection="1">
      <protection hidden="1"/>
    </xf>
    <xf numFmtId="0" fontId="1" fillId="7" borderId="57" xfId="0" applyFont="1" applyFill="1" applyBorder="1" applyProtection="1">
      <protection hidden="1"/>
    </xf>
    <xf numFmtId="0" fontId="1" fillId="7" borderId="58" xfId="0" applyFont="1" applyFill="1" applyBorder="1" applyProtection="1">
      <protection hidden="1"/>
    </xf>
    <xf numFmtId="0" fontId="1" fillId="7" borderId="59" xfId="0" applyFont="1" applyFill="1" applyBorder="1" applyAlignment="1" applyProtection="1">
      <alignment horizontal="left"/>
      <protection hidden="1"/>
    </xf>
    <xf numFmtId="0" fontId="1" fillId="7" borderId="60" xfId="0" applyFont="1" applyFill="1" applyBorder="1" applyProtection="1">
      <protection hidden="1"/>
    </xf>
    <xf numFmtId="0" fontId="1" fillId="7" borderId="52" xfId="0" applyFont="1" applyFill="1" applyBorder="1" applyAlignment="1" applyProtection="1">
      <alignment horizontal="right" vertical="center"/>
      <protection hidden="1"/>
    </xf>
    <xf numFmtId="0" fontId="13" fillId="7" borderId="61" xfId="0" applyFont="1" applyFill="1" applyBorder="1" applyAlignment="1" applyProtection="1">
      <alignment horizontal="left" vertical="center"/>
      <protection hidden="1"/>
    </xf>
    <xf numFmtId="0" fontId="13" fillId="7" borderId="57" xfId="0" applyFont="1" applyFill="1" applyBorder="1" applyAlignment="1" applyProtection="1">
      <alignment horizontal="left" vertical="center"/>
      <protection hidden="1"/>
    </xf>
    <xf numFmtId="0" fontId="1" fillId="7" borderId="62" xfId="0" applyFont="1" applyFill="1" applyBorder="1" applyProtection="1">
      <protection hidden="1"/>
    </xf>
    <xf numFmtId="0" fontId="12" fillId="7" borderId="63" xfId="0" applyFont="1" applyFill="1" applyBorder="1" applyAlignment="1" applyProtection="1">
      <alignment horizontal="center"/>
      <protection hidden="1"/>
    </xf>
    <xf numFmtId="0" fontId="1" fillId="7" borderId="52" xfId="0" applyFont="1" applyFill="1" applyBorder="1" applyAlignment="1" applyProtection="1">
      <alignment horizontal="left" indent="1"/>
      <protection hidden="1"/>
    </xf>
    <xf numFmtId="0" fontId="1" fillId="6" borderId="48" xfId="2" applyFont="1" applyAlignment="1" applyProtection="1">
      <alignment horizontal="left" vertical="center" indent="1"/>
      <protection locked="0"/>
    </xf>
    <xf numFmtId="0" fontId="1" fillId="4" borderId="23" xfId="0" applyFont="1" applyFill="1" applyBorder="1" applyAlignment="1" applyProtection="1">
      <alignment horizontal="center" vertical="center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64" xfId="0" applyFont="1" applyFill="1" applyBorder="1" applyAlignment="1" applyProtection="1">
      <alignment horizontal="center" vertical="center"/>
      <protection locked="0"/>
    </xf>
    <xf numFmtId="0" fontId="1" fillId="4" borderId="65" xfId="0" applyFont="1" applyFill="1" applyBorder="1" applyAlignment="1" applyProtection="1">
      <alignment horizontal="center" vertical="center"/>
      <protection locked="0"/>
    </xf>
    <xf numFmtId="3" fontId="1" fillId="6" borderId="66" xfId="2" applyNumberFormat="1" applyFont="1" applyBorder="1" applyAlignment="1" applyProtection="1">
      <alignment horizontal="center"/>
      <protection locked="0"/>
    </xf>
    <xf numFmtId="3" fontId="1" fillId="6" borderId="67" xfId="2" applyNumberFormat="1" applyFont="1" applyBorder="1" applyAlignment="1" applyProtection="1">
      <alignment horizontal="center"/>
      <protection locked="0"/>
    </xf>
    <xf numFmtId="3" fontId="1" fillId="6" borderId="68" xfId="2" applyNumberFormat="1" applyFont="1" applyBorder="1" applyAlignment="1" applyProtection="1">
      <alignment horizontal="center"/>
      <protection locked="0"/>
    </xf>
    <xf numFmtId="0" fontId="14" fillId="0" borderId="0" xfId="0" applyFont="1" applyAlignment="1" applyProtection="1">
      <alignment vertical="center"/>
      <protection hidden="1"/>
    </xf>
    <xf numFmtId="0" fontId="15" fillId="0" borderId="0" xfId="0" applyFont="1" applyAlignment="1" applyProtection="1">
      <alignment vertical="center"/>
      <protection hidden="1"/>
    </xf>
    <xf numFmtId="0" fontId="15" fillId="0" borderId="0" xfId="0" applyFont="1" applyAlignment="1" applyProtection="1">
      <alignment horizontal="center"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vertical="center" shrinkToFit="1"/>
      <protection hidden="1"/>
    </xf>
    <xf numFmtId="0" fontId="15" fillId="0" borderId="0" xfId="0" applyFont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right" vertical="center"/>
      <protection hidden="1"/>
    </xf>
    <xf numFmtId="0" fontId="15" fillId="0" borderId="0" xfId="0" applyFont="1" applyAlignment="1" applyProtection="1">
      <alignment horizontal="left" vertical="center"/>
      <protection hidden="1"/>
    </xf>
    <xf numFmtId="0" fontId="15" fillId="0" borderId="0" xfId="0" applyFont="1" applyProtection="1">
      <protection hidden="1"/>
    </xf>
    <xf numFmtId="0" fontId="0" fillId="3" borderId="11" xfId="0" applyFill="1" applyBorder="1" applyAlignment="1" applyProtection="1">
      <alignment horizontal="right" vertical="center" indent="3" shrinkToFit="1"/>
      <protection hidden="1"/>
    </xf>
    <xf numFmtId="0" fontId="0" fillId="3" borderId="19" xfId="0" applyFill="1" applyBorder="1" applyAlignment="1" applyProtection="1">
      <alignment horizontal="right" vertical="center" indent="3" shrinkToFit="1"/>
      <protection hidden="1"/>
    </xf>
    <xf numFmtId="0" fontId="0" fillId="3" borderId="35" xfId="0" applyFill="1" applyBorder="1" applyAlignment="1" applyProtection="1">
      <alignment horizontal="left" vertical="center" indent="3" shrinkToFit="1"/>
      <protection hidden="1"/>
    </xf>
    <xf numFmtId="0" fontId="0" fillId="3" borderId="36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69" xfId="0" applyBorder="1" applyAlignment="1">
      <alignment horizontal="center" vertical="center"/>
    </xf>
    <xf numFmtId="0" fontId="17" fillId="5" borderId="73" xfId="0" applyFont="1" applyFill="1" applyBorder="1" applyAlignment="1">
      <alignment horizontal="center" vertical="center"/>
    </xf>
    <xf numFmtId="0" fontId="17" fillId="5" borderId="74" xfId="0" applyFont="1" applyFill="1" applyBorder="1" applyAlignment="1">
      <alignment horizontal="center" vertical="center"/>
    </xf>
    <xf numFmtId="0" fontId="17" fillId="5" borderId="74" xfId="0" applyFont="1" applyFill="1" applyBorder="1" applyAlignment="1">
      <alignment horizontal="center" vertical="center" wrapText="1"/>
    </xf>
    <xf numFmtId="0" fontId="17" fillId="5" borderId="75" xfId="0" applyFont="1" applyFill="1" applyBorder="1" applyAlignment="1">
      <alignment horizontal="center" vertical="center" wrapText="1"/>
    </xf>
    <xf numFmtId="0" fontId="0" fillId="0" borderId="76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8" fillId="5" borderId="82" xfId="0" applyFont="1" applyFill="1" applyBorder="1" applyAlignment="1" applyProtection="1">
      <alignment horizontal="center" vertical="center" shrinkToFit="1"/>
      <protection hidden="1"/>
    </xf>
    <xf numFmtId="0" fontId="8" fillId="5" borderId="83" xfId="0" applyFont="1" applyFill="1" applyBorder="1" applyAlignment="1" applyProtection="1">
      <alignment horizontal="center" vertical="center" shrinkToFit="1"/>
      <protection hidden="1"/>
    </xf>
    <xf numFmtId="0" fontId="8" fillId="5" borderId="84" xfId="0" applyFont="1" applyFill="1" applyBorder="1" applyAlignment="1" applyProtection="1">
      <alignment horizontal="center" vertical="center" shrinkToFit="1"/>
      <protection hidden="1"/>
    </xf>
    <xf numFmtId="0" fontId="18" fillId="9" borderId="85" xfId="0" applyFont="1" applyFill="1" applyBorder="1" applyAlignment="1" applyProtection="1">
      <alignment vertical="center" shrinkToFit="1"/>
      <protection hidden="1"/>
    </xf>
    <xf numFmtId="0" fontId="18" fillId="9" borderId="86" xfId="0" applyFont="1" applyFill="1" applyBorder="1" applyAlignment="1" applyProtection="1">
      <alignment horizontal="center" vertical="center" shrinkToFit="1"/>
      <protection hidden="1"/>
    </xf>
    <xf numFmtId="0" fontId="18" fillId="9" borderId="87" xfId="0" applyFont="1" applyFill="1" applyBorder="1" applyAlignment="1" applyProtection="1">
      <alignment horizontal="center" vertical="center" shrinkToFit="1"/>
      <protection hidden="1"/>
    </xf>
    <xf numFmtId="0" fontId="18" fillId="9" borderId="88" xfId="0" applyFont="1" applyFill="1" applyBorder="1" applyAlignment="1" applyProtection="1">
      <alignment vertical="center" shrinkToFit="1"/>
      <protection hidden="1"/>
    </xf>
    <xf numFmtId="0" fontId="18" fillId="9" borderId="81" xfId="0" applyFont="1" applyFill="1" applyBorder="1" applyAlignment="1" applyProtection="1">
      <alignment horizontal="center" vertical="center" shrinkToFit="1"/>
      <protection hidden="1"/>
    </xf>
    <xf numFmtId="0" fontId="18" fillId="9" borderId="89" xfId="0" applyFont="1" applyFill="1" applyBorder="1" applyAlignment="1" applyProtection="1">
      <alignment horizontal="center" vertical="center" shrinkToFit="1"/>
      <protection hidden="1"/>
    </xf>
    <xf numFmtId="0" fontId="18" fillId="10" borderId="88" xfId="0" applyFont="1" applyFill="1" applyBorder="1" applyAlignment="1" applyProtection="1">
      <alignment vertical="center" shrinkToFit="1"/>
      <protection hidden="1"/>
    </xf>
    <xf numFmtId="0" fontId="18" fillId="10" borderId="81" xfId="0" applyFont="1" applyFill="1" applyBorder="1" applyAlignment="1" applyProtection="1">
      <alignment horizontal="center" vertical="center" shrinkToFit="1"/>
      <protection hidden="1"/>
    </xf>
    <xf numFmtId="0" fontId="18" fillId="10" borderId="89" xfId="0" applyFont="1" applyFill="1" applyBorder="1" applyAlignment="1" applyProtection="1">
      <alignment horizontal="center" vertical="center" shrinkToFit="1"/>
      <protection hidden="1"/>
    </xf>
    <xf numFmtId="0" fontId="18" fillId="10" borderId="90" xfId="0" applyFont="1" applyFill="1" applyBorder="1" applyAlignment="1" applyProtection="1">
      <alignment vertical="center" shrinkToFit="1"/>
      <protection hidden="1"/>
    </xf>
    <xf numFmtId="0" fontId="18" fillId="10" borderId="91" xfId="0" applyFont="1" applyFill="1" applyBorder="1" applyAlignment="1" applyProtection="1">
      <alignment horizontal="center" vertical="center" shrinkToFit="1"/>
      <protection hidden="1"/>
    </xf>
    <xf numFmtId="0" fontId="18" fillId="10" borderId="92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0" xfId="0" applyFill="1" applyBorder="1" applyAlignment="1">
      <alignment horizontal="center" vertical="center"/>
    </xf>
    <xf numFmtId="14" fontId="1" fillId="3" borderId="21" xfId="0" applyNumberFormat="1" applyFont="1" applyFill="1" applyBorder="1" applyAlignment="1" applyProtection="1">
      <alignment horizontal="right" vertical="center"/>
      <protection hidden="1"/>
    </xf>
    <xf numFmtId="165" fontId="17" fillId="0" borderId="0" xfId="0" applyNumberFormat="1" applyFont="1" applyAlignment="1" applyProtection="1">
      <alignment vertical="center"/>
      <protection hidden="1"/>
    </xf>
    <xf numFmtId="165" fontId="17" fillId="3" borderId="0" xfId="0" applyNumberFormat="1" applyFont="1" applyFill="1" applyAlignment="1" applyProtection="1">
      <alignment vertical="center"/>
      <protection hidden="1"/>
    </xf>
    <xf numFmtId="165" fontId="17" fillId="3" borderId="28" xfId="0" applyNumberFormat="1" applyFont="1" applyFill="1" applyBorder="1" applyAlignment="1" applyProtection="1">
      <alignment vertical="center"/>
      <protection hidden="1"/>
    </xf>
    <xf numFmtId="165" fontId="17" fillId="3" borderId="29" xfId="0" applyNumberFormat="1" applyFont="1" applyFill="1" applyBorder="1" applyAlignment="1" applyProtection="1">
      <alignment vertical="center"/>
      <protection hidden="1"/>
    </xf>
    <xf numFmtId="165" fontId="17" fillId="3" borderId="30" xfId="0" applyNumberFormat="1" applyFont="1" applyFill="1" applyBorder="1" applyAlignment="1" applyProtection="1">
      <alignment vertical="center"/>
      <protection hidden="1"/>
    </xf>
    <xf numFmtId="165" fontId="17" fillId="3" borderId="31" xfId="0" applyNumberFormat="1" applyFont="1" applyFill="1" applyBorder="1" applyAlignment="1" applyProtection="1">
      <alignment vertical="center"/>
      <protection hidden="1"/>
    </xf>
    <xf numFmtId="165" fontId="17" fillId="3" borderId="32" xfId="0" applyNumberFormat="1" applyFont="1" applyFill="1" applyBorder="1" applyAlignment="1" applyProtection="1">
      <alignment vertical="center"/>
      <protection hidden="1"/>
    </xf>
    <xf numFmtId="165" fontId="17" fillId="0" borderId="0" xfId="0" applyNumberFormat="1" applyFont="1" applyProtection="1">
      <protection hidden="1"/>
    </xf>
    <xf numFmtId="164" fontId="0" fillId="3" borderId="10" xfId="0" applyNumberFormat="1" applyFill="1" applyBorder="1" applyAlignment="1" applyProtection="1">
      <alignment horizontal="center" vertical="center" shrinkToFit="1"/>
      <protection hidden="1"/>
    </xf>
    <xf numFmtId="164" fontId="0" fillId="3" borderId="18" xfId="0" applyNumberFormat="1" applyFill="1" applyBorder="1" applyAlignment="1" applyProtection="1">
      <alignment horizontal="center" vertical="center" shrinkToFit="1"/>
      <protection hidden="1"/>
    </xf>
    <xf numFmtId="0" fontId="0" fillId="9" borderId="71" xfId="0" applyFill="1" applyBorder="1" applyAlignment="1" applyProtection="1">
      <alignment horizontal="center" vertical="center"/>
      <protection hidden="1"/>
    </xf>
    <xf numFmtId="0" fontId="0" fillId="9" borderId="72" xfId="0" applyFill="1" applyBorder="1" applyAlignment="1" applyProtection="1">
      <alignment horizontal="center" vertical="center"/>
      <protection hidden="1"/>
    </xf>
    <xf numFmtId="165" fontId="21" fillId="0" borderId="0" xfId="0" applyNumberFormat="1" applyFont="1" applyAlignment="1" applyProtection="1">
      <alignment horizontal="center" vertical="center"/>
      <protection hidden="1"/>
    </xf>
    <xf numFmtId="165" fontId="21" fillId="0" borderId="0" xfId="0" applyNumberFormat="1" applyFont="1" applyAlignment="1" applyProtection="1">
      <alignment vertical="center"/>
      <protection hidden="1"/>
    </xf>
    <xf numFmtId="165" fontId="21" fillId="3" borderId="0" xfId="0" applyNumberFormat="1" applyFont="1" applyFill="1" applyAlignment="1" applyProtection="1">
      <alignment vertical="center"/>
      <protection hidden="1"/>
    </xf>
    <xf numFmtId="165" fontId="21" fillId="3" borderId="0" xfId="0" applyNumberFormat="1" applyFont="1" applyFill="1" applyAlignment="1" applyProtection="1">
      <alignment horizontal="center" vertical="center"/>
      <protection hidden="1"/>
    </xf>
    <xf numFmtId="165" fontId="21" fillId="0" borderId="0" xfId="0" applyNumberFormat="1" applyFont="1" applyAlignment="1" applyProtection="1">
      <alignment horizontal="left" vertical="center"/>
      <protection hidden="1"/>
    </xf>
    <xf numFmtId="165" fontId="21" fillId="3" borderId="0" xfId="0" applyNumberFormat="1" applyFont="1" applyFill="1" applyAlignment="1" applyProtection="1">
      <alignment horizontal="center" vertical="center" wrapText="1"/>
      <protection hidden="1"/>
    </xf>
    <xf numFmtId="165" fontId="21" fillId="3" borderId="0" xfId="0" applyNumberFormat="1" applyFont="1" applyFill="1" applyAlignment="1" applyProtection="1">
      <alignment vertical="center" wrapText="1"/>
      <protection hidden="1"/>
    </xf>
    <xf numFmtId="165" fontId="21" fillId="3" borderId="0" xfId="0" applyNumberFormat="1" applyFont="1" applyFill="1" applyAlignment="1" applyProtection="1">
      <alignment horizontal="left" vertical="center"/>
      <protection hidden="1"/>
    </xf>
    <xf numFmtId="0" fontId="22" fillId="0" borderId="0" xfId="3"/>
    <xf numFmtId="0" fontId="22" fillId="0" borderId="94" xfId="3" applyBorder="1" applyAlignment="1">
      <alignment horizontal="center"/>
    </xf>
    <xf numFmtId="0" fontId="22" fillId="0" borderId="94" xfId="3" applyBorder="1"/>
    <xf numFmtId="0" fontId="23" fillId="11" borderId="94" xfId="3" applyFont="1" applyFill="1" applyBorder="1" applyAlignment="1">
      <alignment horizontal="center"/>
    </xf>
    <xf numFmtId="0" fontId="22" fillId="12" borderId="95" xfId="3" applyFill="1" applyBorder="1"/>
    <xf numFmtId="0" fontId="22" fillId="12" borderId="96" xfId="3" applyFill="1" applyBorder="1"/>
    <xf numFmtId="0" fontId="22" fillId="12" borderId="97" xfId="3" applyFill="1" applyBorder="1"/>
    <xf numFmtId="0" fontId="22" fillId="12" borderId="98" xfId="3" applyFill="1" applyBorder="1"/>
    <xf numFmtId="0" fontId="22" fillId="12" borderId="0" xfId="3" applyFill="1"/>
    <xf numFmtId="0" fontId="22" fillId="12" borderId="99" xfId="3" applyFill="1" applyBorder="1"/>
    <xf numFmtId="0" fontId="22" fillId="12" borderId="100" xfId="3" applyFill="1" applyBorder="1"/>
    <xf numFmtId="0" fontId="22" fillId="12" borderId="101" xfId="3" applyFill="1" applyBorder="1"/>
    <xf numFmtId="0" fontId="22" fillId="12" borderId="102" xfId="3" applyFill="1" applyBorder="1"/>
    <xf numFmtId="0" fontId="22" fillId="0" borderId="94" xfId="3" applyBorder="1" applyAlignment="1">
      <alignment horizontal="left"/>
    </xf>
    <xf numFmtId="0" fontId="22" fillId="0" borderId="94" xfId="3" applyBorder="1" applyAlignment="1">
      <alignment horizontal="centerContinuous"/>
    </xf>
    <xf numFmtId="0" fontId="22" fillId="0" borderId="0" xfId="3" applyAlignment="1">
      <alignment horizontal="center"/>
    </xf>
    <xf numFmtId="0" fontId="14" fillId="0" borderId="0" xfId="3" applyFont="1"/>
    <xf numFmtId="0" fontId="22" fillId="13" borderId="94" xfId="3" applyFill="1" applyBorder="1" applyAlignment="1">
      <alignment horizontal="center"/>
    </xf>
    <xf numFmtId="0" fontId="0" fillId="3" borderId="103" xfId="0" applyFill="1" applyBorder="1" applyAlignment="1" applyProtection="1">
      <alignment horizontal="center" vertical="center"/>
      <protection hidden="1"/>
    </xf>
    <xf numFmtId="0" fontId="0" fillId="0" borderId="25" xfId="0" applyBorder="1" applyProtection="1">
      <protection hidden="1"/>
    </xf>
    <xf numFmtId="0" fontId="6" fillId="0" borderId="0" xfId="1" applyFont="1" applyAlignment="1" applyProtection="1">
      <alignment horizontal="right"/>
      <protection hidden="1"/>
    </xf>
    <xf numFmtId="0" fontId="0" fillId="0" borderId="0" xfId="0" applyProtection="1">
      <protection hidden="1"/>
    </xf>
    <xf numFmtId="0" fontId="7" fillId="5" borderId="105" xfId="0" applyFont="1" applyFill="1" applyBorder="1" applyAlignment="1" applyProtection="1">
      <alignment horizontal="center" vertical="center"/>
      <protection hidden="1"/>
    </xf>
    <xf numFmtId="0" fontId="0" fillId="0" borderId="1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" xfId="0" applyBorder="1" applyProtection="1">
      <protection hidden="1"/>
    </xf>
    <xf numFmtId="0" fontId="0" fillId="0" borderId="4" xfId="0" applyBorder="1" applyProtection="1">
      <protection hidden="1"/>
    </xf>
    <xf numFmtId="0" fontId="0" fillId="0" borderId="34" xfId="0" applyBorder="1" applyProtection="1">
      <protection hidden="1"/>
    </xf>
    <xf numFmtId="0" fontId="9" fillId="5" borderId="104" xfId="0" applyFont="1" applyFill="1" applyBorder="1" applyAlignment="1" applyProtection="1">
      <alignment horizontal="center" vertical="center"/>
      <protection hidden="1"/>
    </xf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13" xfId="0" applyBorder="1" applyProtection="1">
      <protection hidden="1"/>
    </xf>
    <xf numFmtId="0" fontId="0" fillId="0" borderId="14" xfId="0" applyBorder="1" applyProtection="1">
      <protection hidden="1"/>
    </xf>
    <xf numFmtId="0" fontId="0" fillId="0" borderId="15" xfId="0" applyBorder="1" applyProtection="1"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19" fillId="0" borderId="93" xfId="0" applyFont="1" applyBorder="1" applyAlignment="1" applyProtection="1">
      <alignment horizontal="center" vertical="center" shrinkToFit="1"/>
      <protection hidden="1"/>
    </xf>
    <xf numFmtId="0" fontId="0" fillId="0" borderId="93" xfId="0" applyBorder="1" applyProtection="1">
      <protection hidden="1"/>
    </xf>
    <xf numFmtId="0" fontId="20" fillId="0" borderId="93" xfId="0" applyFont="1" applyBorder="1" applyAlignment="1" applyProtection="1">
      <alignment horizontal="center" vertical="center" shrinkToFit="1"/>
      <protection hidden="1"/>
    </xf>
    <xf numFmtId="0" fontId="10" fillId="2" borderId="104" xfId="0" applyFont="1" applyFill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0" fillId="0" borderId="47" xfId="0" applyBorder="1" applyProtection="1">
      <protection hidden="1"/>
    </xf>
    <xf numFmtId="0" fontId="5" fillId="2" borderId="106" xfId="1" applyFont="1" applyFill="1" applyBorder="1" applyAlignment="1" applyProtection="1">
      <alignment horizontal="center" vertical="center"/>
      <protection hidden="1"/>
    </xf>
    <xf numFmtId="0" fontId="0" fillId="0" borderId="2" xfId="0" applyBorder="1" applyProtection="1">
      <protection hidden="1"/>
    </xf>
    <xf numFmtId="0" fontId="0" fillId="0" borderId="5" xfId="0" applyBorder="1" applyProtection="1">
      <protection hidden="1"/>
    </xf>
  </cellXfs>
  <cellStyles count="4">
    <cellStyle name="Hyperlink" xfId="1" builtinId="8"/>
    <cellStyle name="Normal" xfId="0" builtinId="0"/>
    <cellStyle name="Normal 2" xfId="3" xr:uid="{00000000-0005-0000-0000-000003000000}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b/>
        <color rgb="FF3366FF"/>
      </font>
    </dxf>
    <dxf>
      <font>
        <b/>
        <color rgb="FFFF0000"/>
      </font>
    </dxf>
    <dxf>
      <font>
        <b/>
        <color rgb="FFFF0000"/>
      </font>
    </dxf>
    <dxf>
      <font>
        <b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color rgb="FF0000FF"/>
      </font>
    </dxf>
    <dxf>
      <font>
        <b/>
        <color rgb="FFFF0000"/>
      </font>
    </dxf>
    <dxf>
      <font>
        <b/>
        <color rgb="FFFF0000"/>
      </font>
      <fill>
        <patternFill>
          <bgColor theme="7" tint="0.59996337778862885"/>
        </patternFill>
      </fill>
    </dxf>
    <dxf>
      <font>
        <i/>
        <color rgb="FF008080"/>
      </font>
    </dxf>
    <dxf>
      <font>
        <i/>
        <color rgb="FF008080"/>
      </font>
      <fill>
        <patternFill>
          <bgColor theme="7" tint="0.59996337778862885"/>
        </patternFill>
      </fill>
    </dxf>
    <dxf>
      <font>
        <b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condense val="0"/>
        <extend val="0"/>
      </font>
    </dxf>
    <dxf>
      <font>
        <b/>
        <condense val="0"/>
        <extend val="0"/>
      </font>
    </dxf>
    <dxf>
      <font>
        <b/>
        <color rgb="FF0000FF"/>
      </font>
      <fill>
        <patternFill>
          <bgColor theme="7" tint="0.59996337778862885"/>
        </patternFill>
      </fill>
    </dxf>
    <dxf>
      <font>
        <i/>
        <color rgb="FF008080"/>
      </font>
    </dxf>
    <dxf>
      <font>
        <i/>
        <color rgb="FF008080"/>
      </font>
      <fill>
        <patternFill>
          <bgColor theme="7" tint="0.59996337778862885"/>
        </patternFill>
      </fill>
    </dxf>
    <dxf>
      <font>
        <b/>
        <color rgb="FFFF0000"/>
      </font>
    </dxf>
    <dxf>
      <font>
        <b/>
        <color rgb="FFFF0000"/>
      </font>
      <fill>
        <patternFill>
          <bgColor theme="7" tint="0.59996337778862885"/>
        </patternFill>
      </fill>
    </dxf>
    <dxf>
      <font>
        <b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jpe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00000000-0008-0000-03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00000000-0008-0000-03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00000000-0008-0000-03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00000000-0008-0000-03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00000000-0008-0000-03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00000000-0008-0000-03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00000000-0008-0000-03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00000000-0008-0000-03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00000000-0008-0000-03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00000000-0008-0000-03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00000000-0008-0000-03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00000000-0008-0000-03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00000000-0008-0000-03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0000000-0008-0000-03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00000000-0008-0000-03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00000000-0008-0000-03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00000000-0008-0000-03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00000000-0008-0000-03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00000000-0008-0000-03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00000000-0008-0000-03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00000000-0008-0000-03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00000000-0008-0000-03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00000000-0008-0000-03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00000000-0008-0000-03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00000000-0008-0000-03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00000000-0008-0000-03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00000000-0008-0000-03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3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3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iggys-Euro-2020-turner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"/>
      <sheetName val="Settings"/>
      <sheetName val="INPUT -&gt;"/>
      <sheetName val="Turneringsskjema"/>
      <sheetName val="OUTPUT -&gt;"/>
      <sheetName val="Resultater"/>
      <sheetName val="3rd Places"/>
    </sheetNames>
    <sheetDataSet>
      <sheetData sheetId="0">
        <row r="1">
          <cell r="A1" t="str">
            <v>English</v>
          </cell>
          <cell r="B1" t="str">
            <v>Albanian</v>
          </cell>
          <cell r="C1" t="str">
            <v>Arabic</v>
          </cell>
          <cell r="D1" t="str">
            <v>Armenian</v>
          </cell>
          <cell r="E1" t="str">
            <v>Azerbaijan</v>
          </cell>
          <cell r="F1" t="str">
            <v>Bulgarian</v>
          </cell>
          <cell r="G1" t="str">
            <v>Català</v>
          </cell>
          <cell r="H1" t="str">
            <v>Chinese (Simplified)</v>
          </cell>
          <cell r="I1" t="str">
            <v>Chinese (Traditional)</v>
          </cell>
          <cell r="J1" t="str">
            <v>Croatian</v>
          </cell>
          <cell r="K1" t="str">
            <v>Czech</v>
          </cell>
          <cell r="L1" t="str">
            <v>Danish</v>
          </cell>
          <cell r="M1" t="str">
            <v>Dutch</v>
          </cell>
          <cell r="N1" t="str">
            <v>French</v>
          </cell>
          <cell r="O1" t="str">
            <v>Georgian</v>
          </cell>
          <cell r="P1" t="str">
            <v>German</v>
          </cell>
          <cell r="Q1" t="str">
            <v>Greek</v>
          </cell>
          <cell r="R1" t="str">
            <v>Hebrew</v>
          </cell>
          <cell r="S1" t="str">
            <v>Hungarian</v>
          </cell>
          <cell r="T1" t="str">
            <v>Indonesia</v>
          </cell>
          <cell r="U1" t="str">
            <v>Icelandic</v>
          </cell>
          <cell r="V1" t="str">
            <v>Italian</v>
          </cell>
          <cell r="W1" t="str">
            <v>Korean</v>
          </cell>
          <cell r="X1" t="str">
            <v>Lithuanian</v>
          </cell>
          <cell r="Y1" t="str">
            <v>Macedonian</v>
          </cell>
          <cell r="Z1" t="str">
            <v>Maltese</v>
          </cell>
          <cell r="AA1" t="str">
            <v>Norwegian</v>
          </cell>
          <cell r="AB1" t="str">
            <v>Persian</v>
          </cell>
          <cell r="AC1" t="str">
            <v>Polish</v>
          </cell>
          <cell r="AD1" t="str">
            <v>Portuguese</v>
          </cell>
          <cell r="AE1" t="str">
            <v>Romanian</v>
          </cell>
          <cell r="AF1" t="str">
            <v>Serbian</v>
          </cell>
          <cell r="AG1" t="str">
            <v>Slovak</v>
          </cell>
          <cell r="AH1" t="str">
            <v>Slovenian</v>
          </cell>
          <cell r="AI1" t="str">
            <v>Spanish</v>
          </cell>
          <cell r="AJ1" t="str">
            <v>Swedish</v>
          </cell>
          <cell r="AK1" t="str">
            <v>Thai</v>
          </cell>
          <cell r="AL1" t="str">
            <v>Turkish</v>
          </cell>
          <cell r="AM1" t="str">
            <v>Vietnamese</v>
          </cell>
          <cell r="AN1" t="str">
            <v>Ukrainian</v>
          </cell>
          <cell r="AO1" t="str">
            <v>Urdu</v>
          </cell>
        </row>
        <row r="2">
          <cell r="A2" t="str">
            <v>UEFA EURO 2021 Tournament Schedule</v>
          </cell>
          <cell r="B2" t="str">
            <v>UEFA Euro 2021 Tournament Schedule</v>
          </cell>
          <cell r="C2" t="str">
            <v>كأس الأمم الأوروبية 2021 جدول البطولة</v>
          </cell>
          <cell r="D2" t="str">
            <v>UEFA EURO 2021-մրցաշար ժամանակացույց</v>
          </cell>
          <cell r="E2" t="str">
            <v>UEFA EURO 2021 Tournament cədvəli</v>
          </cell>
          <cell r="F2" t="str">
            <v>Европейско първенство по футбол 2021 График на турнира</v>
          </cell>
          <cell r="G2" t="str">
            <v>UEFA EURO 2021 calendari de tornejos</v>
          </cell>
          <cell r="H2" t="str">
            <v>2021年欧洲足球锦标赛锦标赛时间表</v>
          </cell>
          <cell r="I2" t="str">
            <v>2021年歐洲足球錦標賽錦標賽時間表</v>
          </cell>
          <cell r="J2" t="str">
            <v>UEFA EURO 2021 Raspored turnira</v>
          </cell>
          <cell r="K2" t="str">
            <v>UEFA EURO 2021 Plán turnajů</v>
          </cell>
          <cell r="L2" t="str">
            <v>UEFA EURO 2021 Tournament Schedule</v>
          </cell>
          <cell r="M2" t="str">
            <v>UEFA EURO 2021 Toernooi schema</v>
          </cell>
          <cell r="N2" t="str">
            <v>UEFA EURO 2021</v>
          </cell>
          <cell r="O2" t="str">
            <v>UEFA EURO 2021 ტურნირი განრიგი</v>
          </cell>
          <cell r="P2" t="str">
            <v>UEFA EURO 2021 Turnierplan</v>
          </cell>
          <cell r="Q2" t="str">
            <v>UEFA EURO 2021 Πρόγραμμα Τουρνουά</v>
          </cell>
          <cell r="R2" t="str">
            <v>EURO אופ"א לו"ז טורניר 2021</v>
          </cell>
          <cell r="S2" t="str">
            <v>UEFA EURO 2021 versenyek időbeosztása</v>
          </cell>
          <cell r="T2" t="str">
            <v>UEFA EURO 2021 Jadwal Turnamen</v>
          </cell>
          <cell r="U2" t="str">
            <v>UEFA EURO 2021 Tournament Dagskrá</v>
          </cell>
          <cell r="V2" t="str">
            <v>UEFA EURO 2021 Tournament Schedule</v>
          </cell>
          <cell r="W2" t="str">
            <v>UEFA 유로​​ 2021 토너먼트 일정</v>
          </cell>
          <cell r="X2" t="str">
            <v>EURO 2021 turnyro tvarkaraštis</v>
          </cell>
          <cell r="Y2" t="str">
            <v>УЕФА Евро 2021 Распоред турнир</v>
          </cell>
          <cell r="Z2" t="str">
            <v>UEFA EURO 2021 Tournament Iskeda</v>
          </cell>
          <cell r="AA2" t="str">
            <v>UEFA EURO 2021 Turneringsskjema</v>
          </cell>
          <cell r="AB2" t="str">
            <v>UEFA EURO 2021 برنامه مسابقات</v>
          </cell>
          <cell r="AC2" t="str">
            <v>UEFA EURO 2021 Harmonogram turnieju</v>
          </cell>
          <cell r="AD2" t="str">
            <v>UEFA EURO 2021 Calendário de Torneios</v>
          </cell>
          <cell r="AE2" t="str">
            <v>UEFA EURO 2021 Programul turneelor</v>
          </cell>
          <cell r="AF2" t="str">
            <v>ЕВРО 2021 Турнир Распоред</v>
          </cell>
          <cell r="AG2" t="str">
            <v>UEFA EURO 2021 Plán turnajov</v>
          </cell>
          <cell r="AH2" t="str">
            <v>UEFA EURO 2021 turnir Razpored</v>
          </cell>
          <cell r="AI2" t="str">
            <v>UEFA EURO 2021 calendario de torneos</v>
          </cell>
          <cell r="AJ2" t="str">
            <v>UEFA EURO 2021 turneringsschemat</v>
          </cell>
          <cell r="AK2" t="str">
            <v>ฟุตบอลชิงแชมป์แห่งชาติยุโรป 2021 ตารางการแข่งขัน</v>
          </cell>
          <cell r="AL2" t="str">
            <v>2021 Avrupa Futbol Şampiyonası Turnuva Takvimi</v>
          </cell>
          <cell r="AM2" t="str">
            <v>UEFA EURO 2021 Lịch trình giải đấu</v>
          </cell>
          <cell r="AN2" t="str">
            <v>ЄВРО-2021 Розклад турнірів</v>
          </cell>
          <cell r="AO2" t="str">
            <v>UEFA EURO 2021 ٹورنامنٹ کے شیڈول</v>
          </cell>
        </row>
        <row r="3">
          <cell r="A3" t="str">
            <v>Group Stage</v>
          </cell>
          <cell r="B3" t="str">
            <v>Grupet</v>
          </cell>
          <cell r="C3" t="str">
            <v>الدور الأول</v>
          </cell>
          <cell r="D3" t="str">
            <v>Խմբային փուլ</v>
          </cell>
          <cell r="E3" t="str">
            <v>Qrup Mərhələsi</v>
          </cell>
          <cell r="F3" t="str">
            <v>Групова фаза</v>
          </cell>
          <cell r="G3" t="str">
            <v>Fase de grups</v>
          </cell>
          <cell r="H3" t="str">
            <v>小组赛阶段</v>
          </cell>
          <cell r="I3" t="str">
            <v>分組賽</v>
          </cell>
          <cell r="J3" t="str">
            <v>Prvi krug</v>
          </cell>
          <cell r="K3" t="str">
            <v>Základní skupiny</v>
          </cell>
          <cell r="L3" t="str">
            <v>Gruppespil</v>
          </cell>
          <cell r="M3" t="str">
            <v>Groepsfase</v>
          </cell>
          <cell r="N3" t="str">
            <v>Phase de groupes</v>
          </cell>
          <cell r="O3" t="str">
            <v>ჯგუფური ეტაპი</v>
          </cell>
          <cell r="P3" t="str">
            <v>Gruppenphase</v>
          </cell>
          <cell r="Q3" t="str">
            <v>Φάση Ομίλων</v>
          </cell>
          <cell r="R3" t="str">
            <v>שלב הבתים</v>
          </cell>
          <cell r="S3" t="str">
            <v>Csoportkörök</v>
          </cell>
          <cell r="T3" t="str">
            <v>Babak Kualifikasi</v>
          </cell>
          <cell r="U3" t="str">
            <v>Riðlakeppnin</v>
          </cell>
          <cell r="V3" t="str">
            <v>Fase a gironi</v>
          </cell>
          <cell r="W3" t="str">
            <v>조별 리그</v>
          </cell>
          <cell r="X3" t="str">
            <v>Grupės Etapas</v>
          </cell>
          <cell r="Y3" t="str">
            <v>Фаза по групи</v>
          </cell>
          <cell r="Z3" t="str">
            <v>Fażi tal-Gruppi</v>
          </cell>
          <cell r="AA3" t="str">
            <v>Gruppespill</v>
          </cell>
          <cell r="AB3" t="str">
            <v>مرحله گروهی</v>
          </cell>
          <cell r="AC3" t="str">
            <v>Faza Grupowa</v>
          </cell>
          <cell r="AD3" t="str">
            <v>Fase de grupos</v>
          </cell>
          <cell r="AE3" t="str">
            <v>Faza Grupelor</v>
          </cell>
          <cell r="AF3" t="str">
            <v>Grupno takmičenje</v>
          </cell>
          <cell r="AG3" t="str">
            <v>Skupinová fáza</v>
          </cell>
          <cell r="AH3" t="str">
            <v>Skupinski del</v>
          </cell>
          <cell r="AI3" t="str">
            <v>Fase de grupos</v>
          </cell>
          <cell r="AJ3" t="str">
            <v>Gruppspel</v>
          </cell>
          <cell r="AK3" t="str">
            <v>รอบแรก</v>
          </cell>
          <cell r="AL3" t="str">
            <v>Grup Aşaması</v>
          </cell>
          <cell r="AM3" t="str">
            <v>Vòng Bảng</v>
          </cell>
          <cell r="AN3" t="str">
            <v>Груповий етап</v>
          </cell>
          <cell r="AO3" t="str">
            <v>گروپ بندی</v>
          </cell>
        </row>
        <row r="4">
          <cell r="A4" t="str">
            <v>Round of 16</v>
          </cell>
          <cell r="B4" t="str">
            <v>Rundi I 16</v>
          </cell>
          <cell r="C4" t="str">
            <v>دور الستة عشر</v>
          </cell>
          <cell r="D4" t="str">
            <v>1/8 Եզրափակիչ</v>
          </cell>
          <cell r="E4" t="str">
            <v>16-da bir raund</v>
          </cell>
          <cell r="F4" t="str">
            <v>1/8 - финали</v>
          </cell>
          <cell r="G4" t="str">
            <v>Vuitens de final</v>
          </cell>
          <cell r="H4" t="str">
            <v>16强赛</v>
          </cell>
          <cell r="I4" t="str">
            <v>十六強</v>
          </cell>
          <cell r="J4" t="str">
            <v>Drugi krug</v>
          </cell>
          <cell r="K4" t="str">
            <v>Osmifinále</v>
          </cell>
          <cell r="L4" t="str">
            <v>Runde af 16</v>
          </cell>
          <cell r="M4" t="str">
            <v>Achtste finales</v>
          </cell>
          <cell r="N4" t="str">
            <v>1/8e de finales</v>
          </cell>
          <cell r="O4" t="str">
            <v>მერვედფინალი</v>
          </cell>
          <cell r="P4" t="str">
            <v>Achtelfinale</v>
          </cell>
          <cell r="Q4" t="str">
            <v>Φάση των 16</v>
          </cell>
          <cell r="R4" t="str">
            <v>שמינית גמר</v>
          </cell>
          <cell r="S4" t="str">
            <v>Nyolcaddöntők</v>
          </cell>
          <cell r="T4" t="str">
            <v>Per Delapan Final</v>
          </cell>
          <cell r="U4" t="str">
            <v>16 liða úrslit</v>
          </cell>
          <cell r="V4" t="str">
            <v>Ottavi di finale</v>
          </cell>
          <cell r="W4" t="str">
            <v>16강전</v>
          </cell>
          <cell r="X4" t="str">
            <v>16-tuko Raundas</v>
          </cell>
          <cell r="Y4" t="str">
            <v>1/8 финале</v>
          </cell>
          <cell r="Z4" t="str">
            <v>L-Aħħar Sittax</v>
          </cell>
          <cell r="AA4" t="str">
            <v>8-dels finale</v>
          </cell>
          <cell r="AB4" t="str">
            <v xml:space="preserve"> یک هشتم نهائی</v>
          </cell>
          <cell r="AC4" t="str">
            <v>1/8 Finału</v>
          </cell>
          <cell r="AD4" t="str">
            <v>Oitavos de Final</v>
          </cell>
          <cell r="AE4" t="str">
            <v>Optimi</v>
          </cell>
          <cell r="AF4" t="str">
            <v>Šesnaestina finala</v>
          </cell>
          <cell r="AG4" t="str">
            <v>Osemfinále</v>
          </cell>
          <cell r="AH4" t="str">
            <v>Osminafinala</v>
          </cell>
          <cell r="AI4" t="str">
            <v>Octavos de final</v>
          </cell>
          <cell r="AJ4" t="str">
            <v>Åttondelsfinal</v>
          </cell>
          <cell r="AK4" t="str">
            <v>รอบสอง</v>
          </cell>
          <cell r="AL4" t="str">
            <v>Son 16</v>
          </cell>
          <cell r="AM4" t="str">
            <v>Vòng 1/16</v>
          </cell>
          <cell r="AN4" t="str">
            <v>1/8 фіналу</v>
          </cell>
          <cell r="AO4" t="str">
            <v>سولھواں دور</v>
          </cell>
        </row>
        <row r="5">
          <cell r="A5" t="str">
            <v>Quarterfinals</v>
          </cell>
          <cell r="B5" t="str">
            <v>Qerekfinalja</v>
          </cell>
          <cell r="C5" t="str">
            <v>دور الربع نهائي</v>
          </cell>
          <cell r="D5" t="str">
            <v>1/4 Եզրափակիչ</v>
          </cell>
          <cell r="E5" t="str">
            <v>Dörddə bir Final</v>
          </cell>
          <cell r="F5" t="str">
            <v>1/4 - финали</v>
          </cell>
          <cell r="G5" t="str">
            <v>Quarts de final</v>
          </cell>
          <cell r="H5" t="str">
            <v>8强赛</v>
          </cell>
          <cell r="I5" t="str">
            <v>八強</v>
          </cell>
          <cell r="J5" t="str">
            <v>Četvrtfinale</v>
          </cell>
          <cell r="K5" t="str">
            <v>Čtvrtfinále</v>
          </cell>
          <cell r="L5" t="str">
            <v>Kvartfinale</v>
          </cell>
          <cell r="M5" t="str">
            <v>Kwartfinales</v>
          </cell>
          <cell r="N5" t="str">
            <v>1/4 de finales</v>
          </cell>
          <cell r="O5" t="str">
            <v>მეოთხედფინალი</v>
          </cell>
          <cell r="P5" t="str">
            <v>Viertelfinale</v>
          </cell>
          <cell r="Q5" t="str">
            <v>Προημιτελικοί</v>
          </cell>
          <cell r="R5" t="str">
            <v>רבע גמר</v>
          </cell>
          <cell r="S5" t="str">
            <v>Negyeddöntők</v>
          </cell>
          <cell r="T5" t="str">
            <v>Perempat Final</v>
          </cell>
          <cell r="U5" t="str">
            <v>8 liða úrslit</v>
          </cell>
          <cell r="V5" t="str">
            <v>Quarti di finale</v>
          </cell>
          <cell r="W5" t="str">
            <v>8강전</v>
          </cell>
          <cell r="X5" t="str">
            <v>Ketvirtfinaliai</v>
          </cell>
          <cell r="Y5" t="str">
            <v>1/4 финале</v>
          </cell>
          <cell r="Z5" t="str">
            <v>Kwarti-Finali</v>
          </cell>
          <cell r="AA5" t="str">
            <v>Kvartfinale</v>
          </cell>
          <cell r="AB5" t="str">
            <v>یک چهارم نهائی</v>
          </cell>
          <cell r="AC5" t="str">
            <v>Ćwierćfinały</v>
          </cell>
          <cell r="AD5" t="str">
            <v>Quartos de Final</v>
          </cell>
          <cell r="AE5" t="str">
            <v>Sferturi de finala</v>
          </cell>
          <cell r="AF5" t="str">
            <v>Četvrtfinale</v>
          </cell>
          <cell r="AG5" t="str">
            <v>Štvrťfinále</v>
          </cell>
          <cell r="AH5" t="str">
            <v>Četrtfinale</v>
          </cell>
          <cell r="AI5" t="str">
            <v>Cuartos de Final</v>
          </cell>
          <cell r="AJ5" t="str">
            <v>Kvartsfinal</v>
          </cell>
          <cell r="AK5" t="str">
            <v>รอบก่อนรองชนะเลิศ</v>
          </cell>
          <cell r="AL5" t="str">
            <v>Çeyrek Final</v>
          </cell>
          <cell r="AM5" t="str">
            <v>Tứ kết</v>
          </cell>
          <cell r="AN5" t="str">
            <v>Чвертьфінал</v>
          </cell>
          <cell r="AO5" t="str">
            <v>کواٹر فائنل</v>
          </cell>
        </row>
        <row r="6">
          <cell r="A6" t="str">
            <v>Semi-Finals</v>
          </cell>
          <cell r="B6" t="str">
            <v>Gjysmëfinalja</v>
          </cell>
          <cell r="C6" t="str">
            <v>دور النصف نهائي</v>
          </cell>
          <cell r="D6" t="str">
            <v>Կիսաեզրափակիչ</v>
          </cell>
          <cell r="E6" t="str">
            <v>Yarım Final</v>
          </cell>
          <cell r="F6" t="str">
            <v>1/2 - финали</v>
          </cell>
          <cell r="G6" t="str">
            <v>Semifinals</v>
          </cell>
          <cell r="H6" t="str">
            <v>半决赛</v>
          </cell>
          <cell r="I6" t="str">
            <v>準決賽</v>
          </cell>
          <cell r="J6" t="str">
            <v>Polufinale</v>
          </cell>
          <cell r="K6" t="str">
            <v>Semifinále</v>
          </cell>
          <cell r="L6" t="str">
            <v>Semifinale</v>
          </cell>
          <cell r="M6" t="str">
            <v>Halve finales</v>
          </cell>
          <cell r="N6" t="str">
            <v>1/2 finales</v>
          </cell>
          <cell r="O6" t="str">
            <v>ნახევარფინალი</v>
          </cell>
          <cell r="P6" t="str">
            <v>Halbfinale</v>
          </cell>
          <cell r="Q6" t="str">
            <v>Ημιτελικοί</v>
          </cell>
          <cell r="R6" t="str">
            <v>חצי גמר</v>
          </cell>
          <cell r="S6" t="str">
            <v>Elődöntők</v>
          </cell>
          <cell r="T6" t="str">
            <v>Semi Final</v>
          </cell>
          <cell r="U6" t="str">
            <v>Undanúrslit</v>
          </cell>
          <cell r="V6" t="str">
            <v>Semifinali</v>
          </cell>
          <cell r="W6" t="str">
            <v>준결승전</v>
          </cell>
          <cell r="X6" t="str">
            <v>Pusfinaliai</v>
          </cell>
          <cell r="Y6" t="str">
            <v>1/2 финале</v>
          </cell>
          <cell r="Z6" t="str">
            <v>Semi-Finali</v>
          </cell>
          <cell r="AA6" t="str">
            <v>Semifinale</v>
          </cell>
          <cell r="AB6" t="str">
            <v>نیمه نهائی</v>
          </cell>
          <cell r="AC6" t="str">
            <v>Półfinały</v>
          </cell>
          <cell r="AD6" t="str">
            <v>Semi-final</v>
          </cell>
          <cell r="AE6" t="str">
            <v>Semifinale</v>
          </cell>
          <cell r="AF6" t="str">
            <v>Polufinale</v>
          </cell>
          <cell r="AG6" t="str">
            <v>Semifinále</v>
          </cell>
          <cell r="AH6" t="str">
            <v>Polfinale</v>
          </cell>
          <cell r="AI6" t="str">
            <v>Semifinales</v>
          </cell>
          <cell r="AJ6" t="str">
            <v>Semifinal</v>
          </cell>
          <cell r="AK6" t="str">
            <v>รอบรองชนะเลิศ</v>
          </cell>
          <cell r="AL6" t="str">
            <v>Yarı Final</v>
          </cell>
          <cell r="AM6" t="str">
            <v>Bán kết</v>
          </cell>
          <cell r="AN6" t="str">
            <v>Півфінал</v>
          </cell>
          <cell r="AO6" t="str">
            <v>سیمی فائنل</v>
          </cell>
        </row>
        <row r="7">
          <cell r="A7" t="str">
            <v>Third-Place Play-Off</v>
          </cell>
          <cell r="B7" t="str">
            <v>Takimi për vendin e tretë</v>
          </cell>
          <cell r="C7" t="str">
            <v>تحديد المركزين الثالث والرابع</v>
          </cell>
          <cell r="D7" t="str">
            <v>3-րդ տեղի համար եզրափակիչ</v>
          </cell>
          <cell r="E7" t="str">
            <v>Üçüncü Yer Uğrunda</v>
          </cell>
          <cell r="F7" t="str">
            <v>Мач за трето място</v>
          </cell>
          <cell r="G7" t="str">
            <v>3r i 4t lloc</v>
          </cell>
          <cell r="H7" t="str">
            <v>季军赛</v>
          </cell>
          <cell r="I7" t="str">
            <v>季軍賽</v>
          </cell>
          <cell r="J7" t="str">
            <v>Za treće mjesto</v>
          </cell>
          <cell r="K7" t="str">
            <v>Zápas o 3.místo</v>
          </cell>
          <cell r="L7" t="str">
            <v>Tredjeplads Kamp</v>
          </cell>
          <cell r="M7" t="str">
            <v>Derde en vierde plaats</v>
          </cell>
          <cell r="N7" t="str">
            <v>Match pour la troisième place</v>
          </cell>
          <cell r="O7" t="str">
            <v>მესამე ადგილი</v>
          </cell>
          <cell r="P7" t="str">
            <v>Spiel um den dritten Platz</v>
          </cell>
          <cell r="Q7" t="str">
            <v>Μικρός Τελικός</v>
          </cell>
          <cell r="R7" t="str">
            <v>מקום 3-4</v>
          </cell>
          <cell r="S7" t="str">
            <v>Bronzmeccs</v>
          </cell>
          <cell r="T7" t="str">
            <v>Perebutan Tempat Ketiga</v>
          </cell>
          <cell r="U7" t="str">
            <v>Leikur um 3.sæti</v>
          </cell>
          <cell r="V7" t="str">
            <v>Finale 3°- 4° posto</v>
          </cell>
          <cell r="W7" t="str">
            <v>3,4위전</v>
          </cell>
          <cell r="X7" t="str">
            <v>Rungtynės dėl Trečios Vietos</v>
          </cell>
          <cell r="Y7" t="str">
            <v>Натпревар за трето место</v>
          </cell>
          <cell r="Z7" t="str">
            <v>Final għat-Tielet u r-Raba' Post</v>
          </cell>
          <cell r="AA7" t="str">
            <v>Bronsefinale</v>
          </cell>
          <cell r="AB7" t="str">
            <v>رده بندی</v>
          </cell>
          <cell r="AC7" t="str">
            <v>Mecz o trzecie miejsce</v>
          </cell>
          <cell r="AD7" t="str">
            <v>3º/4º lugar</v>
          </cell>
          <cell r="AE7" t="str">
            <v>Finala mica</v>
          </cell>
          <cell r="AF7" t="str">
            <v>Za treće mjesto</v>
          </cell>
          <cell r="AG7" t="str">
            <v xml:space="preserve">Zápas o 3. miesto </v>
          </cell>
          <cell r="AH7" t="str">
            <v>Za tretje mesto</v>
          </cell>
          <cell r="AI7" t="str">
            <v>Tercer puesto</v>
          </cell>
          <cell r="AJ7" t="str">
            <v>Match om tredje pris</v>
          </cell>
          <cell r="AK7" t="str">
            <v>รอบชิงที่ 3</v>
          </cell>
          <cell r="AL7" t="str">
            <v>Üçüncülük Maçı</v>
          </cell>
          <cell r="AM7" t="str">
            <v>Tranh hạng 3</v>
          </cell>
          <cell r="AN7" t="str">
            <v>Матч за третє місце</v>
          </cell>
          <cell r="AO7" t="str">
            <v>تیسرے مقام کے لئے کھیل</v>
          </cell>
        </row>
        <row r="8">
          <cell r="A8" t="str">
            <v>Final</v>
          </cell>
          <cell r="B8" t="str">
            <v>Finalja</v>
          </cell>
          <cell r="C8" t="str">
            <v>المباراة النهائية</v>
          </cell>
          <cell r="D8" t="str">
            <v>Եզրափակիչ</v>
          </cell>
          <cell r="E8" t="str">
            <v>Final</v>
          </cell>
          <cell r="F8" t="str">
            <v>Финал</v>
          </cell>
          <cell r="G8" t="str">
            <v>Final</v>
          </cell>
          <cell r="H8" t="str">
            <v>总决赛</v>
          </cell>
          <cell r="I8" t="str">
            <v>總決賽</v>
          </cell>
          <cell r="J8" t="str">
            <v>Finale</v>
          </cell>
          <cell r="K8" t="str">
            <v>Finále</v>
          </cell>
          <cell r="L8" t="str">
            <v>Finale</v>
          </cell>
          <cell r="M8" t="str">
            <v>Finale</v>
          </cell>
          <cell r="N8" t="str">
            <v>Finale</v>
          </cell>
          <cell r="O8" t="str">
            <v>ფინალი</v>
          </cell>
          <cell r="P8" t="str">
            <v>Finale</v>
          </cell>
          <cell r="Q8" t="str">
            <v>Τελικός</v>
          </cell>
          <cell r="R8" t="str">
            <v>גמר</v>
          </cell>
          <cell r="S8" t="str">
            <v>Döntő</v>
          </cell>
          <cell r="T8" t="str">
            <v>Final</v>
          </cell>
          <cell r="U8" t="str">
            <v>Úrslit</v>
          </cell>
          <cell r="V8" t="str">
            <v>Finale</v>
          </cell>
          <cell r="W8" t="str">
            <v>결승전</v>
          </cell>
          <cell r="X8" t="str">
            <v>Finalas</v>
          </cell>
          <cell r="Y8" t="str">
            <v>Финале</v>
          </cell>
          <cell r="Z8" t="str">
            <v>Finali</v>
          </cell>
          <cell r="AA8" t="str">
            <v>Finale</v>
          </cell>
          <cell r="AB8" t="str">
            <v>فینال</v>
          </cell>
          <cell r="AC8" t="str">
            <v>Finał</v>
          </cell>
          <cell r="AD8" t="str">
            <v>Final</v>
          </cell>
          <cell r="AE8" t="str">
            <v>FINALA</v>
          </cell>
          <cell r="AF8" t="str">
            <v>Finale</v>
          </cell>
          <cell r="AG8" t="str">
            <v>Finále</v>
          </cell>
          <cell r="AH8" t="str">
            <v>Finale</v>
          </cell>
          <cell r="AI8" t="str">
            <v>Final</v>
          </cell>
          <cell r="AJ8" t="str">
            <v>Final</v>
          </cell>
          <cell r="AK8" t="str">
            <v>รอบชิงชนะเลิศ</v>
          </cell>
          <cell r="AL8" t="str">
            <v>Final</v>
          </cell>
          <cell r="AM8" t="str">
            <v>Chung Kết</v>
          </cell>
          <cell r="AN8" t="str">
            <v>Фінал</v>
          </cell>
          <cell r="AO8" t="str">
            <v>فائنل</v>
          </cell>
        </row>
        <row r="9">
          <cell r="A9" t="str">
            <v>Group</v>
          </cell>
          <cell r="B9" t="str">
            <v>Grupi</v>
          </cell>
          <cell r="C9" t="str">
            <v>المجموعة</v>
          </cell>
          <cell r="D9" t="str">
            <v>Խումբ</v>
          </cell>
          <cell r="E9" t="str">
            <v>Qrup</v>
          </cell>
          <cell r="F9" t="str">
            <v>Група</v>
          </cell>
          <cell r="G9" t="str">
            <v>Grup</v>
          </cell>
          <cell r="H9" t="str">
            <v>小组</v>
          </cell>
          <cell r="I9" t="str">
            <v>小組</v>
          </cell>
          <cell r="J9" t="str">
            <v>Grupa</v>
          </cell>
          <cell r="K9" t="str">
            <v>Skupina</v>
          </cell>
          <cell r="L9" t="str">
            <v>Gruppe</v>
          </cell>
          <cell r="M9" t="str">
            <v>Groep</v>
          </cell>
          <cell r="N9" t="str">
            <v>Groupe</v>
          </cell>
          <cell r="O9" t="str">
            <v>ჯგუფი</v>
          </cell>
          <cell r="P9" t="str">
            <v>Gruppe</v>
          </cell>
          <cell r="Q9" t="str">
            <v>Όμιλος</v>
          </cell>
          <cell r="R9" t="str">
            <v>בית</v>
          </cell>
          <cell r="S9" t="str">
            <v>Csoport</v>
          </cell>
          <cell r="T9" t="str">
            <v>Kelompok</v>
          </cell>
          <cell r="U9" t="str">
            <v>Riðill</v>
          </cell>
          <cell r="V9" t="str">
            <v>Gruppo</v>
          </cell>
          <cell r="W9" t="str">
            <v>그룹</v>
          </cell>
          <cell r="X9" t="str">
            <v>Grupė</v>
          </cell>
          <cell r="Y9" t="str">
            <v>Група</v>
          </cell>
          <cell r="Z9" t="str">
            <v>Grupp</v>
          </cell>
          <cell r="AA9" t="str">
            <v>Gruppe</v>
          </cell>
          <cell r="AB9" t="str">
            <v>گروه</v>
          </cell>
          <cell r="AC9" t="str">
            <v>Grupa</v>
          </cell>
          <cell r="AD9" t="str">
            <v>Grupo</v>
          </cell>
          <cell r="AE9" t="str">
            <v>Grupa</v>
          </cell>
          <cell r="AF9" t="str">
            <v>Grupa</v>
          </cell>
          <cell r="AG9" t="str">
            <v>Skupina</v>
          </cell>
          <cell r="AH9" t="str">
            <v>Skupina</v>
          </cell>
          <cell r="AI9" t="str">
            <v>Grupo</v>
          </cell>
          <cell r="AJ9" t="str">
            <v>Grupp</v>
          </cell>
          <cell r="AK9" t="str">
            <v>สาย</v>
          </cell>
          <cell r="AL9" t="str">
            <v>Grup</v>
          </cell>
          <cell r="AM9" t="str">
            <v>Bảng</v>
          </cell>
          <cell r="AN9" t="str">
            <v>Група</v>
          </cell>
          <cell r="AO9" t="str">
            <v>گروپ بندی</v>
          </cell>
        </row>
        <row r="10">
          <cell r="A10" t="str">
            <v>PL</v>
          </cell>
          <cell r="B10" t="str">
            <v>L</v>
          </cell>
          <cell r="C10" t="str">
            <v>لعب</v>
          </cell>
          <cell r="D10" t="str">
            <v>Խ</v>
          </cell>
          <cell r="E10" t="str">
            <v>O</v>
          </cell>
          <cell r="F10" t="str">
            <v>М</v>
          </cell>
          <cell r="G10" t="str">
            <v>J</v>
          </cell>
          <cell r="H10" t="str">
            <v>场次</v>
          </cell>
          <cell r="I10" t="str">
            <v>賽</v>
          </cell>
          <cell r="J10" t="str">
            <v>PL</v>
          </cell>
          <cell r="K10" t="str">
            <v>Z</v>
          </cell>
          <cell r="L10" t="str">
            <v>SP</v>
          </cell>
          <cell r="M10" t="str">
            <v>WG</v>
          </cell>
          <cell r="N10" t="str">
            <v>J</v>
          </cell>
          <cell r="O10" t="str">
            <v>თ</v>
          </cell>
          <cell r="P10" t="str">
            <v>SP</v>
          </cell>
          <cell r="Q10" t="str">
            <v>ΑΓ</v>
          </cell>
          <cell r="R10" t="str">
            <v>משחקים</v>
          </cell>
          <cell r="S10" t="str">
            <v>M</v>
          </cell>
          <cell r="T10" t="str">
            <v>Main</v>
          </cell>
          <cell r="U10" t="str">
            <v>L</v>
          </cell>
          <cell r="V10" t="str">
            <v>G</v>
          </cell>
          <cell r="W10" t="str">
            <v>경기</v>
          </cell>
          <cell r="X10" t="str">
            <v>Žst</v>
          </cell>
          <cell r="Y10" t="str">
            <v>О</v>
          </cell>
          <cell r="Z10" t="str">
            <v>L</v>
          </cell>
          <cell r="AA10" t="str">
            <v>S</v>
          </cell>
          <cell r="AB10" t="str">
            <v>بازی</v>
          </cell>
          <cell r="AC10" t="str">
            <v>M</v>
          </cell>
          <cell r="AD10" t="str">
            <v>J</v>
          </cell>
          <cell r="AE10" t="str">
            <v>J</v>
          </cell>
          <cell r="AF10" t="str">
            <v>UT</v>
          </cell>
          <cell r="AG10" t="str">
            <v>Z</v>
          </cell>
          <cell r="AH10" t="str">
            <v>PL</v>
          </cell>
          <cell r="AI10" t="str">
            <v>J</v>
          </cell>
          <cell r="AJ10" t="str">
            <v>Sp</v>
          </cell>
          <cell r="AK10" t="str">
            <v>แข่ง</v>
          </cell>
          <cell r="AL10" t="str">
            <v>O</v>
          </cell>
          <cell r="AM10" t="str">
            <v>Trận</v>
          </cell>
          <cell r="AN10" t="str">
            <v>І</v>
          </cell>
          <cell r="AO10" t="str">
            <v>کھیلے گئے مقابلے</v>
          </cell>
        </row>
        <row r="11">
          <cell r="A11" t="str">
            <v>W</v>
          </cell>
          <cell r="B11" t="str">
            <v>F</v>
          </cell>
          <cell r="C11" t="str">
            <v>فاز</v>
          </cell>
          <cell r="D11" t="str">
            <v>Հ</v>
          </cell>
          <cell r="E11" t="str">
            <v>Q</v>
          </cell>
          <cell r="F11" t="str">
            <v>П</v>
          </cell>
          <cell r="G11" t="str">
            <v>G</v>
          </cell>
          <cell r="H11" t="str">
            <v>胜</v>
          </cell>
          <cell r="I11" t="str">
            <v>勝</v>
          </cell>
          <cell r="J11" t="str">
            <v>W</v>
          </cell>
          <cell r="K11" t="str">
            <v>V</v>
          </cell>
          <cell r="L11" t="str">
            <v>V</v>
          </cell>
          <cell r="M11" t="str">
            <v>W</v>
          </cell>
          <cell r="N11" t="str">
            <v>V</v>
          </cell>
          <cell r="O11" t="str">
            <v>მოგ</v>
          </cell>
          <cell r="P11" t="str">
            <v>S</v>
          </cell>
          <cell r="Q11" t="str">
            <v>Ν</v>
          </cell>
          <cell r="R11" t="str">
            <v>נצחונות</v>
          </cell>
          <cell r="S11" t="str">
            <v>GY</v>
          </cell>
          <cell r="T11" t="str">
            <v>Menang</v>
          </cell>
          <cell r="U11" t="str">
            <v>U</v>
          </cell>
          <cell r="V11" t="str">
            <v>V</v>
          </cell>
          <cell r="W11" t="str">
            <v>승</v>
          </cell>
          <cell r="X11" t="str">
            <v>L</v>
          </cell>
          <cell r="Y11" t="str">
            <v>П</v>
          </cell>
          <cell r="Z11" t="str">
            <v>R</v>
          </cell>
          <cell r="AA11" t="str">
            <v>V</v>
          </cell>
          <cell r="AB11" t="str">
            <v>برد</v>
          </cell>
          <cell r="AC11" t="str">
            <v>Z</v>
          </cell>
          <cell r="AD11" t="str">
            <v>V</v>
          </cell>
          <cell r="AE11" t="str">
            <v>V</v>
          </cell>
          <cell r="AF11" t="str">
            <v>P</v>
          </cell>
          <cell r="AG11" t="str">
            <v>V</v>
          </cell>
          <cell r="AH11" t="str">
            <v>W</v>
          </cell>
          <cell r="AI11" t="str">
            <v>G</v>
          </cell>
          <cell r="AJ11" t="str">
            <v>V</v>
          </cell>
          <cell r="AK11" t="str">
            <v>ชนะ</v>
          </cell>
          <cell r="AL11" t="str">
            <v>G</v>
          </cell>
          <cell r="AM11" t="str">
            <v>T</v>
          </cell>
          <cell r="AN11" t="str">
            <v>В</v>
          </cell>
          <cell r="AO11" t="str">
            <v>جیت</v>
          </cell>
        </row>
        <row r="12">
          <cell r="A12" t="str">
            <v>DRAW</v>
          </cell>
          <cell r="B12" t="str">
            <v>BAR</v>
          </cell>
          <cell r="C12" t="str">
            <v>تعادل</v>
          </cell>
          <cell r="D12" t="str">
            <v>Ո</v>
          </cell>
          <cell r="E12" t="str">
            <v>H</v>
          </cell>
          <cell r="F12" t="str">
            <v>Р</v>
          </cell>
          <cell r="G12" t="str">
            <v>E</v>
          </cell>
          <cell r="H12" t="str">
            <v>平</v>
          </cell>
          <cell r="I12" t="str">
            <v>和</v>
          </cell>
          <cell r="J12" t="str">
            <v>DRAW</v>
          </cell>
          <cell r="K12" t="str">
            <v>R</v>
          </cell>
          <cell r="L12" t="str">
            <v>Uafgjort</v>
          </cell>
          <cell r="M12" t="str">
            <v>G</v>
          </cell>
          <cell r="N12" t="str">
            <v>N</v>
          </cell>
          <cell r="O12" t="str">
            <v>ფრე</v>
          </cell>
          <cell r="P12" t="str">
            <v>DRAW</v>
          </cell>
          <cell r="Q12" t="str">
            <v>Ι</v>
          </cell>
          <cell r="R12" t="str">
            <v>תיקו</v>
          </cell>
          <cell r="S12" t="str">
            <v>D</v>
          </cell>
          <cell r="T12" t="str">
            <v>Seri</v>
          </cell>
          <cell r="U12" t="str">
            <v>Jafnt</v>
          </cell>
          <cell r="V12" t="str">
            <v>P</v>
          </cell>
          <cell r="W12" t="str">
            <v>무</v>
          </cell>
          <cell r="X12" t="str">
            <v>Lyg</v>
          </cell>
          <cell r="Y12" t="str">
            <v>Н</v>
          </cell>
          <cell r="Z12" t="str">
            <v>I</v>
          </cell>
          <cell r="AA12" t="str">
            <v>T</v>
          </cell>
          <cell r="AB12" t="str">
            <v>مساوی</v>
          </cell>
          <cell r="AC12" t="str">
            <v>R</v>
          </cell>
          <cell r="AD12" t="str">
            <v>E</v>
          </cell>
          <cell r="AE12" t="str">
            <v>E</v>
          </cell>
          <cell r="AF12" t="str">
            <v>NER.</v>
          </cell>
          <cell r="AG12" t="str">
            <v>R</v>
          </cell>
          <cell r="AH12" t="str">
            <v>DRAW</v>
          </cell>
          <cell r="AI12" t="str">
            <v>DRAW</v>
          </cell>
          <cell r="AJ12" t="str">
            <v>O</v>
          </cell>
          <cell r="AK12" t="str">
            <v>เสมอ</v>
          </cell>
          <cell r="AL12" t="str">
            <v>B</v>
          </cell>
          <cell r="AM12" t="str">
            <v>H</v>
          </cell>
          <cell r="AN12" t="str">
            <v>Н</v>
          </cell>
          <cell r="AO12" t="str">
            <v>برابر</v>
          </cell>
        </row>
        <row r="13">
          <cell r="A13" t="str">
            <v>L</v>
          </cell>
          <cell r="B13" t="str">
            <v>H</v>
          </cell>
          <cell r="C13" t="str">
            <v>خسر</v>
          </cell>
          <cell r="D13" t="str">
            <v>Պ</v>
          </cell>
          <cell r="E13" t="str">
            <v>M</v>
          </cell>
          <cell r="F13" t="str">
            <v>З</v>
          </cell>
          <cell r="G13" t="str">
            <v>P</v>
          </cell>
          <cell r="H13" t="str">
            <v>负</v>
          </cell>
          <cell r="I13" t="str">
            <v>負</v>
          </cell>
          <cell r="J13" t="str">
            <v>L</v>
          </cell>
          <cell r="K13" t="str">
            <v>P</v>
          </cell>
          <cell r="L13" t="str">
            <v>T</v>
          </cell>
          <cell r="M13" t="str">
            <v>V</v>
          </cell>
          <cell r="N13" t="str">
            <v>D</v>
          </cell>
          <cell r="O13" t="str">
            <v>წაგ</v>
          </cell>
          <cell r="P13" t="str">
            <v>N</v>
          </cell>
          <cell r="Q13" t="str">
            <v xml:space="preserve">Η </v>
          </cell>
          <cell r="R13" t="str">
            <v>הפסדים</v>
          </cell>
          <cell r="S13" t="str">
            <v>V</v>
          </cell>
          <cell r="T13" t="str">
            <v>Kalah</v>
          </cell>
          <cell r="U13" t="str">
            <v>T</v>
          </cell>
          <cell r="V13" t="str">
            <v>S</v>
          </cell>
          <cell r="W13" t="str">
            <v>패</v>
          </cell>
          <cell r="X13" t="str">
            <v>P</v>
          </cell>
          <cell r="Y13" t="str">
            <v>И</v>
          </cell>
          <cell r="Z13" t="str">
            <v>T</v>
          </cell>
          <cell r="AA13" t="str">
            <v>U</v>
          </cell>
          <cell r="AB13" t="str">
            <v>باخت</v>
          </cell>
          <cell r="AC13" t="str">
            <v>P</v>
          </cell>
          <cell r="AD13" t="str">
            <v>D</v>
          </cell>
          <cell r="AE13" t="str">
            <v>I</v>
          </cell>
          <cell r="AF13" t="str">
            <v>I</v>
          </cell>
          <cell r="AG13" t="str">
            <v>P</v>
          </cell>
          <cell r="AH13" t="str">
            <v>L</v>
          </cell>
          <cell r="AI13" t="str">
            <v>P</v>
          </cell>
          <cell r="AJ13" t="str">
            <v>F</v>
          </cell>
          <cell r="AK13" t="str">
            <v>แพ้</v>
          </cell>
          <cell r="AL13" t="str">
            <v>M</v>
          </cell>
          <cell r="AM13" t="str">
            <v>B</v>
          </cell>
          <cell r="AN13" t="str">
            <v>П</v>
          </cell>
          <cell r="AO13" t="str">
            <v>ہارے گئے مقابلے</v>
          </cell>
        </row>
        <row r="14">
          <cell r="A14" t="str">
            <v>GF - GA</v>
          </cell>
          <cell r="B14" t="str">
            <v>GSH-GP</v>
          </cell>
          <cell r="C14" t="str">
            <v>عليه - له</v>
          </cell>
          <cell r="D14" t="str">
            <v>ԽԳ-ԲԳ</v>
          </cell>
          <cell r="E14" t="str">
            <v>QV - QB</v>
          </cell>
          <cell r="F14" t="str">
            <v>Гол. Разл.</v>
          </cell>
          <cell r="G14" t="str">
            <v>GF - GC</v>
          </cell>
          <cell r="H14" t="str">
            <v>得失球</v>
          </cell>
          <cell r="I14" t="str">
            <v>得球 - 失球</v>
          </cell>
          <cell r="J14" t="str">
            <v>GF - GA</v>
          </cell>
          <cell r="K14" t="str">
            <v>GV - GI</v>
          </cell>
          <cell r="L14" t="str">
            <v>MF - MI</v>
          </cell>
          <cell r="M14" t="str">
            <v>DV-DT</v>
          </cell>
          <cell r="N14" t="str">
            <v>BP - BC</v>
          </cell>
          <cell r="O14" t="str">
            <v>გგ - მგ</v>
          </cell>
          <cell r="P14" t="str">
            <v>ET - KT</v>
          </cell>
          <cell r="Q14" t="str">
            <v>Υ-Κ</v>
          </cell>
          <cell r="R14" t="str">
            <v>יחס שערים</v>
          </cell>
          <cell r="S14" t="str">
            <v>Gólkül.</v>
          </cell>
          <cell r="T14" t="str">
            <v xml:space="preserve">Skor </v>
          </cell>
          <cell r="U14" t="str">
            <v>S - F</v>
          </cell>
          <cell r="V14" t="str">
            <v>GF - GS</v>
          </cell>
          <cell r="W14" t="str">
            <v>골득실</v>
          </cell>
          <cell r="X14" t="str">
            <v>Įm - Pr</v>
          </cell>
          <cell r="Y14" t="str">
            <v>Разлика</v>
          </cell>
          <cell r="Z14" t="str">
            <v>GF - GK</v>
          </cell>
          <cell r="AA14" t="str">
            <v>Mål</v>
          </cell>
          <cell r="AB14" t="str">
            <v>خورده-زده</v>
          </cell>
          <cell r="AC14" t="str">
            <v>Z - S</v>
          </cell>
          <cell r="AD14" t="str">
            <v>GM - GS</v>
          </cell>
          <cell r="AE14" t="str">
            <v>GM - GP</v>
          </cell>
          <cell r="AF14" t="str">
            <v>GD - GP</v>
          </cell>
          <cell r="AG14" t="str">
            <v>GS-GI</v>
          </cell>
          <cell r="AH14" t="str">
            <v>GF - GA</v>
          </cell>
          <cell r="AI14" t="str">
            <v>GF - GC</v>
          </cell>
          <cell r="AJ14" t="str">
            <v>GM – IM</v>
          </cell>
          <cell r="AK14" t="str">
            <v>ได้ - เสีย</v>
          </cell>
          <cell r="AL14" t="str">
            <v>A - Y</v>
          </cell>
          <cell r="AM14" t="str">
            <v>Hiệu số</v>
          </cell>
          <cell r="AN14" t="str">
            <v xml:space="preserve">М </v>
          </cell>
          <cell r="AO14" t="str">
            <v>گول کئے- انکے خلاف گول کئے گئے</v>
          </cell>
        </row>
        <row r="15">
          <cell r="A15" t="str">
            <v>PNT</v>
          </cell>
          <cell r="B15" t="str">
            <v>PIK</v>
          </cell>
          <cell r="C15" t="str">
            <v>النقاط</v>
          </cell>
          <cell r="D15" t="str">
            <v>Մ</v>
          </cell>
          <cell r="E15" t="str">
            <v>Xal</v>
          </cell>
          <cell r="F15" t="str">
            <v>Т</v>
          </cell>
          <cell r="G15" t="str">
            <v>Punts</v>
          </cell>
          <cell r="H15" t="str">
            <v>积分</v>
          </cell>
          <cell r="I15" t="str">
            <v>分數</v>
          </cell>
          <cell r="J15" t="str">
            <v>PNT</v>
          </cell>
          <cell r="K15" t="str">
            <v>Body</v>
          </cell>
          <cell r="L15" t="str">
            <v>PNT</v>
          </cell>
          <cell r="M15" t="str">
            <v>PNT</v>
          </cell>
          <cell r="N15" t="str">
            <v>PTS</v>
          </cell>
          <cell r="O15" t="str">
            <v>ქულა</v>
          </cell>
          <cell r="P15" t="str">
            <v>PKT</v>
          </cell>
          <cell r="Q15" t="str">
            <v>ΒΘ</v>
          </cell>
          <cell r="R15" t="str">
            <v>נקודות</v>
          </cell>
          <cell r="S15" t="str">
            <v>PNT</v>
          </cell>
          <cell r="T15" t="str">
            <v>Nilai</v>
          </cell>
          <cell r="U15" t="str">
            <v>Stig</v>
          </cell>
          <cell r="V15" t="str">
            <v>Punti</v>
          </cell>
          <cell r="W15" t="str">
            <v>승점</v>
          </cell>
          <cell r="X15" t="str">
            <v>Tšk</v>
          </cell>
          <cell r="Y15" t="str">
            <v>Б</v>
          </cell>
          <cell r="Z15" t="str">
            <v>P</v>
          </cell>
          <cell r="AA15" t="str">
            <v>P</v>
          </cell>
          <cell r="AB15" t="str">
            <v>امتیاز</v>
          </cell>
          <cell r="AC15" t="str">
            <v>Pkt</v>
          </cell>
          <cell r="AD15" t="str">
            <v>P</v>
          </cell>
          <cell r="AE15" t="str">
            <v>P</v>
          </cell>
          <cell r="AF15" t="str">
            <v>BOD</v>
          </cell>
          <cell r="AG15" t="str">
            <v>Body</v>
          </cell>
          <cell r="AH15" t="str">
            <v>PNT</v>
          </cell>
          <cell r="AI15" t="str">
            <v>PTS</v>
          </cell>
          <cell r="AJ15" t="str">
            <v>P</v>
          </cell>
          <cell r="AK15" t="str">
            <v>คะแนน</v>
          </cell>
          <cell r="AL15" t="str">
            <v>P</v>
          </cell>
          <cell r="AM15" t="str">
            <v>Điểm</v>
          </cell>
          <cell r="AN15" t="str">
            <v>О</v>
          </cell>
          <cell r="AO15" t="str">
            <v>نشان</v>
          </cell>
        </row>
        <row r="18">
          <cell r="A18" t="str">
            <v>Sun</v>
          </cell>
          <cell r="B18" t="str">
            <v>Diel</v>
          </cell>
          <cell r="C18" t="str">
            <v>الأحد</v>
          </cell>
          <cell r="D18" t="str">
            <v>Կիր.</v>
          </cell>
          <cell r="E18" t="str">
            <v>B</v>
          </cell>
          <cell r="F18" t="str">
            <v>Нед</v>
          </cell>
          <cell r="G18" t="str">
            <v>Diu</v>
          </cell>
          <cell r="H18" t="str">
            <v>周日</v>
          </cell>
          <cell r="I18" t="str">
            <v>Sun</v>
          </cell>
          <cell r="J18" t="str">
            <v>Ned</v>
          </cell>
          <cell r="K18" t="str">
            <v>Ne</v>
          </cell>
          <cell r="L18" t="str">
            <v>Søn</v>
          </cell>
          <cell r="M18" t="str">
            <v>Zo</v>
          </cell>
          <cell r="N18" t="str">
            <v>Dim</v>
          </cell>
          <cell r="O18" t="str">
            <v>კვირა</v>
          </cell>
          <cell r="P18" t="str">
            <v>Sun</v>
          </cell>
          <cell r="Q18" t="str">
            <v>Κυρ</v>
          </cell>
          <cell r="R18" t="str">
            <v>ראשון</v>
          </cell>
          <cell r="S18" t="str">
            <v>Vas</v>
          </cell>
          <cell r="T18" t="str">
            <v>Min</v>
          </cell>
          <cell r="U18" t="str">
            <v>Sun</v>
          </cell>
          <cell r="V18" t="str">
            <v>Dom</v>
          </cell>
          <cell r="W18" t="str">
            <v>일</v>
          </cell>
          <cell r="X18" t="str">
            <v>Sekm</v>
          </cell>
          <cell r="Y18" t="str">
            <v>Нед</v>
          </cell>
          <cell r="Z18" t="str">
            <v>Ħad</v>
          </cell>
          <cell r="AA18" t="str">
            <v>Søn</v>
          </cell>
          <cell r="AB18" t="str">
            <v>یکشنبه</v>
          </cell>
          <cell r="AC18" t="str">
            <v>Nd</v>
          </cell>
          <cell r="AD18" t="str">
            <v>Dom</v>
          </cell>
          <cell r="AE18" t="str">
            <v>Dum</v>
          </cell>
          <cell r="AF18" t="str">
            <v>Ned</v>
          </cell>
          <cell r="AG18" t="str">
            <v>Ne</v>
          </cell>
          <cell r="AH18" t="str">
            <v>Ned</v>
          </cell>
          <cell r="AI18" t="str">
            <v>Sun</v>
          </cell>
          <cell r="AJ18" t="str">
            <v>Sön</v>
          </cell>
          <cell r="AK18" t="str">
            <v>อาทิตย์</v>
          </cell>
          <cell r="AL18" t="str">
            <v>Paz</v>
          </cell>
          <cell r="AM18" t="str">
            <v>CN</v>
          </cell>
          <cell r="AN18" t="str">
            <v>Нд</v>
          </cell>
          <cell r="AO18" t="str">
            <v>اتوار</v>
          </cell>
        </row>
        <row r="19">
          <cell r="A19" t="str">
            <v>Mon</v>
          </cell>
          <cell r="B19" t="str">
            <v>Hënë</v>
          </cell>
          <cell r="C19" t="str">
            <v>الاثنين</v>
          </cell>
          <cell r="D19" t="str">
            <v>Երկ.</v>
          </cell>
          <cell r="E19" t="str">
            <v>BE</v>
          </cell>
          <cell r="F19" t="str">
            <v>Пон</v>
          </cell>
          <cell r="G19" t="str">
            <v>Dil</v>
          </cell>
          <cell r="H19" t="str">
            <v>周一</v>
          </cell>
          <cell r="I19" t="str">
            <v>Mon</v>
          </cell>
          <cell r="J19" t="str">
            <v>Pon</v>
          </cell>
          <cell r="K19" t="str">
            <v>Po</v>
          </cell>
          <cell r="L19" t="str">
            <v>Man</v>
          </cell>
          <cell r="M19" t="str">
            <v>Ma</v>
          </cell>
          <cell r="N19" t="str">
            <v>Lun</v>
          </cell>
          <cell r="O19" t="str">
            <v>ორშ</v>
          </cell>
          <cell r="P19" t="str">
            <v>Mon</v>
          </cell>
          <cell r="Q19" t="str">
            <v>Δευ</v>
          </cell>
          <cell r="R19" t="str">
            <v>שני</v>
          </cell>
          <cell r="S19" t="str">
            <v>Hét</v>
          </cell>
          <cell r="T19" t="str">
            <v>Sen</v>
          </cell>
          <cell r="U19" t="str">
            <v>Mán</v>
          </cell>
          <cell r="V19" t="str">
            <v>Lun</v>
          </cell>
          <cell r="W19" t="str">
            <v>월</v>
          </cell>
          <cell r="X19" t="str">
            <v>Pirm</v>
          </cell>
          <cell r="Y19" t="str">
            <v>Пон</v>
          </cell>
          <cell r="Z19" t="str">
            <v>Tne</v>
          </cell>
          <cell r="AA19" t="str">
            <v>Man</v>
          </cell>
          <cell r="AB19" t="str">
            <v>دوشنبه</v>
          </cell>
          <cell r="AC19" t="str">
            <v>Pn</v>
          </cell>
          <cell r="AD19" t="str">
            <v>Seg</v>
          </cell>
          <cell r="AE19" t="str">
            <v>Lun</v>
          </cell>
          <cell r="AF19" t="str">
            <v>Pon</v>
          </cell>
          <cell r="AG19" t="str">
            <v>Po</v>
          </cell>
          <cell r="AH19" t="str">
            <v>Pon</v>
          </cell>
          <cell r="AI19" t="str">
            <v>Mon</v>
          </cell>
          <cell r="AJ19" t="str">
            <v>Mån</v>
          </cell>
          <cell r="AK19" t="str">
            <v>จันทร์</v>
          </cell>
          <cell r="AL19" t="str">
            <v>Pzt</v>
          </cell>
          <cell r="AM19" t="str">
            <v>T2</v>
          </cell>
          <cell r="AN19" t="str">
            <v>Пн</v>
          </cell>
          <cell r="AO19" t="str">
            <v>پیر</v>
          </cell>
        </row>
        <row r="20">
          <cell r="A20" t="str">
            <v>Tue</v>
          </cell>
          <cell r="B20" t="str">
            <v>Mar</v>
          </cell>
          <cell r="C20" t="str">
            <v>الثلاثاء</v>
          </cell>
          <cell r="D20" t="str">
            <v>Երեք.</v>
          </cell>
          <cell r="E20" t="str">
            <v>ÇA</v>
          </cell>
          <cell r="F20" t="str">
            <v>Вт</v>
          </cell>
          <cell r="G20" t="str">
            <v>Dim</v>
          </cell>
          <cell r="H20" t="str">
            <v>周二</v>
          </cell>
          <cell r="I20" t="str">
            <v>Tue</v>
          </cell>
          <cell r="J20" t="str">
            <v>Uto</v>
          </cell>
          <cell r="K20" t="str">
            <v>Út</v>
          </cell>
          <cell r="L20" t="str">
            <v>Tir</v>
          </cell>
          <cell r="M20" t="str">
            <v>Di</v>
          </cell>
          <cell r="N20" t="str">
            <v>Mar</v>
          </cell>
          <cell r="O20" t="str">
            <v>სამშ</v>
          </cell>
          <cell r="P20" t="str">
            <v>Tue</v>
          </cell>
          <cell r="Q20" t="str">
            <v>Τρι</v>
          </cell>
          <cell r="R20" t="str">
            <v>שלישי</v>
          </cell>
          <cell r="S20" t="str">
            <v>Ke</v>
          </cell>
          <cell r="T20" t="str">
            <v>Sel</v>
          </cell>
          <cell r="U20" t="str">
            <v>Þri</v>
          </cell>
          <cell r="V20" t="str">
            <v>Mar</v>
          </cell>
          <cell r="W20" t="str">
            <v>화</v>
          </cell>
          <cell r="X20" t="str">
            <v>Antr</v>
          </cell>
          <cell r="Y20" t="str">
            <v>Вто</v>
          </cell>
          <cell r="Z20" t="str">
            <v>Tli</v>
          </cell>
          <cell r="AA20" t="str">
            <v>Tirs</v>
          </cell>
          <cell r="AB20" t="str">
            <v>سه شنبه</v>
          </cell>
          <cell r="AC20" t="str">
            <v>Wt</v>
          </cell>
          <cell r="AD20" t="str">
            <v>Ter</v>
          </cell>
          <cell r="AE20" t="str">
            <v>Mar</v>
          </cell>
          <cell r="AF20" t="str">
            <v>Uto</v>
          </cell>
          <cell r="AG20" t="str">
            <v>Ut</v>
          </cell>
          <cell r="AH20" t="str">
            <v>Tor</v>
          </cell>
          <cell r="AI20" t="str">
            <v>Tue</v>
          </cell>
          <cell r="AJ20" t="str">
            <v>Tis</v>
          </cell>
          <cell r="AK20" t="str">
            <v>อังคาร</v>
          </cell>
          <cell r="AL20" t="str">
            <v>Sal</v>
          </cell>
          <cell r="AM20" t="str">
            <v>T3</v>
          </cell>
          <cell r="AN20" t="str">
            <v>Вт</v>
          </cell>
          <cell r="AO20" t="str">
            <v>منگل</v>
          </cell>
        </row>
        <row r="21">
          <cell r="A21" t="str">
            <v>Wed</v>
          </cell>
          <cell r="B21" t="str">
            <v>Mër</v>
          </cell>
          <cell r="C21" t="str">
            <v>الأربعاء</v>
          </cell>
          <cell r="D21" t="str">
            <v>Չոր.</v>
          </cell>
          <cell r="E21" t="str">
            <v>Ç</v>
          </cell>
          <cell r="F21" t="str">
            <v>Сря</v>
          </cell>
          <cell r="G21" t="str">
            <v>Dix</v>
          </cell>
          <cell r="H21" t="str">
            <v>周三</v>
          </cell>
          <cell r="I21" t="str">
            <v>Wed</v>
          </cell>
          <cell r="J21" t="str">
            <v>Sri</v>
          </cell>
          <cell r="K21" t="str">
            <v>St</v>
          </cell>
          <cell r="L21" t="str">
            <v>Ons</v>
          </cell>
          <cell r="M21" t="str">
            <v>Wo</v>
          </cell>
          <cell r="N21" t="str">
            <v>Mer</v>
          </cell>
          <cell r="O21" t="str">
            <v>ოთხშ</v>
          </cell>
          <cell r="P21" t="str">
            <v>Wed</v>
          </cell>
          <cell r="Q21" t="str">
            <v>Τετ</v>
          </cell>
          <cell r="R21" t="str">
            <v>רביעי</v>
          </cell>
          <cell r="S21" t="str">
            <v>Sze</v>
          </cell>
          <cell r="T21" t="str">
            <v>Rab</v>
          </cell>
          <cell r="U21" t="str">
            <v>Mið</v>
          </cell>
          <cell r="V21" t="str">
            <v>Mer</v>
          </cell>
          <cell r="W21" t="str">
            <v>수</v>
          </cell>
          <cell r="X21" t="str">
            <v>Treč</v>
          </cell>
          <cell r="Y21" t="str">
            <v>Сре</v>
          </cell>
          <cell r="Z21" t="str">
            <v>Erb</v>
          </cell>
          <cell r="AA21" t="str">
            <v>Ons</v>
          </cell>
          <cell r="AB21" t="str">
            <v>چهارشنبه</v>
          </cell>
          <cell r="AC21" t="str">
            <v>Śr</v>
          </cell>
          <cell r="AD21" t="str">
            <v>Qua</v>
          </cell>
          <cell r="AE21" t="str">
            <v>Mie</v>
          </cell>
          <cell r="AF21" t="str">
            <v>Sre</v>
          </cell>
          <cell r="AG21" t="str">
            <v>St</v>
          </cell>
          <cell r="AH21" t="str">
            <v>Sre</v>
          </cell>
          <cell r="AI21" t="str">
            <v>Wed</v>
          </cell>
          <cell r="AJ21" t="str">
            <v>Ons</v>
          </cell>
          <cell r="AK21" t="str">
            <v>พุธ</v>
          </cell>
          <cell r="AL21" t="str">
            <v>Çar</v>
          </cell>
          <cell r="AM21" t="str">
            <v>T4</v>
          </cell>
          <cell r="AN21" t="str">
            <v>Ср</v>
          </cell>
          <cell r="AO21" t="str">
            <v>بدھ</v>
          </cell>
        </row>
        <row r="22">
          <cell r="A22" t="str">
            <v>Thu</v>
          </cell>
          <cell r="B22" t="str">
            <v>Enjt</v>
          </cell>
          <cell r="C22" t="str">
            <v>الخميس</v>
          </cell>
          <cell r="D22" t="str">
            <v>Հինգ.</v>
          </cell>
          <cell r="E22" t="str">
            <v>CA</v>
          </cell>
          <cell r="F22" t="str">
            <v>Четв</v>
          </cell>
          <cell r="G22" t="str">
            <v>Dij</v>
          </cell>
          <cell r="H22" t="str">
            <v>周四</v>
          </cell>
          <cell r="I22" t="str">
            <v>Thu</v>
          </cell>
          <cell r="J22" t="str">
            <v>Čet</v>
          </cell>
          <cell r="K22" t="str">
            <v>Čt</v>
          </cell>
          <cell r="L22" t="str">
            <v>Tor</v>
          </cell>
          <cell r="M22" t="str">
            <v>Do</v>
          </cell>
          <cell r="N22" t="str">
            <v>Jeu</v>
          </cell>
          <cell r="O22" t="str">
            <v>ხუთშ</v>
          </cell>
          <cell r="P22" t="str">
            <v>Thu</v>
          </cell>
          <cell r="Q22" t="str">
            <v>Πεμ</v>
          </cell>
          <cell r="R22" t="str">
            <v>חמישי</v>
          </cell>
          <cell r="S22" t="str">
            <v>Csü</v>
          </cell>
          <cell r="T22" t="str">
            <v>Kam</v>
          </cell>
          <cell r="U22" t="str">
            <v>Fim</v>
          </cell>
          <cell r="V22" t="str">
            <v>Gio</v>
          </cell>
          <cell r="W22" t="str">
            <v>목</v>
          </cell>
          <cell r="X22" t="str">
            <v>Ketv</v>
          </cell>
          <cell r="Y22" t="str">
            <v>Чет</v>
          </cell>
          <cell r="Z22" t="str">
            <v>Ħam</v>
          </cell>
          <cell r="AA22" t="str">
            <v>Tors</v>
          </cell>
          <cell r="AB22" t="str">
            <v>پنجشنبه</v>
          </cell>
          <cell r="AC22" t="str">
            <v>Cz</v>
          </cell>
          <cell r="AD22" t="str">
            <v>Qui</v>
          </cell>
          <cell r="AE22" t="str">
            <v>Joi</v>
          </cell>
          <cell r="AF22" t="str">
            <v>Čet</v>
          </cell>
          <cell r="AG22" t="str">
            <v>Št</v>
          </cell>
          <cell r="AH22" t="str">
            <v>Čet</v>
          </cell>
          <cell r="AI22" t="str">
            <v>Thu</v>
          </cell>
          <cell r="AJ22" t="str">
            <v>Tor</v>
          </cell>
          <cell r="AK22" t="str">
            <v>พฤหัส</v>
          </cell>
          <cell r="AL22" t="str">
            <v>Per</v>
          </cell>
          <cell r="AM22" t="str">
            <v>T5</v>
          </cell>
          <cell r="AN22" t="str">
            <v>Чт</v>
          </cell>
          <cell r="AO22" t="str">
            <v>جمعرات</v>
          </cell>
        </row>
        <row r="23">
          <cell r="A23" t="str">
            <v>Fri</v>
          </cell>
          <cell r="B23" t="str">
            <v>Pre</v>
          </cell>
          <cell r="C23" t="str">
            <v>الجمعة</v>
          </cell>
          <cell r="D23" t="str">
            <v>Ուրբ.</v>
          </cell>
          <cell r="E23" t="str">
            <v>C</v>
          </cell>
          <cell r="F23" t="str">
            <v>Пет</v>
          </cell>
          <cell r="G23" t="str">
            <v>Div</v>
          </cell>
          <cell r="H23" t="str">
            <v>周五</v>
          </cell>
          <cell r="I23" t="str">
            <v>Fri</v>
          </cell>
          <cell r="J23" t="str">
            <v>Pet</v>
          </cell>
          <cell r="K23" t="str">
            <v>Pá</v>
          </cell>
          <cell r="L23" t="str">
            <v>Fre</v>
          </cell>
          <cell r="M23" t="str">
            <v>Vr</v>
          </cell>
          <cell r="N23" t="str">
            <v>Ven</v>
          </cell>
          <cell r="O23" t="str">
            <v>პარ</v>
          </cell>
          <cell r="P23" t="str">
            <v>Fri</v>
          </cell>
          <cell r="Q23" t="str">
            <v>Παρ</v>
          </cell>
          <cell r="R23" t="str">
            <v>שישי</v>
          </cell>
          <cell r="S23" t="str">
            <v>Pé</v>
          </cell>
          <cell r="T23" t="str">
            <v>Jum</v>
          </cell>
          <cell r="U23" t="str">
            <v>Fös</v>
          </cell>
          <cell r="V23" t="str">
            <v>Ven</v>
          </cell>
          <cell r="W23" t="str">
            <v>금</v>
          </cell>
          <cell r="X23" t="str">
            <v>Penk</v>
          </cell>
          <cell r="Y23" t="str">
            <v>Пет</v>
          </cell>
          <cell r="Z23" t="str">
            <v>Ġim</v>
          </cell>
          <cell r="AA23" t="str">
            <v>Fre</v>
          </cell>
          <cell r="AB23" t="str">
            <v>جمعه</v>
          </cell>
          <cell r="AC23" t="str">
            <v>Pt</v>
          </cell>
          <cell r="AD23" t="str">
            <v>Sex</v>
          </cell>
          <cell r="AE23" t="str">
            <v>Vin</v>
          </cell>
          <cell r="AF23" t="str">
            <v>Pet</v>
          </cell>
          <cell r="AG23" t="str">
            <v>Pi</v>
          </cell>
          <cell r="AH23" t="str">
            <v>Pet</v>
          </cell>
          <cell r="AI23" t="str">
            <v>Fri</v>
          </cell>
          <cell r="AJ23" t="str">
            <v>Fre</v>
          </cell>
          <cell r="AK23" t="str">
            <v>ศุกร์</v>
          </cell>
          <cell r="AL23" t="str">
            <v>Cum</v>
          </cell>
          <cell r="AM23" t="str">
            <v>T6</v>
          </cell>
          <cell r="AN23" t="str">
            <v>Пт</v>
          </cell>
          <cell r="AO23" t="str">
            <v>جمعہ</v>
          </cell>
        </row>
        <row r="24">
          <cell r="A24" t="str">
            <v>Sat</v>
          </cell>
          <cell r="B24" t="str">
            <v>Sht</v>
          </cell>
          <cell r="C24" t="str">
            <v>السبت</v>
          </cell>
          <cell r="D24" t="str">
            <v>Շաբ.</v>
          </cell>
          <cell r="E24" t="str">
            <v>Ş</v>
          </cell>
          <cell r="F24" t="str">
            <v>Съб</v>
          </cell>
          <cell r="G24" t="str">
            <v>Dis</v>
          </cell>
          <cell r="H24" t="str">
            <v>周六</v>
          </cell>
          <cell r="I24" t="str">
            <v>Sat</v>
          </cell>
          <cell r="J24" t="str">
            <v>Sub</v>
          </cell>
          <cell r="K24" t="str">
            <v>So</v>
          </cell>
          <cell r="L24" t="str">
            <v>Lør</v>
          </cell>
          <cell r="M24" t="str">
            <v>Za</v>
          </cell>
          <cell r="N24" t="str">
            <v>Sam</v>
          </cell>
          <cell r="O24" t="str">
            <v>შაბ</v>
          </cell>
          <cell r="P24" t="str">
            <v>Sat</v>
          </cell>
          <cell r="Q24" t="str">
            <v>Σαβ</v>
          </cell>
          <cell r="R24" t="str">
            <v>שבת</v>
          </cell>
          <cell r="S24" t="str">
            <v>Szo</v>
          </cell>
          <cell r="T24" t="str">
            <v>Sab</v>
          </cell>
          <cell r="U24" t="str">
            <v>Lau</v>
          </cell>
          <cell r="V24" t="str">
            <v>Sab</v>
          </cell>
          <cell r="W24" t="str">
            <v>토</v>
          </cell>
          <cell r="X24" t="str">
            <v>Šešt</v>
          </cell>
          <cell r="Y24" t="str">
            <v>Саб</v>
          </cell>
          <cell r="Z24" t="str">
            <v>Sib</v>
          </cell>
          <cell r="AA24" t="str">
            <v>Lør</v>
          </cell>
          <cell r="AB24" t="str">
            <v>شنبه</v>
          </cell>
          <cell r="AC24" t="str">
            <v>So</v>
          </cell>
          <cell r="AD24" t="str">
            <v>Sab</v>
          </cell>
          <cell r="AE24" t="str">
            <v>Sam</v>
          </cell>
          <cell r="AF24" t="str">
            <v>Sub</v>
          </cell>
          <cell r="AG24" t="str">
            <v>So</v>
          </cell>
          <cell r="AH24" t="str">
            <v>Sob</v>
          </cell>
          <cell r="AI24" t="str">
            <v>Sat</v>
          </cell>
          <cell r="AJ24" t="str">
            <v>Lör</v>
          </cell>
          <cell r="AK24" t="str">
            <v>เสาร์</v>
          </cell>
          <cell r="AL24" t="str">
            <v>Cmt</v>
          </cell>
          <cell r="AM24" t="str">
            <v>T7</v>
          </cell>
          <cell r="AN24" t="str">
            <v>Сб</v>
          </cell>
          <cell r="AO24" t="str">
            <v>سنیچر</v>
          </cell>
        </row>
        <row r="25">
          <cell r="A25" t="str">
            <v>Jan</v>
          </cell>
          <cell r="B25" t="str">
            <v>Jan</v>
          </cell>
          <cell r="C25" t="str">
            <v>كانون ثاني</v>
          </cell>
          <cell r="D25" t="str">
            <v>Հունվ.</v>
          </cell>
          <cell r="E25" t="str">
            <v>Yan</v>
          </cell>
          <cell r="F25" t="str">
            <v>Януари</v>
          </cell>
          <cell r="G25" t="str">
            <v>Gen</v>
          </cell>
          <cell r="H25" t="str">
            <v>一月</v>
          </cell>
          <cell r="I25" t="str">
            <v>Jan</v>
          </cell>
          <cell r="J25" t="str">
            <v>Sij</v>
          </cell>
          <cell r="K25" t="str">
            <v>Jan</v>
          </cell>
          <cell r="L25" t="str">
            <v>Jan</v>
          </cell>
          <cell r="M25" t="str">
            <v>Jan</v>
          </cell>
          <cell r="N25" t="str">
            <v>Janv</v>
          </cell>
          <cell r="O25" t="str">
            <v>იან</v>
          </cell>
          <cell r="P25" t="str">
            <v>Jan</v>
          </cell>
          <cell r="Q25" t="str">
            <v>Ιαν</v>
          </cell>
          <cell r="R25" t="str">
            <v>ינואר</v>
          </cell>
          <cell r="S25" t="str">
            <v>Jan</v>
          </cell>
          <cell r="T25" t="str">
            <v>Jan</v>
          </cell>
          <cell r="U25" t="str">
            <v>Jan</v>
          </cell>
          <cell r="V25" t="str">
            <v>Gen</v>
          </cell>
          <cell r="W25" t="str">
            <v>1월</v>
          </cell>
          <cell r="X25" t="str">
            <v>Saus</v>
          </cell>
          <cell r="Y25" t="str">
            <v>Јан</v>
          </cell>
          <cell r="Z25" t="str">
            <v>Jan</v>
          </cell>
          <cell r="AA25" t="str">
            <v>Jan</v>
          </cell>
          <cell r="AB25" t="str">
            <v>زانویه</v>
          </cell>
          <cell r="AC25" t="str">
            <v>Sty</v>
          </cell>
          <cell r="AD25" t="str">
            <v>Jan</v>
          </cell>
          <cell r="AE25" t="str">
            <v>Ian</v>
          </cell>
          <cell r="AF25" t="str">
            <v>Jan</v>
          </cell>
          <cell r="AG25" t="str">
            <v>Jan</v>
          </cell>
          <cell r="AH25" t="str">
            <v>Jan</v>
          </cell>
          <cell r="AI25" t="str">
            <v>Ene</v>
          </cell>
          <cell r="AJ25" t="str">
            <v>jan</v>
          </cell>
          <cell r="AK25" t="str">
            <v>มกราคม</v>
          </cell>
          <cell r="AL25" t="str">
            <v>Oca</v>
          </cell>
          <cell r="AM25" t="str">
            <v>Tháng 1</v>
          </cell>
          <cell r="AN25" t="str">
            <v>Січ</v>
          </cell>
          <cell r="AO25" t="str">
            <v>جنوری</v>
          </cell>
        </row>
        <row r="26">
          <cell r="A26" t="str">
            <v>Feb</v>
          </cell>
          <cell r="B26" t="str">
            <v>Shk</v>
          </cell>
          <cell r="C26" t="str">
            <v>شباط</v>
          </cell>
          <cell r="D26" t="str">
            <v>Փետր.</v>
          </cell>
          <cell r="E26" t="str">
            <v>Fev</v>
          </cell>
          <cell r="F26" t="str">
            <v>Февруари</v>
          </cell>
          <cell r="G26" t="str">
            <v>Feb</v>
          </cell>
          <cell r="H26" t="str">
            <v>二月</v>
          </cell>
          <cell r="I26" t="str">
            <v>Feb</v>
          </cell>
          <cell r="J26" t="str">
            <v>Vel</v>
          </cell>
          <cell r="K26" t="str">
            <v>Feb</v>
          </cell>
          <cell r="L26" t="str">
            <v>Feb</v>
          </cell>
          <cell r="M26" t="str">
            <v>Feb</v>
          </cell>
          <cell r="N26" t="str">
            <v>Févr</v>
          </cell>
          <cell r="O26" t="str">
            <v>თებ</v>
          </cell>
          <cell r="P26" t="str">
            <v>Feb</v>
          </cell>
          <cell r="Q26" t="str">
            <v>Φεβ</v>
          </cell>
          <cell r="R26" t="str">
            <v>פברואר</v>
          </cell>
          <cell r="S26" t="str">
            <v>Feb</v>
          </cell>
          <cell r="T26" t="str">
            <v>Peb</v>
          </cell>
          <cell r="U26" t="str">
            <v>Feb</v>
          </cell>
          <cell r="V26" t="str">
            <v>Feb</v>
          </cell>
          <cell r="W26" t="str">
            <v>2월</v>
          </cell>
          <cell r="X26" t="str">
            <v>Vas</v>
          </cell>
          <cell r="Y26" t="str">
            <v>Фев</v>
          </cell>
          <cell r="Z26" t="str">
            <v>Fra</v>
          </cell>
          <cell r="AA26" t="str">
            <v>Feb</v>
          </cell>
          <cell r="AB26" t="str">
            <v>فوریه</v>
          </cell>
          <cell r="AC26" t="str">
            <v>Lut</v>
          </cell>
          <cell r="AD26" t="str">
            <v>Fev</v>
          </cell>
          <cell r="AE26" t="str">
            <v>Feb</v>
          </cell>
          <cell r="AF26" t="str">
            <v>Feb</v>
          </cell>
          <cell r="AG26" t="str">
            <v>Feb</v>
          </cell>
          <cell r="AH26" t="str">
            <v>Feb</v>
          </cell>
          <cell r="AI26" t="str">
            <v>Feb</v>
          </cell>
          <cell r="AJ26" t="str">
            <v>Feb</v>
          </cell>
          <cell r="AK26" t="str">
            <v>กุมภาพันธ์</v>
          </cell>
          <cell r="AL26" t="str">
            <v>Şub</v>
          </cell>
          <cell r="AM26" t="str">
            <v>Tháng 2</v>
          </cell>
          <cell r="AN26" t="str">
            <v>Лют</v>
          </cell>
          <cell r="AO26" t="str">
            <v>فروری</v>
          </cell>
        </row>
        <row r="27">
          <cell r="A27" t="str">
            <v>Mar</v>
          </cell>
          <cell r="B27" t="str">
            <v>Mar</v>
          </cell>
          <cell r="C27" t="str">
            <v>آذار</v>
          </cell>
          <cell r="D27" t="str">
            <v>Մարտ</v>
          </cell>
          <cell r="E27" t="str">
            <v>Mar</v>
          </cell>
          <cell r="F27" t="str">
            <v>Март</v>
          </cell>
          <cell r="G27" t="str">
            <v>Mar</v>
          </cell>
          <cell r="H27" t="str">
            <v>三月</v>
          </cell>
          <cell r="I27" t="str">
            <v>Mar</v>
          </cell>
          <cell r="J27" t="str">
            <v>Ožu</v>
          </cell>
          <cell r="K27" t="str">
            <v>Mar</v>
          </cell>
          <cell r="L27" t="str">
            <v>Mar</v>
          </cell>
          <cell r="M27" t="str">
            <v>Mrt</v>
          </cell>
          <cell r="N27" t="str">
            <v>Mars</v>
          </cell>
          <cell r="O27" t="str">
            <v>მარ</v>
          </cell>
          <cell r="P27" t="str">
            <v>Mrz</v>
          </cell>
          <cell r="Q27" t="str">
            <v>Μαρ</v>
          </cell>
          <cell r="R27" t="str">
            <v>מרץ</v>
          </cell>
          <cell r="S27" t="str">
            <v>Már</v>
          </cell>
          <cell r="T27" t="str">
            <v>Mar</v>
          </cell>
          <cell r="U27" t="str">
            <v>Mar</v>
          </cell>
          <cell r="V27" t="str">
            <v>Mar</v>
          </cell>
          <cell r="W27" t="str">
            <v>3월</v>
          </cell>
          <cell r="X27" t="str">
            <v>Kov</v>
          </cell>
          <cell r="Y27" t="str">
            <v>Мар</v>
          </cell>
          <cell r="Z27" t="str">
            <v>Mar</v>
          </cell>
          <cell r="AA27" t="str">
            <v>Mar</v>
          </cell>
          <cell r="AB27" t="str">
            <v>مارس</v>
          </cell>
          <cell r="AC27" t="str">
            <v>Mar</v>
          </cell>
          <cell r="AD27" t="str">
            <v>Mar</v>
          </cell>
          <cell r="AE27" t="str">
            <v>Mar</v>
          </cell>
          <cell r="AF27" t="str">
            <v>Mar</v>
          </cell>
          <cell r="AG27" t="str">
            <v>Mar</v>
          </cell>
          <cell r="AH27" t="str">
            <v>Mar</v>
          </cell>
          <cell r="AI27" t="str">
            <v>Mar</v>
          </cell>
          <cell r="AJ27" t="str">
            <v>mar</v>
          </cell>
          <cell r="AK27" t="str">
            <v>มีนาคม</v>
          </cell>
          <cell r="AL27" t="str">
            <v>Mar</v>
          </cell>
          <cell r="AM27" t="str">
            <v>Tháng 3</v>
          </cell>
          <cell r="AN27" t="str">
            <v>Бер</v>
          </cell>
          <cell r="AO27" t="str">
            <v>مارچ</v>
          </cell>
        </row>
        <row r="28">
          <cell r="A28" t="str">
            <v>Apr</v>
          </cell>
          <cell r="B28" t="str">
            <v>Pri</v>
          </cell>
          <cell r="C28" t="str">
            <v>نيسان</v>
          </cell>
          <cell r="D28" t="str">
            <v>Ապրիլ</v>
          </cell>
          <cell r="E28" t="str">
            <v>Apr</v>
          </cell>
          <cell r="F28" t="str">
            <v>Април</v>
          </cell>
          <cell r="G28" t="str">
            <v>Abr</v>
          </cell>
          <cell r="H28" t="str">
            <v>四月</v>
          </cell>
          <cell r="I28" t="str">
            <v>Apr</v>
          </cell>
          <cell r="J28" t="str">
            <v>Tra</v>
          </cell>
          <cell r="K28" t="str">
            <v>Apr</v>
          </cell>
          <cell r="L28" t="str">
            <v>Apr</v>
          </cell>
          <cell r="M28" t="str">
            <v>Apr</v>
          </cell>
          <cell r="N28" t="str">
            <v>Avr</v>
          </cell>
          <cell r="O28" t="str">
            <v>აპრ</v>
          </cell>
          <cell r="P28" t="str">
            <v>Apr</v>
          </cell>
          <cell r="Q28" t="str">
            <v>Απρ</v>
          </cell>
          <cell r="R28" t="str">
            <v>אפריל</v>
          </cell>
          <cell r="S28" t="str">
            <v>Ápr</v>
          </cell>
          <cell r="T28" t="str">
            <v>Apr</v>
          </cell>
          <cell r="U28" t="str">
            <v>Apr</v>
          </cell>
          <cell r="V28" t="str">
            <v>Apr</v>
          </cell>
          <cell r="W28" t="str">
            <v>4월</v>
          </cell>
          <cell r="X28" t="str">
            <v>Bal</v>
          </cell>
          <cell r="Y28" t="str">
            <v>Апр</v>
          </cell>
          <cell r="Z28" t="str">
            <v>Apr</v>
          </cell>
          <cell r="AA28" t="str">
            <v>Apr</v>
          </cell>
          <cell r="AB28" t="str">
            <v>آوریل</v>
          </cell>
          <cell r="AC28" t="str">
            <v>Kwi</v>
          </cell>
          <cell r="AD28" t="str">
            <v>Abr</v>
          </cell>
          <cell r="AE28" t="str">
            <v>Apr</v>
          </cell>
          <cell r="AF28" t="str">
            <v>Apr</v>
          </cell>
          <cell r="AG28" t="str">
            <v>Apr</v>
          </cell>
          <cell r="AH28" t="str">
            <v>Apr</v>
          </cell>
          <cell r="AI28" t="str">
            <v>Abr</v>
          </cell>
          <cell r="AJ28" t="str">
            <v>apr</v>
          </cell>
          <cell r="AK28" t="str">
            <v>เมษายน</v>
          </cell>
          <cell r="AL28" t="str">
            <v>Nis</v>
          </cell>
          <cell r="AM28" t="str">
            <v>Tháng 4</v>
          </cell>
          <cell r="AN28" t="str">
            <v>Квіт</v>
          </cell>
          <cell r="AO28" t="str">
            <v>اپریل</v>
          </cell>
        </row>
        <row r="29">
          <cell r="A29" t="str">
            <v>May</v>
          </cell>
          <cell r="B29" t="str">
            <v>Maj</v>
          </cell>
          <cell r="C29" t="str">
            <v>أياد</v>
          </cell>
          <cell r="D29" t="str">
            <v>Մայիս</v>
          </cell>
          <cell r="E29" t="str">
            <v>May</v>
          </cell>
          <cell r="F29" t="str">
            <v>Май</v>
          </cell>
          <cell r="G29" t="str">
            <v>Mai</v>
          </cell>
          <cell r="H29" t="str">
            <v>五月</v>
          </cell>
          <cell r="I29" t="str">
            <v>May</v>
          </cell>
          <cell r="J29" t="str">
            <v>Svi</v>
          </cell>
          <cell r="K29" t="str">
            <v>May</v>
          </cell>
          <cell r="L29" t="str">
            <v>Maj</v>
          </cell>
          <cell r="M29" t="str">
            <v>Mei</v>
          </cell>
          <cell r="N29" t="str">
            <v>Mai</v>
          </cell>
          <cell r="O29" t="str">
            <v>მაი</v>
          </cell>
          <cell r="P29" t="str">
            <v>Mai</v>
          </cell>
          <cell r="Q29" t="str">
            <v>Μαϊ</v>
          </cell>
          <cell r="R29" t="str">
            <v>מאי</v>
          </cell>
          <cell r="S29" t="str">
            <v>Máj</v>
          </cell>
          <cell r="T29" t="str">
            <v>Mei</v>
          </cell>
          <cell r="U29" t="str">
            <v>Maí</v>
          </cell>
          <cell r="V29" t="str">
            <v>Mag</v>
          </cell>
          <cell r="W29" t="str">
            <v>5월</v>
          </cell>
          <cell r="X29" t="str">
            <v>Geg</v>
          </cell>
          <cell r="Y29" t="str">
            <v>Мај</v>
          </cell>
          <cell r="Z29" t="str">
            <v>Mej</v>
          </cell>
          <cell r="AA29" t="str">
            <v>Mai</v>
          </cell>
          <cell r="AB29" t="str">
            <v>می</v>
          </cell>
          <cell r="AC29" t="str">
            <v>Maj</v>
          </cell>
          <cell r="AD29" t="str">
            <v>Mai</v>
          </cell>
          <cell r="AE29" t="str">
            <v>Mai</v>
          </cell>
          <cell r="AF29" t="str">
            <v>Maj</v>
          </cell>
          <cell r="AG29" t="str">
            <v>Máj</v>
          </cell>
          <cell r="AH29" t="str">
            <v>Maj</v>
          </cell>
          <cell r="AI29" t="str">
            <v>May</v>
          </cell>
          <cell r="AJ29" t="str">
            <v>maj</v>
          </cell>
          <cell r="AK29" t="str">
            <v>พฤษภาคม</v>
          </cell>
          <cell r="AL29" t="str">
            <v>May</v>
          </cell>
          <cell r="AM29" t="str">
            <v>Tháng 5</v>
          </cell>
          <cell r="AN29" t="str">
            <v>Трав</v>
          </cell>
          <cell r="AO29" t="str">
            <v>مئی</v>
          </cell>
        </row>
        <row r="30">
          <cell r="A30" t="str">
            <v>Jun</v>
          </cell>
          <cell r="B30" t="str">
            <v>Qer</v>
          </cell>
          <cell r="C30" t="str">
            <v>حزيران</v>
          </cell>
          <cell r="D30" t="str">
            <v>Հունիս</v>
          </cell>
          <cell r="E30" t="str">
            <v>İyn</v>
          </cell>
          <cell r="F30" t="str">
            <v>Юни</v>
          </cell>
          <cell r="G30" t="str">
            <v>Jun</v>
          </cell>
          <cell r="H30" t="str">
            <v>六月</v>
          </cell>
          <cell r="I30" t="str">
            <v>Jun</v>
          </cell>
          <cell r="J30" t="str">
            <v>Lip</v>
          </cell>
          <cell r="K30" t="str">
            <v>Čer</v>
          </cell>
          <cell r="L30" t="str">
            <v>Jun</v>
          </cell>
          <cell r="M30" t="str">
            <v>Jun</v>
          </cell>
          <cell r="N30" t="str">
            <v>Juin</v>
          </cell>
          <cell r="O30" t="str">
            <v>ივნ</v>
          </cell>
          <cell r="P30" t="str">
            <v>Jun</v>
          </cell>
          <cell r="Q30" t="str">
            <v>Ιουν</v>
          </cell>
          <cell r="R30" t="str">
            <v>יוני</v>
          </cell>
          <cell r="S30" t="str">
            <v>Jún</v>
          </cell>
          <cell r="T30" t="str">
            <v>Jun</v>
          </cell>
          <cell r="U30" t="str">
            <v>Jún</v>
          </cell>
          <cell r="V30" t="str">
            <v>Giu</v>
          </cell>
          <cell r="W30" t="str">
            <v>6월</v>
          </cell>
          <cell r="X30" t="str">
            <v>Birž</v>
          </cell>
          <cell r="Y30" t="str">
            <v>Јун</v>
          </cell>
          <cell r="Z30" t="str">
            <v>Ġun</v>
          </cell>
          <cell r="AA30" t="str">
            <v>Jun</v>
          </cell>
          <cell r="AB30" t="str">
            <v>ژوئن</v>
          </cell>
          <cell r="AC30" t="str">
            <v>Cze</v>
          </cell>
          <cell r="AD30" t="str">
            <v>Jun</v>
          </cell>
          <cell r="AE30" t="str">
            <v>Iun</v>
          </cell>
          <cell r="AF30" t="str">
            <v>Jun</v>
          </cell>
          <cell r="AG30" t="str">
            <v>Jún</v>
          </cell>
          <cell r="AH30" t="str">
            <v>Jun</v>
          </cell>
          <cell r="AI30" t="str">
            <v>Jun</v>
          </cell>
          <cell r="AJ30" t="str">
            <v>jun</v>
          </cell>
          <cell r="AK30" t="str">
            <v>มิถุนายน</v>
          </cell>
          <cell r="AL30" t="str">
            <v>Haz</v>
          </cell>
          <cell r="AM30" t="str">
            <v>Tháng 6</v>
          </cell>
          <cell r="AN30" t="str">
            <v>Черв</v>
          </cell>
          <cell r="AO30" t="str">
            <v>جون</v>
          </cell>
        </row>
        <row r="31">
          <cell r="A31" t="str">
            <v>Jul</v>
          </cell>
          <cell r="B31" t="str">
            <v>Kor</v>
          </cell>
          <cell r="C31" t="str">
            <v>تموز</v>
          </cell>
          <cell r="D31" t="str">
            <v>Հուլիս</v>
          </cell>
          <cell r="E31" t="str">
            <v>İyl</v>
          </cell>
          <cell r="F31" t="str">
            <v>Юли</v>
          </cell>
          <cell r="G31" t="str">
            <v>Jul</v>
          </cell>
          <cell r="H31" t="str">
            <v>七月</v>
          </cell>
          <cell r="I31" t="str">
            <v>Jul</v>
          </cell>
          <cell r="J31" t="str">
            <v>Srp</v>
          </cell>
          <cell r="K31" t="str">
            <v>Čec</v>
          </cell>
          <cell r="L31" t="str">
            <v>Jul</v>
          </cell>
          <cell r="M31" t="str">
            <v>Jul</v>
          </cell>
          <cell r="N31" t="str">
            <v>Juil</v>
          </cell>
          <cell r="O31" t="str">
            <v>ივლ</v>
          </cell>
          <cell r="P31" t="str">
            <v>Jul</v>
          </cell>
          <cell r="Q31" t="str">
            <v>Ιουλ</v>
          </cell>
          <cell r="R31" t="str">
            <v>יולי</v>
          </cell>
          <cell r="S31" t="str">
            <v>Júl</v>
          </cell>
          <cell r="T31" t="str">
            <v>Jul</v>
          </cell>
          <cell r="U31" t="str">
            <v>Júl</v>
          </cell>
          <cell r="V31" t="str">
            <v>Lug</v>
          </cell>
          <cell r="W31" t="str">
            <v>7월</v>
          </cell>
          <cell r="X31" t="str">
            <v>Lie</v>
          </cell>
          <cell r="Y31" t="str">
            <v>Јул</v>
          </cell>
          <cell r="Z31" t="str">
            <v>Lul</v>
          </cell>
          <cell r="AA31" t="str">
            <v>Jul</v>
          </cell>
          <cell r="AB31" t="str">
            <v>ژولای</v>
          </cell>
          <cell r="AC31" t="str">
            <v>Lip</v>
          </cell>
          <cell r="AD31" t="str">
            <v>Jul</v>
          </cell>
          <cell r="AE31" t="str">
            <v>Iul</v>
          </cell>
          <cell r="AF31" t="str">
            <v>Jul</v>
          </cell>
          <cell r="AG31" t="str">
            <v>Júl</v>
          </cell>
          <cell r="AH31" t="str">
            <v>Jul</v>
          </cell>
          <cell r="AI31" t="str">
            <v>Jul</v>
          </cell>
          <cell r="AJ31" t="str">
            <v>jul</v>
          </cell>
          <cell r="AK31" t="str">
            <v>กรกฎาคม</v>
          </cell>
          <cell r="AL31" t="str">
            <v>Tem</v>
          </cell>
          <cell r="AM31" t="str">
            <v>Tháng 7</v>
          </cell>
          <cell r="AN31" t="str">
            <v>Лип</v>
          </cell>
          <cell r="AO31" t="str">
            <v>جولائی</v>
          </cell>
        </row>
        <row r="32">
          <cell r="A32" t="str">
            <v>Aug</v>
          </cell>
          <cell r="B32" t="str">
            <v>Gus</v>
          </cell>
          <cell r="C32" t="str">
            <v>آب</v>
          </cell>
          <cell r="D32" t="str">
            <v>Օգոս.</v>
          </cell>
          <cell r="E32" t="str">
            <v>Avq</v>
          </cell>
          <cell r="F32" t="str">
            <v>Август</v>
          </cell>
          <cell r="G32" t="str">
            <v>Ago</v>
          </cell>
          <cell r="H32" t="str">
            <v>八月</v>
          </cell>
          <cell r="I32" t="str">
            <v>Aug</v>
          </cell>
          <cell r="J32" t="str">
            <v>Kol</v>
          </cell>
          <cell r="K32" t="str">
            <v>Aug</v>
          </cell>
          <cell r="L32" t="str">
            <v>Aug</v>
          </cell>
          <cell r="M32" t="str">
            <v>Aug</v>
          </cell>
          <cell r="N32" t="str">
            <v>Août</v>
          </cell>
          <cell r="O32" t="str">
            <v>აგვ</v>
          </cell>
          <cell r="P32" t="str">
            <v>Aug</v>
          </cell>
          <cell r="Q32" t="str">
            <v>Αυγ</v>
          </cell>
          <cell r="R32" t="str">
            <v>אוגוסט</v>
          </cell>
          <cell r="S32" t="str">
            <v>Aug</v>
          </cell>
          <cell r="T32" t="str">
            <v>Agu</v>
          </cell>
          <cell r="U32" t="str">
            <v>Ágú</v>
          </cell>
          <cell r="V32" t="str">
            <v>Ago</v>
          </cell>
          <cell r="W32" t="str">
            <v>8월</v>
          </cell>
          <cell r="X32" t="str">
            <v>Rugp</v>
          </cell>
          <cell r="Y32" t="str">
            <v>Авг</v>
          </cell>
          <cell r="Z32" t="str">
            <v>Aww</v>
          </cell>
          <cell r="AA32" t="str">
            <v>Aug</v>
          </cell>
          <cell r="AB32" t="str">
            <v>اگوست</v>
          </cell>
          <cell r="AC32" t="str">
            <v>Się</v>
          </cell>
          <cell r="AD32" t="str">
            <v>Ago</v>
          </cell>
          <cell r="AE32" t="str">
            <v>Aug</v>
          </cell>
          <cell r="AF32" t="str">
            <v>Avg</v>
          </cell>
          <cell r="AG32" t="str">
            <v>Aug</v>
          </cell>
          <cell r="AH32" t="str">
            <v>Avg</v>
          </cell>
          <cell r="AI32" t="str">
            <v>Ago</v>
          </cell>
          <cell r="AJ32" t="str">
            <v>Aug</v>
          </cell>
          <cell r="AK32" t="str">
            <v>สิงหาคม</v>
          </cell>
          <cell r="AL32" t="str">
            <v>Ağu</v>
          </cell>
          <cell r="AM32" t="str">
            <v>Tháng 8</v>
          </cell>
          <cell r="AN32" t="str">
            <v>Серп</v>
          </cell>
          <cell r="AO32" t="str">
            <v>اگست</v>
          </cell>
        </row>
        <row r="33">
          <cell r="A33" t="str">
            <v>Sep</v>
          </cell>
          <cell r="B33" t="str">
            <v>Shta</v>
          </cell>
          <cell r="C33" t="str">
            <v>أيلول</v>
          </cell>
          <cell r="D33" t="str">
            <v>Սեպտ.</v>
          </cell>
          <cell r="E33" t="str">
            <v>Sen</v>
          </cell>
          <cell r="F33" t="str">
            <v>Септември</v>
          </cell>
          <cell r="G33" t="str">
            <v>Set</v>
          </cell>
          <cell r="H33" t="str">
            <v>九月</v>
          </cell>
          <cell r="I33" t="str">
            <v>Sep</v>
          </cell>
          <cell r="J33" t="str">
            <v>Ruj</v>
          </cell>
          <cell r="K33" t="str">
            <v>Sep</v>
          </cell>
          <cell r="L33" t="str">
            <v>Sep</v>
          </cell>
          <cell r="M33" t="str">
            <v>Sep</v>
          </cell>
          <cell r="N33" t="str">
            <v>Sept</v>
          </cell>
          <cell r="O33" t="str">
            <v>სექ</v>
          </cell>
          <cell r="P33" t="str">
            <v>Sep</v>
          </cell>
          <cell r="Q33" t="str">
            <v>Σεπ</v>
          </cell>
          <cell r="R33" t="str">
            <v>ספטמבר</v>
          </cell>
          <cell r="S33" t="str">
            <v>Szep</v>
          </cell>
          <cell r="T33" t="str">
            <v>Sep</v>
          </cell>
          <cell r="U33" t="str">
            <v>Sep</v>
          </cell>
          <cell r="V33" t="str">
            <v>Set</v>
          </cell>
          <cell r="W33" t="str">
            <v>9월</v>
          </cell>
          <cell r="X33" t="str">
            <v>Rugs</v>
          </cell>
          <cell r="Y33" t="str">
            <v>Сеп</v>
          </cell>
          <cell r="Z33" t="str">
            <v>Set</v>
          </cell>
          <cell r="AA33" t="str">
            <v>Sep</v>
          </cell>
          <cell r="AB33" t="str">
            <v>سپتامبر</v>
          </cell>
          <cell r="AC33" t="str">
            <v>Wrz</v>
          </cell>
          <cell r="AD33" t="str">
            <v>Set</v>
          </cell>
          <cell r="AE33" t="str">
            <v>Sep</v>
          </cell>
          <cell r="AF33" t="str">
            <v>Sep</v>
          </cell>
          <cell r="AG33" t="str">
            <v>Sep</v>
          </cell>
          <cell r="AH33" t="str">
            <v>Sep</v>
          </cell>
          <cell r="AI33" t="str">
            <v>Sep</v>
          </cell>
          <cell r="AJ33" t="str">
            <v>sep</v>
          </cell>
          <cell r="AK33" t="str">
            <v>กันยายน</v>
          </cell>
          <cell r="AL33" t="str">
            <v>Eyl</v>
          </cell>
          <cell r="AM33" t="str">
            <v>Tháng 9</v>
          </cell>
          <cell r="AN33" t="str">
            <v>Вер</v>
          </cell>
          <cell r="AO33" t="str">
            <v>ستمبر</v>
          </cell>
        </row>
        <row r="34">
          <cell r="A34" t="str">
            <v>Oct</v>
          </cell>
          <cell r="B34" t="str">
            <v>Tet</v>
          </cell>
          <cell r="C34" t="str">
            <v>تشرين أول</v>
          </cell>
          <cell r="D34" t="str">
            <v>Հոկտ.</v>
          </cell>
          <cell r="E34" t="str">
            <v>Okt</v>
          </cell>
          <cell r="F34" t="str">
            <v>Октомври</v>
          </cell>
          <cell r="G34" t="str">
            <v>Oct</v>
          </cell>
          <cell r="H34" t="str">
            <v>十月</v>
          </cell>
          <cell r="I34" t="str">
            <v>Oct</v>
          </cell>
          <cell r="J34" t="str">
            <v>Lis</v>
          </cell>
          <cell r="K34" t="str">
            <v>Oct</v>
          </cell>
          <cell r="L34" t="str">
            <v>Okt</v>
          </cell>
          <cell r="M34" t="str">
            <v>Okt</v>
          </cell>
          <cell r="N34" t="str">
            <v>Oct</v>
          </cell>
          <cell r="O34" t="str">
            <v>ოქტ</v>
          </cell>
          <cell r="P34" t="str">
            <v>Okt</v>
          </cell>
          <cell r="Q34" t="str">
            <v>Οκτ</v>
          </cell>
          <cell r="R34" t="str">
            <v>אוקטובר</v>
          </cell>
          <cell r="S34" t="str">
            <v>Okt</v>
          </cell>
          <cell r="T34" t="str">
            <v>Okt</v>
          </cell>
          <cell r="U34" t="str">
            <v>Okt</v>
          </cell>
          <cell r="V34" t="str">
            <v>Ott</v>
          </cell>
          <cell r="W34" t="str">
            <v>10월</v>
          </cell>
          <cell r="X34" t="str">
            <v>Spa</v>
          </cell>
          <cell r="Y34" t="str">
            <v>Окт</v>
          </cell>
          <cell r="Z34" t="str">
            <v>Ott</v>
          </cell>
          <cell r="AA34" t="str">
            <v>Okt</v>
          </cell>
          <cell r="AB34" t="str">
            <v>اکتبر</v>
          </cell>
          <cell r="AC34" t="str">
            <v>Paź</v>
          </cell>
          <cell r="AD34" t="str">
            <v>Out</v>
          </cell>
          <cell r="AE34" t="str">
            <v>Oct</v>
          </cell>
          <cell r="AF34" t="str">
            <v>Okt</v>
          </cell>
          <cell r="AG34" t="str">
            <v>Okt</v>
          </cell>
          <cell r="AH34" t="str">
            <v>Oct</v>
          </cell>
          <cell r="AI34" t="str">
            <v>Oct</v>
          </cell>
          <cell r="AJ34" t="str">
            <v>okt</v>
          </cell>
          <cell r="AK34" t="str">
            <v>ตุลาคม</v>
          </cell>
          <cell r="AL34" t="str">
            <v>Eki</v>
          </cell>
          <cell r="AM34" t="str">
            <v>Tháng 10</v>
          </cell>
          <cell r="AN34" t="str">
            <v>Жовт</v>
          </cell>
          <cell r="AO34" t="str">
            <v>اکتوبر</v>
          </cell>
        </row>
        <row r="35">
          <cell r="A35" t="str">
            <v>Nov</v>
          </cell>
          <cell r="B35" t="str">
            <v>Nën</v>
          </cell>
          <cell r="C35" t="str">
            <v>تشرين ثاني</v>
          </cell>
          <cell r="D35" t="str">
            <v>Նոյեմ.</v>
          </cell>
          <cell r="E35" t="str">
            <v>Noy</v>
          </cell>
          <cell r="F35" t="str">
            <v>Ноември</v>
          </cell>
          <cell r="G35" t="str">
            <v>Nov</v>
          </cell>
          <cell r="H35" t="str">
            <v>十一月</v>
          </cell>
          <cell r="I35" t="str">
            <v>Nov</v>
          </cell>
          <cell r="J35" t="str">
            <v>Stu</v>
          </cell>
          <cell r="K35" t="str">
            <v>Nov</v>
          </cell>
          <cell r="L35" t="str">
            <v>Nov</v>
          </cell>
          <cell r="M35" t="str">
            <v>Nov</v>
          </cell>
          <cell r="N35" t="str">
            <v>Nov</v>
          </cell>
          <cell r="O35" t="str">
            <v>ნოე</v>
          </cell>
          <cell r="P35" t="str">
            <v>Nov</v>
          </cell>
          <cell r="Q35" t="str">
            <v>Νοε</v>
          </cell>
          <cell r="R35" t="str">
            <v>נובמבר</v>
          </cell>
          <cell r="S35" t="str">
            <v>Nov</v>
          </cell>
          <cell r="T35" t="str">
            <v>Nop</v>
          </cell>
          <cell r="U35" t="str">
            <v>Nóv</v>
          </cell>
          <cell r="V35" t="str">
            <v>Nov</v>
          </cell>
          <cell r="W35" t="str">
            <v>11월</v>
          </cell>
          <cell r="X35" t="str">
            <v>Lapk</v>
          </cell>
          <cell r="Y35" t="str">
            <v>Ное</v>
          </cell>
          <cell r="Z35" t="str">
            <v>Nov</v>
          </cell>
          <cell r="AA35" t="str">
            <v>Nov</v>
          </cell>
          <cell r="AB35" t="str">
            <v>نوامبر</v>
          </cell>
          <cell r="AC35" t="str">
            <v>Lis</v>
          </cell>
          <cell r="AD35" t="str">
            <v>Nov</v>
          </cell>
          <cell r="AE35" t="str">
            <v>Noi</v>
          </cell>
          <cell r="AF35" t="str">
            <v>Nov</v>
          </cell>
          <cell r="AG35" t="str">
            <v>Nov</v>
          </cell>
          <cell r="AH35" t="str">
            <v>Nov</v>
          </cell>
          <cell r="AI35" t="str">
            <v>Nov</v>
          </cell>
          <cell r="AJ35" t="str">
            <v>nov</v>
          </cell>
          <cell r="AK35" t="str">
            <v>พฤศจิกายน</v>
          </cell>
          <cell r="AL35" t="str">
            <v>Kas</v>
          </cell>
          <cell r="AM35" t="str">
            <v>Tháng 11</v>
          </cell>
          <cell r="AN35" t="str">
            <v>Лист</v>
          </cell>
          <cell r="AO35" t="str">
            <v>نومبر</v>
          </cell>
        </row>
        <row r="36">
          <cell r="A36" t="str">
            <v>Dec</v>
          </cell>
          <cell r="B36" t="str">
            <v>Dhj</v>
          </cell>
          <cell r="C36" t="str">
            <v>كانون أول</v>
          </cell>
          <cell r="D36" t="str">
            <v>Դեկտ.</v>
          </cell>
          <cell r="E36" t="str">
            <v>Dek</v>
          </cell>
          <cell r="F36" t="str">
            <v>Декември</v>
          </cell>
          <cell r="G36" t="str">
            <v>Des</v>
          </cell>
          <cell r="H36" t="str">
            <v>十二月</v>
          </cell>
          <cell r="I36" t="str">
            <v>Dec</v>
          </cell>
          <cell r="J36" t="str">
            <v>Pro</v>
          </cell>
          <cell r="K36" t="str">
            <v>Dec</v>
          </cell>
          <cell r="L36" t="str">
            <v>Dec</v>
          </cell>
          <cell r="M36" t="str">
            <v>Dec</v>
          </cell>
          <cell r="N36" t="str">
            <v>Déc</v>
          </cell>
          <cell r="O36" t="str">
            <v>დეკ</v>
          </cell>
          <cell r="P36" t="str">
            <v>Dez</v>
          </cell>
          <cell r="Q36" t="str">
            <v>Δεκ</v>
          </cell>
          <cell r="R36" t="str">
            <v>דצמבר</v>
          </cell>
          <cell r="S36" t="str">
            <v>Dec</v>
          </cell>
          <cell r="T36" t="str">
            <v>Des</v>
          </cell>
          <cell r="U36" t="str">
            <v>Des</v>
          </cell>
          <cell r="V36" t="str">
            <v>Dic</v>
          </cell>
          <cell r="W36" t="str">
            <v>12월</v>
          </cell>
          <cell r="X36" t="str">
            <v>Gruo</v>
          </cell>
          <cell r="Y36" t="str">
            <v>Дек</v>
          </cell>
          <cell r="Z36" t="str">
            <v>Deċ</v>
          </cell>
          <cell r="AA36" t="str">
            <v>Des</v>
          </cell>
          <cell r="AB36" t="str">
            <v>دسامبر</v>
          </cell>
          <cell r="AC36" t="str">
            <v>Gru</v>
          </cell>
          <cell r="AD36" t="str">
            <v>Dez</v>
          </cell>
          <cell r="AE36" t="str">
            <v>Dec</v>
          </cell>
          <cell r="AF36" t="str">
            <v>Dec</v>
          </cell>
          <cell r="AG36" t="str">
            <v>Dec</v>
          </cell>
          <cell r="AH36" t="str">
            <v>Dec</v>
          </cell>
          <cell r="AI36" t="str">
            <v>Dic</v>
          </cell>
          <cell r="AJ36" t="str">
            <v>dec</v>
          </cell>
          <cell r="AK36" t="str">
            <v>ธันวาคม</v>
          </cell>
          <cell r="AL36" t="str">
            <v>Ara</v>
          </cell>
          <cell r="AM36" t="str">
            <v>Tháng 12</v>
          </cell>
          <cell r="AN36" t="str">
            <v>Груд</v>
          </cell>
          <cell r="AO36" t="str">
            <v>دسمبر</v>
          </cell>
        </row>
        <row r="37">
          <cell r="A37" t="str">
            <v>Team</v>
          </cell>
          <cell r="B37" t="str">
            <v>Ekipi</v>
          </cell>
          <cell r="C37" t="str">
            <v>المنتخب</v>
          </cell>
          <cell r="D37" t="str">
            <v>Հավաքական</v>
          </cell>
          <cell r="E37" t="str">
            <v>Komanda</v>
          </cell>
          <cell r="F37" t="str">
            <v>Отбор</v>
          </cell>
          <cell r="G37" t="str">
            <v>Equip</v>
          </cell>
          <cell r="H37" t="str">
            <v>球队</v>
          </cell>
          <cell r="I37" t="str">
            <v>隊伍</v>
          </cell>
          <cell r="J37" t="str">
            <v>Team</v>
          </cell>
          <cell r="K37" t="str">
            <v>Team</v>
          </cell>
          <cell r="L37" t="str">
            <v>Hold</v>
          </cell>
          <cell r="M37" t="str">
            <v>Team</v>
          </cell>
          <cell r="N37" t="str">
            <v>Équipe</v>
          </cell>
          <cell r="O37" t="str">
            <v>ნაკრები</v>
          </cell>
          <cell r="P37" t="str">
            <v>Team</v>
          </cell>
          <cell r="Q37" t="str">
            <v>Ομάδα</v>
          </cell>
          <cell r="R37" t="str">
            <v>קבוצה</v>
          </cell>
          <cell r="S37" t="str">
            <v>Csapat</v>
          </cell>
          <cell r="T37" t="str">
            <v>Tim</v>
          </cell>
          <cell r="U37" t="str">
            <v>Lið</v>
          </cell>
          <cell r="V37" t="str">
            <v>Squadra</v>
          </cell>
          <cell r="W37" t="str">
            <v>팀</v>
          </cell>
          <cell r="X37" t="str">
            <v>Komanda</v>
          </cell>
          <cell r="Y37" t="str">
            <v>Тим</v>
          </cell>
          <cell r="Z37" t="str">
            <v>Tim</v>
          </cell>
          <cell r="AA37" t="str">
            <v>Lag</v>
          </cell>
          <cell r="AB37" t="str">
            <v>تیم</v>
          </cell>
          <cell r="AC37" t="str">
            <v>Drużyna</v>
          </cell>
          <cell r="AD37" t="str">
            <v>Equipa</v>
          </cell>
          <cell r="AE37" t="str">
            <v>Echipa</v>
          </cell>
          <cell r="AF37" t="str">
            <v>Reprezentacija</v>
          </cell>
          <cell r="AG37" t="str">
            <v>Mužstvo</v>
          </cell>
          <cell r="AH37" t="str">
            <v>Moštvo</v>
          </cell>
          <cell r="AI37" t="str">
            <v>Equipo</v>
          </cell>
          <cell r="AJ37" t="str">
            <v>Lag</v>
          </cell>
          <cell r="AK37" t="str">
            <v>ทึม</v>
          </cell>
          <cell r="AL37" t="str">
            <v>Takım</v>
          </cell>
          <cell r="AM37" t="str">
            <v>Đội</v>
          </cell>
          <cell r="AN37" t="str">
            <v>Команда</v>
          </cell>
          <cell r="AO37" t="str">
            <v>ٹیم</v>
          </cell>
        </row>
        <row r="38">
          <cell r="A38" t="str">
            <v>Albania</v>
          </cell>
          <cell r="B38" t="str">
            <v>Shqipëri</v>
          </cell>
          <cell r="C38" t="str">
            <v>ألبانيا</v>
          </cell>
          <cell r="D38" t="str">
            <v>Ալբանիա</v>
          </cell>
          <cell r="E38" t="str">
            <v>Albaniya</v>
          </cell>
          <cell r="F38" t="str">
            <v>Албания</v>
          </cell>
          <cell r="G38" t="str">
            <v>Albània</v>
          </cell>
          <cell r="H38" t="str">
            <v>阿尔巴尼亚</v>
          </cell>
          <cell r="I38" t="str">
            <v>阿爾巴尼亞</v>
          </cell>
          <cell r="J38" t="str">
            <v>Albanija</v>
          </cell>
          <cell r="K38" t="str">
            <v>Albánie</v>
          </cell>
          <cell r="L38" t="str">
            <v>Albanien</v>
          </cell>
          <cell r="M38" t="str">
            <v>Albanië</v>
          </cell>
          <cell r="N38" t="str">
            <v>Albanie</v>
          </cell>
          <cell r="O38" t="str">
            <v>Albania</v>
          </cell>
          <cell r="P38" t="str">
            <v>Albanien</v>
          </cell>
          <cell r="Q38" t="str">
            <v>Αλβανία</v>
          </cell>
          <cell r="R38" t="str">
            <v>אלבניה</v>
          </cell>
          <cell r="S38" t="str">
            <v>Albánia</v>
          </cell>
          <cell r="T38" t="str">
            <v>Albania</v>
          </cell>
          <cell r="U38" t="str">
            <v>Albanía</v>
          </cell>
          <cell r="V38" t="str">
            <v>Albania</v>
          </cell>
          <cell r="W38" t="str">
            <v>알바니아</v>
          </cell>
          <cell r="X38" t="str">
            <v>Albanija</v>
          </cell>
          <cell r="Y38" t="str">
            <v>Албанија</v>
          </cell>
          <cell r="Z38" t="str">
            <v>Albanija</v>
          </cell>
          <cell r="AA38" t="str">
            <v>Albania</v>
          </cell>
          <cell r="AB38" t="str">
            <v>آلبانی</v>
          </cell>
          <cell r="AC38" t="str">
            <v>Albania</v>
          </cell>
          <cell r="AD38" t="str">
            <v>Albânia</v>
          </cell>
          <cell r="AE38" t="str">
            <v>Albania</v>
          </cell>
          <cell r="AF38" t="str">
            <v>Албанија</v>
          </cell>
          <cell r="AG38" t="str">
            <v>Albánsko</v>
          </cell>
          <cell r="AH38" t="str">
            <v>Albanija</v>
          </cell>
          <cell r="AI38" t="str">
            <v>Albania</v>
          </cell>
          <cell r="AJ38" t="str">
            <v>albanien</v>
          </cell>
          <cell r="AK38" t="str">
            <v>แอลเบเนีย</v>
          </cell>
          <cell r="AL38" t="str">
            <v>Arnavutluk</v>
          </cell>
          <cell r="AM38" t="str">
            <v>Albania</v>
          </cell>
          <cell r="AN38" t="str">
            <v>Албанія</v>
          </cell>
          <cell r="AO38" t="str">
            <v>البانیا</v>
          </cell>
        </row>
        <row r="39">
          <cell r="A39" t="str">
            <v>Romania</v>
          </cell>
          <cell r="B39" t="str">
            <v>Rumani</v>
          </cell>
          <cell r="C39" t="str">
            <v>رومانيا</v>
          </cell>
          <cell r="D39" t="str">
            <v>Ռումինիա</v>
          </cell>
          <cell r="E39" t="str">
            <v>Rumıniya</v>
          </cell>
          <cell r="F39" t="str">
            <v>Румъния</v>
          </cell>
          <cell r="G39" t="str">
            <v>Romania</v>
          </cell>
          <cell r="H39" t="str">
            <v>罗马尼亚</v>
          </cell>
          <cell r="I39" t="str">
            <v>羅馬尼亞</v>
          </cell>
          <cell r="J39" t="str">
            <v>Rumunija</v>
          </cell>
          <cell r="K39" t="str">
            <v>Rumunsko</v>
          </cell>
          <cell r="L39" t="str">
            <v>Rumænien</v>
          </cell>
          <cell r="M39" t="str">
            <v>Roemenië</v>
          </cell>
          <cell r="N39" t="str">
            <v>Roumanie</v>
          </cell>
          <cell r="O39" t="str">
            <v>რუმინეთი</v>
          </cell>
          <cell r="P39" t="str">
            <v>Rumänien</v>
          </cell>
          <cell r="Q39" t="str">
            <v>Ρουμανία</v>
          </cell>
          <cell r="R39" t="str">
            <v>רומני</v>
          </cell>
          <cell r="S39" t="str">
            <v>Románia</v>
          </cell>
          <cell r="T39" t="str">
            <v>Rumania</v>
          </cell>
          <cell r="U39" t="str">
            <v>rúmenía</v>
          </cell>
          <cell r="V39" t="str">
            <v>Romania</v>
          </cell>
          <cell r="W39" t="str">
            <v>루마니아</v>
          </cell>
          <cell r="X39" t="str">
            <v>Rumunija</v>
          </cell>
          <cell r="Y39" t="str">
            <v>Романија</v>
          </cell>
          <cell r="Z39" t="str">
            <v>Ir-Rumanija</v>
          </cell>
          <cell r="AA39" t="str">
            <v>Romania</v>
          </cell>
          <cell r="AB39" t="str">
            <v>رومانی</v>
          </cell>
          <cell r="AC39" t="str">
            <v>Rumunia</v>
          </cell>
          <cell r="AD39" t="str">
            <v>Romênia</v>
          </cell>
          <cell r="AE39" t="str">
            <v>România</v>
          </cell>
          <cell r="AF39" t="str">
            <v>Румунија</v>
          </cell>
          <cell r="AG39" t="str">
            <v>Rumunsko</v>
          </cell>
          <cell r="AH39" t="str">
            <v>Romunija</v>
          </cell>
          <cell r="AI39" t="str">
            <v>Rumania</v>
          </cell>
          <cell r="AJ39" t="str">
            <v>rumänien</v>
          </cell>
          <cell r="AK39" t="str">
            <v>โรมาเนีย</v>
          </cell>
          <cell r="AL39" t="str">
            <v>Romanya</v>
          </cell>
          <cell r="AM39" t="str">
            <v>Romania</v>
          </cell>
          <cell r="AN39" t="str">
            <v>Румунія</v>
          </cell>
          <cell r="AO39" t="str">
            <v>رومانیہ</v>
          </cell>
        </row>
        <row r="40">
          <cell r="A40" t="str">
            <v>Spain</v>
          </cell>
          <cell r="B40" t="str">
            <v>Spanjë</v>
          </cell>
          <cell r="C40" t="str">
            <v>إسبانيا</v>
          </cell>
          <cell r="D40" t="str">
            <v>Իսպանիա</v>
          </cell>
          <cell r="E40" t="str">
            <v>İspaniya</v>
          </cell>
          <cell r="F40" t="str">
            <v>Испания</v>
          </cell>
          <cell r="G40" t="str">
            <v>Espanya</v>
          </cell>
          <cell r="H40" t="str">
            <v>西班牙</v>
          </cell>
          <cell r="I40" t="str">
            <v>西班牙</v>
          </cell>
          <cell r="J40" t="str">
            <v>Španjolska</v>
          </cell>
          <cell r="K40" t="str">
            <v>Španělsko</v>
          </cell>
          <cell r="L40" t="str">
            <v>Spanien</v>
          </cell>
          <cell r="M40" t="str">
            <v>Spanje</v>
          </cell>
          <cell r="N40" t="str">
            <v>Espagne</v>
          </cell>
          <cell r="O40" t="str">
            <v>ესპანეთში</v>
          </cell>
          <cell r="P40" t="str">
            <v>Spanien</v>
          </cell>
          <cell r="Q40" t="str">
            <v>Ισπανία</v>
          </cell>
          <cell r="R40" t="str">
            <v>ספרד</v>
          </cell>
          <cell r="S40" t="str">
            <v>Spanyolország</v>
          </cell>
          <cell r="T40" t="str">
            <v>Spanyol</v>
          </cell>
          <cell r="U40" t="str">
            <v>spain</v>
          </cell>
          <cell r="V40" t="str">
            <v>Spagna</v>
          </cell>
          <cell r="W40" t="str">
            <v>스페인</v>
          </cell>
          <cell r="X40" t="str">
            <v>Ispanija</v>
          </cell>
          <cell r="Y40" t="str">
            <v>Шпанија</v>
          </cell>
          <cell r="Z40" t="str">
            <v>Spanja</v>
          </cell>
          <cell r="AA40" t="str">
            <v>Spania</v>
          </cell>
          <cell r="AB40" t="str">
            <v>کشور اسپانیا</v>
          </cell>
          <cell r="AC40" t="str">
            <v>Hiszpania</v>
          </cell>
          <cell r="AD40" t="str">
            <v>Espanha</v>
          </cell>
          <cell r="AE40" t="str">
            <v>Spania</v>
          </cell>
          <cell r="AF40" t="str">
            <v>Шпанија</v>
          </cell>
          <cell r="AG40" t="str">
            <v>španielsko</v>
          </cell>
          <cell r="AH40" t="str">
            <v>Španija</v>
          </cell>
          <cell r="AI40" t="str">
            <v>España</v>
          </cell>
          <cell r="AJ40" t="str">
            <v>Spanien</v>
          </cell>
          <cell r="AK40" t="str">
            <v>สเปน</v>
          </cell>
          <cell r="AL40" t="str">
            <v>İspanya</v>
          </cell>
          <cell r="AM40" t="str">
            <v>Tây ban nha</v>
          </cell>
          <cell r="AN40" t="str">
            <v>Іспанія</v>
          </cell>
          <cell r="AO40" t="str">
            <v>سپین</v>
          </cell>
        </row>
        <row r="41">
          <cell r="A41" t="str">
            <v>Italy</v>
          </cell>
          <cell r="B41" t="str">
            <v>Itali</v>
          </cell>
          <cell r="C41" t="str">
            <v>إيطاليا</v>
          </cell>
          <cell r="D41" t="str">
            <v>Իտալիա</v>
          </cell>
          <cell r="E41" t="str">
            <v>İtaliya</v>
          </cell>
          <cell r="F41" t="str">
            <v>Италия</v>
          </cell>
          <cell r="G41" t="str">
            <v>Itàlia</v>
          </cell>
          <cell r="H41" t="str">
            <v>意大利</v>
          </cell>
          <cell r="I41" t="str">
            <v>意大利</v>
          </cell>
          <cell r="J41" t="str">
            <v>Italija</v>
          </cell>
          <cell r="K41" t="str">
            <v>Itálie</v>
          </cell>
          <cell r="L41" t="str">
            <v>Italien</v>
          </cell>
          <cell r="M41" t="str">
            <v>Italië</v>
          </cell>
          <cell r="N41" t="str">
            <v>Italie</v>
          </cell>
          <cell r="O41" t="str">
            <v>იტალიაში</v>
          </cell>
          <cell r="P41" t="str">
            <v>Italien</v>
          </cell>
          <cell r="Q41" t="str">
            <v>Ιταλία</v>
          </cell>
          <cell r="R41" t="str">
            <v>איטליה</v>
          </cell>
          <cell r="S41" t="str">
            <v>Olaszország</v>
          </cell>
          <cell r="T41" t="str">
            <v>Italia</v>
          </cell>
          <cell r="U41" t="str">
            <v>Italy</v>
          </cell>
          <cell r="V41" t="str">
            <v>Italia</v>
          </cell>
          <cell r="W41" t="str">
            <v>이탈리아</v>
          </cell>
          <cell r="X41" t="str">
            <v>Italija</v>
          </cell>
          <cell r="Y41" t="str">
            <v>Италија</v>
          </cell>
          <cell r="Z41" t="str">
            <v>Italja</v>
          </cell>
          <cell r="AA41" t="str">
            <v>Italia</v>
          </cell>
          <cell r="AB41" t="str">
            <v>ایتالیا</v>
          </cell>
          <cell r="AC41" t="str">
            <v>Włochy</v>
          </cell>
          <cell r="AD41" t="str">
            <v>Itália</v>
          </cell>
          <cell r="AE41" t="str">
            <v>Italia</v>
          </cell>
          <cell r="AF41" t="str">
            <v>Италија</v>
          </cell>
          <cell r="AG41" t="str">
            <v>taliansko</v>
          </cell>
          <cell r="AH41" t="str">
            <v>Italija</v>
          </cell>
          <cell r="AI41" t="str">
            <v>Italia</v>
          </cell>
          <cell r="AJ41" t="str">
            <v>Italien</v>
          </cell>
          <cell r="AK41" t="str">
            <v>อิตาลี</v>
          </cell>
          <cell r="AL41" t="str">
            <v>İtalya</v>
          </cell>
          <cell r="AM41" t="str">
            <v>Ý</v>
          </cell>
          <cell r="AN41" t="str">
            <v>Італія</v>
          </cell>
          <cell r="AO41" t="str">
            <v>اٹلی</v>
          </cell>
        </row>
        <row r="42">
          <cell r="A42" t="str">
            <v>Portugal</v>
          </cell>
          <cell r="B42" t="str">
            <v>Portugali</v>
          </cell>
          <cell r="C42" t="str">
            <v>البرتغال</v>
          </cell>
          <cell r="D42" t="str">
            <v>Պորտուգալիա</v>
          </cell>
          <cell r="E42" t="str">
            <v>Portuqaliya</v>
          </cell>
          <cell r="F42" t="str">
            <v>Португалия</v>
          </cell>
          <cell r="G42" t="str">
            <v>Portugal</v>
          </cell>
          <cell r="H42" t="str">
            <v>葡萄牙</v>
          </cell>
          <cell r="I42" t="str">
            <v>葡萄牙</v>
          </cell>
          <cell r="J42" t="str">
            <v>Portugalija</v>
          </cell>
          <cell r="K42" t="str">
            <v>Portugalsko</v>
          </cell>
          <cell r="L42" t="str">
            <v>Portugal</v>
          </cell>
          <cell r="M42" t="str">
            <v>Portugal</v>
          </cell>
          <cell r="N42" t="str">
            <v>Portugal</v>
          </cell>
          <cell r="O42" t="str">
            <v>პორტუგალიის</v>
          </cell>
          <cell r="P42" t="str">
            <v>Portugal</v>
          </cell>
          <cell r="Q42" t="str">
            <v>Πορτογαλία</v>
          </cell>
          <cell r="R42" t="str">
            <v>פורטוגל</v>
          </cell>
          <cell r="S42" t="str">
            <v>Portugália</v>
          </cell>
          <cell r="T42" t="str">
            <v>Portugal</v>
          </cell>
          <cell r="U42" t="str">
            <v>Portugal</v>
          </cell>
          <cell r="V42" t="str">
            <v>Portogallo</v>
          </cell>
          <cell r="W42" t="str">
            <v>포르투갈</v>
          </cell>
          <cell r="X42" t="str">
            <v>Portugalija</v>
          </cell>
          <cell r="Y42" t="str">
            <v>Португалија</v>
          </cell>
          <cell r="Z42" t="str">
            <v>Portugall</v>
          </cell>
          <cell r="AA42" t="str">
            <v>Portugal</v>
          </cell>
          <cell r="AB42" t="str">
            <v>پرتغال</v>
          </cell>
          <cell r="AC42" t="str">
            <v>Portugalia</v>
          </cell>
          <cell r="AD42" t="str">
            <v>Portugal</v>
          </cell>
          <cell r="AE42" t="str">
            <v>Portugalia</v>
          </cell>
          <cell r="AF42" t="str">
            <v>Португалија</v>
          </cell>
          <cell r="AG42" t="str">
            <v>Portugalsko</v>
          </cell>
          <cell r="AH42" t="str">
            <v>Portugalska</v>
          </cell>
          <cell r="AI42" t="str">
            <v>Portugal</v>
          </cell>
          <cell r="AJ42" t="str">
            <v>Portugal</v>
          </cell>
          <cell r="AK42" t="str">
            <v>โปรตุเกส</v>
          </cell>
          <cell r="AL42" t="str">
            <v>Portekiz</v>
          </cell>
          <cell r="AM42" t="str">
            <v>Bồ Đào Nha</v>
          </cell>
          <cell r="AN42" t="str">
            <v>Португалія</v>
          </cell>
          <cell r="AO42" t="str">
            <v>پرتگال</v>
          </cell>
        </row>
        <row r="43">
          <cell r="A43" t="str">
            <v>Hungary</v>
          </cell>
          <cell r="B43" t="str">
            <v>Hungari</v>
          </cell>
          <cell r="C43" t="str">
            <v>هنغاريا</v>
          </cell>
          <cell r="D43" t="str">
            <v>Հունգարիա</v>
          </cell>
          <cell r="E43" t="str">
            <v>Macarıstan</v>
          </cell>
          <cell r="F43" t="str">
            <v>Унгария</v>
          </cell>
          <cell r="G43" t="str">
            <v>Hongria</v>
          </cell>
          <cell r="H43" t="str">
            <v>匈牙利</v>
          </cell>
          <cell r="I43" t="str">
            <v>匈牙利</v>
          </cell>
          <cell r="J43" t="str">
            <v>Mađarska</v>
          </cell>
          <cell r="K43" t="str">
            <v>Maďarsko</v>
          </cell>
          <cell r="L43" t="str">
            <v>Ungarn</v>
          </cell>
          <cell r="M43" t="str">
            <v>Hongarije</v>
          </cell>
          <cell r="N43" t="str">
            <v>Hongrie</v>
          </cell>
          <cell r="O43" t="str">
            <v>უნგრეთი</v>
          </cell>
          <cell r="P43" t="str">
            <v>Ungarn</v>
          </cell>
          <cell r="Q43" t="str">
            <v>Ουγγαρία</v>
          </cell>
          <cell r="R43" t="str">
            <v>הונגריה</v>
          </cell>
          <cell r="S43" t="str">
            <v>Magyarország</v>
          </cell>
          <cell r="T43" t="str">
            <v>Hongaria</v>
          </cell>
          <cell r="U43" t="str">
            <v>Ungverjaland</v>
          </cell>
          <cell r="V43" t="str">
            <v>Ungheria</v>
          </cell>
          <cell r="W43" t="str">
            <v>헝가리</v>
          </cell>
          <cell r="X43" t="str">
            <v>Vengrija</v>
          </cell>
          <cell r="Y43" t="str">
            <v>Унгарија</v>
          </cell>
          <cell r="Z43" t="str">
            <v>L-Ungerija</v>
          </cell>
          <cell r="AA43" t="str">
            <v>Ungarn</v>
          </cell>
          <cell r="AB43" t="str">
            <v>مجارستان</v>
          </cell>
          <cell r="AC43" t="str">
            <v>Węgry</v>
          </cell>
          <cell r="AD43" t="str">
            <v>Hungria</v>
          </cell>
          <cell r="AE43" t="str">
            <v>Ungaria</v>
          </cell>
          <cell r="AF43" t="str">
            <v>Мађарска</v>
          </cell>
          <cell r="AG43" t="str">
            <v>maďarsko</v>
          </cell>
          <cell r="AH43" t="str">
            <v>Madžarska</v>
          </cell>
          <cell r="AI43" t="str">
            <v>Hungría</v>
          </cell>
          <cell r="AJ43" t="str">
            <v>Ungern</v>
          </cell>
          <cell r="AK43" t="str">
            <v>ฮังการี</v>
          </cell>
          <cell r="AL43" t="str">
            <v>Macaristan</v>
          </cell>
          <cell r="AM43" t="str">
            <v>Hungary</v>
          </cell>
          <cell r="AN43" t="str">
            <v>Угорщина</v>
          </cell>
          <cell r="AO43" t="str">
            <v>ہنگری</v>
          </cell>
        </row>
        <row r="44">
          <cell r="A44" t="str">
            <v>Denmark</v>
          </cell>
          <cell r="B44" t="str">
            <v>Danimarkë</v>
          </cell>
          <cell r="C44" t="str">
            <v>الدنمارك</v>
          </cell>
          <cell r="D44" t="str">
            <v>Դանիա</v>
          </cell>
          <cell r="E44" t="str">
            <v>Danimarka</v>
          </cell>
          <cell r="F44" t="str">
            <v>Дания</v>
          </cell>
          <cell r="G44" t="str">
            <v>Dinamarca</v>
          </cell>
          <cell r="H44" t="str">
            <v>丹麦</v>
          </cell>
          <cell r="I44" t="str">
            <v>丹麥</v>
          </cell>
          <cell r="J44" t="str">
            <v>Danska</v>
          </cell>
          <cell r="K44" t="str">
            <v>Dánsko</v>
          </cell>
          <cell r="L44" t="str">
            <v>Danmark</v>
          </cell>
          <cell r="M44" t="str">
            <v>Denemarken</v>
          </cell>
          <cell r="N44" t="str">
            <v>Danemark</v>
          </cell>
          <cell r="O44" t="str">
            <v>დანია</v>
          </cell>
          <cell r="P44" t="str">
            <v>Dänemark</v>
          </cell>
          <cell r="Q44" t="str">
            <v>Δανία</v>
          </cell>
          <cell r="R44" t="str">
            <v>דנמרק</v>
          </cell>
          <cell r="S44" t="str">
            <v>Dánia</v>
          </cell>
          <cell r="T44" t="str">
            <v>Denmark</v>
          </cell>
          <cell r="U44" t="str">
            <v>Denmark</v>
          </cell>
          <cell r="V44" t="str">
            <v>Danimarca</v>
          </cell>
          <cell r="W44" t="str">
            <v>덴마크</v>
          </cell>
          <cell r="X44" t="str">
            <v>Danija</v>
          </cell>
          <cell r="Y44" t="str">
            <v>Данска</v>
          </cell>
          <cell r="Z44" t="str">
            <v>Id-Danimarka</v>
          </cell>
          <cell r="AA44" t="str">
            <v>Danmark</v>
          </cell>
          <cell r="AB44" t="str">
            <v>دانمارک</v>
          </cell>
          <cell r="AC44" t="str">
            <v>Dania</v>
          </cell>
          <cell r="AD44" t="str">
            <v>Dinamarca</v>
          </cell>
          <cell r="AE44" t="str">
            <v>Danemarca</v>
          </cell>
          <cell r="AF44" t="str">
            <v>Данска</v>
          </cell>
          <cell r="AG44" t="str">
            <v>Dánsko</v>
          </cell>
          <cell r="AH44" t="str">
            <v>Danska</v>
          </cell>
          <cell r="AI44" t="str">
            <v>Dinamarca</v>
          </cell>
          <cell r="AJ44" t="str">
            <v>Danmark</v>
          </cell>
          <cell r="AK44" t="str">
            <v>เดนมาร์ก</v>
          </cell>
          <cell r="AL44" t="str">
            <v>Danimarka</v>
          </cell>
          <cell r="AM44" t="str">
            <v>Đan MạCh</v>
          </cell>
          <cell r="AN44" t="str">
            <v>Данія</v>
          </cell>
          <cell r="AO44" t="str">
            <v>ڈنمارک</v>
          </cell>
        </row>
        <row r="45">
          <cell r="A45" t="str">
            <v>Ukraine</v>
          </cell>
          <cell r="B45" t="str">
            <v>Ukrainë</v>
          </cell>
          <cell r="C45" t="str">
            <v>أوكرانيا</v>
          </cell>
          <cell r="D45" t="str">
            <v>Ուկրաինան</v>
          </cell>
          <cell r="E45" t="str">
            <v>Ukrayna</v>
          </cell>
          <cell r="F45" t="str">
            <v>Украйна</v>
          </cell>
          <cell r="G45" t="str">
            <v>Ucraïna</v>
          </cell>
          <cell r="H45" t="str">
            <v>乌克兰</v>
          </cell>
          <cell r="I45" t="str">
            <v>烏克蘭</v>
          </cell>
          <cell r="J45" t="str">
            <v>Ukrajina</v>
          </cell>
          <cell r="K45" t="str">
            <v>Ukrajina</v>
          </cell>
          <cell r="L45" t="str">
            <v>Ukraine</v>
          </cell>
          <cell r="M45" t="str">
            <v>Oekraïne</v>
          </cell>
          <cell r="N45" t="str">
            <v>Ukraine</v>
          </cell>
          <cell r="O45" t="str">
            <v>უკრაინა</v>
          </cell>
          <cell r="P45" t="str">
            <v>Ukraine</v>
          </cell>
          <cell r="Q45" t="str">
            <v>Ουκρανία</v>
          </cell>
          <cell r="R45" t="str">
            <v>אוקראינה</v>
          </cell>
          <cell r="S45" t="str">
            <v>Ukrajna</v>
          </cell>
          <cell r="T45" t="str">
            <v>Ukraina</v>
          </cell>
          <cell r="U45" t="str">
            <v>Úkraína</v>
          </cell>
          <cell r="V45" t="str">
            <v>Ucraina</v>
          </cell>
          <cell r="W45" t="str">
            <v>우크라이나</v>
          </cell>
          <cell r="X45" t="str">
            <v>Ukraina</v>
          </cell>
          <cell r="Y45" t="str">
            <v>Украина</v>
          </cell>
          <cell r="Z45" t="str">
            <v>Ukraina</v>
          </cell>
          <cell r="AA45" t="str">
            <v>Ukraina</v>
          </cell>
          <cell r="AB45" t="str">
            <v>اوکراین</v>
          </cell>
          <cell r="AC45" t="str">
            <v>Ukraina</v>
          </cell>
          <cell r="AD45" t="str">
            <v>Ucrânia</v>
          </cell>
          <cell r="AE45" t="str">
            <v>Ucraina</v>
          </cell>
          <cell r="AF45" t="str">
            <v>Украјина</v>
          </cell>
          <cell r="AG45" t="str">
            <v>Ukrajina</v>
          </cell>
          <cell r="AH45" t="str">
            <v>Ukrajina</v>
          </cell>
          <cell r="AI45" t="str">
            <v>Ucrania</v>
          </cell>
          <cell r="AJ45" t="str">
            <v>Ukraina</v>
          </cell>
          <cell r="AK45" t="str">
            <v>ยูเครน</v>
          </cell>
          <cell r="AL45" t="str">
            <v>Ukrayna</v>
          </cell>
          <cell r="AM45" t="str">
            <v>Ukraina</v>
          </cell>
          <cell r="AN45" t="str">
            <v>Україна</v>
          </cell>
          <cell r="AO45" t="str">
            <v>یوکرائن</v>
          </cell>
        </row>
        <row r="46">
          <cell r="A46" t="str">
            <v>Turkey</v>
          </cell>
          <cell r="B46" t="str">
            <v>Turqi</v>
          </cell>
          <cell r="C46" t="str">
            <v>ديك رومي</v>
          </cell>
          <cell r="D46" t="str">
            <v>Turkey</v>
          </cell>
          <cell r="E46" t="str">
            <v>Turkey</v>
          </cell>
          <cell r="F46" t="str">
            <v>Турция</v>
          </cell>
          <cell r="G46" t="str">
            <v>Turquia</v>
          </cell>
          <cell r="H46" t="str">
            <v>火鸡</v>
          </cell>
          <cell r="I46" t="str">
            <v>火雞</v>
          </cell>
          <cell r="J46" t="str">
            <v>Turska</v>
          </cell>
          <cell r="K46" t="str">
            <v>Turecko</v>
          </cell>
          <cell r="L46" t="str">
            <v>Tyrkia</v>
          </cell>
          <cell r="M46" t="str">
            <v>Turkije</v>
          </cell>
          <cell r="N46" t="str">
            <v>Turquie</v>
          </cell>
          <cell r="O46" t="str">
            <v>თურქეთში</v>
          </cell>
          <cell r="P46" t="str">
            <v>Türkei</v>
          </cell>
          <cell r="Q46" t="str">
            <v>Turkey</v>
          </cell>
          <cell r="R46" t="str">
            <v>טורקיה</v>
          </cell>
          <cell r="S46" t="str">
            <v>Törökország</v>
          </cell>
          <cell r="T46" t="str">
            <v>Turki</v>
          </cell>
          <cell r="U46" t="str">
            <v>Tyrkland</v>
          </cell>
          <cell r="V46" t="str">
            <v>la Turchia</v>
          </cell>
          <cell r="W46" t="str">
            <v>터키</v>
          </cell>
          <cell r="X46" t="str">
            <v>Turkija</v>
          </cell>
          <cell r="Y46" t="str">
            <v>Турција</v>
          </cell>
          <cell r="Z46" t="str">
            <v>Turkija</v>
          </cell>
          <cell r="AA46" t="str">
            <v>Tyrkia</v>
          </cell>
          <cell r="AB46" t="str">
            <v>بوقلمون</v>
          </cell>
          <cell r="AC46" t="str">
            <v>Turcja</v>
          </cell>
          <cell r="AD46" t="str">
            <v>Turquia</v>
          </cell>
          <cell r="AE46" t="str">
            <v>Turcia</v>
          </cell>
          <cell r="AF46" t="str">
            <v>Турска</v>
          </cell>
          <cell r="AG46" t="str">
            <v>Turecko</v>
          </cell>
          <cell r="AH46" t="str">
            <v>Turkey</v>
          </cell>
          <cell r="AI46" t="str">
            <v>Turquía</v>
          </cell>
          <cell r="AJ46" t="str">
            <v>Turkey</v>
          </cell>
          <cell r="AK46" t="str">
            <v>ตุรกี</v>
          </cell>
          <cell r="AL46" t="str">
            <v>Türkiye</v>
          </cell>
          <cell r="AM46" t="str">
            <v>Thổ Nhĩ Kỳ</v>
          </cell>
          <cell r="AN46" t="str">
            <v>Туреччина</v>
          </cell>
          <cell r="AO46" t="str">
            <v>ترکی</v>
          </cell>
        </row>
        <row r="47">
          <cell r="A47" t="str">
            <v>Finland</v>
          </cell>
          <cell r="B47" t="str">
            <v>Finlandë</v>
          </cell>
          <cell r="C47" t="str">
            <v>فنلندا</v>
          </cell>
          <cell r="D47" t="str">
            <v>Ֆինլանդիա</v>
          </cell>
          <cell r="E47" t="str">
            <v>Finlandiya</v>
          </cell>
          <cell r="F47" t="str">
            <v>Финландия</v>
          </cell>
          <cell r="G47" t="str">
            <v>Finlàndia</v>
          </cell>
          <cell r="H47" t="str">
            <v>芬兰</v>
          </cell>
          <cell r="I47" t="str">
            <v>芬蘭</v>
          </cell>
          <cell r="J47" t="str">
            <v>Finska</v>
          </cell>
          <cell r="K47" t="str">
            <v>Finsko</v>
          </cell>
          <cell r="L47" t="str">
            <v>Finland</v>
          </cell>
          <cell r="M47" t="str">
            <v>Finland</v>
          </cell>
          <cell r="N47" t="str">
            <v>Finlande</v>
          </cell>
          <cell r="O47" t="str">
            <v>ფინეთი</v>
          </cell>
          <cell r="P47" t="str">
            <v>Finnland</v>
          </cell>
          <cell r="Q47" t="str">
            <v>Φινλανδία</v>
          </cell>
          <cell r="R47" t="str">
            <v>פינלנד</v>
          </cell>
          <cell r="S47" t="str">
            <v>Finnország</v>
          </cell>
          <cell r="T47" t="str">
            <v>Finlandia</v>
          </cell>
          <cell r="U47" t="str">
            <v>Finnland</v>
          </cell>
          <cell r="V47" t="str">
            <v>Finlandia</v>
          </cell>
          <cell r="W47" t="str">
            <v>핀란드</v>
          </cell>
          <cell r="X47" t="str">
            <v>Suomija</v>
          </cell>
          <cell r="Y47" t="str">
            <v>Финска</v>
          </cell>
          <cell r="Z47" t="str">
            <v>Il-Finlandja</v>
          </cell>
          <cell r="AA47" t="str">
            <v>Finland</v>
          </cell>
          <cell r="AB47" t="str">
            <v>فنلاند</v>
          </cell>
          <cell r="AC47" t="str">
            <v>Finlandia</v>
          </cell>
          <cell r="AD47" t="str">
            <v>Finlândia</v>
          </cell>
          <cell r="AE47" t="str">
            <v>Finlanda</v>
          </cell>
          <cell r="AF47" t="str">
            <v>Финска</v>
          </cell>
          <cell r="AG47" t="str">
            <v>Fínsko</v>
          </cell>
          <cell r="AH47" t="str">
            <v>Finska</v>
          </cell>
          <cell r="AI47" t="str">
            <v>Finlandia</v>
          </cell>
          <cell r="AJ47" t="str">
            <v>Finland</v>
          </cell>
          <cell r="AK47" t="str">
            <v>ฟินแลนด์</v>
          </cell>
          <cell r="AL47" t="str">
            <v>Finlandiya</v>
          </cell>
          <cell r="AM47" t="str">
            <v>PhầN Lan</v>
          </cell>
          <cell r="AN47" t="str">
            <v>Фінляндія</v>
          </cell>
          <cell r="AO47" t="str">
            <v>فن لینڈ</v>
          </cell>
        </row>
        <row r="48">
          <cell r="A48" t="str">
            <v>Netherlands</v>
          </cell>
          <cell r="B48" t="str">
            <v>Holandë</v>
          </cell>
          <cell r="C48" t="str">
            <v>هولندا</v>
          </cell>
          <cell r="D48" t="str">
            <v>Netherlands</v>
          </cell>
          <cell r="E48" t="str">
            <v>Hollandiya</v>
          </cell>
          <cell r="F48" t="str">
            <v>Холандия</v>
          </cell>
          <cell r="G48" t="str">
            <v>Països Baixos</v>
          </cell>
          <cell r="H48" t="str">
            <v>荷兰</v>
          </cell>
          <cell r="I48" t="str">
            <v>荷蘭</v>
          </cell>
          <cell r="J48" t="str">
            <v>Nizozemska</v>
          </cell>
          <cell r="K48" t="str">
            <v>Holandsko</v>
          </cell>
          <cell r="L48" t="str">
            <v>Holland</v>
          </cell>
          <cell r="M48" t="str">
            <v>Nederland</v>
          </cell>
          <cell r="N48" t="str">
            <v>Pays-Bas</v>
          </cell>
          <cell r="O48" t="str">
            <v>ნიდერლანდები</v>
          </cell>
          <cell r="P48" t="str">
            <v>Niederlande</v>
          </cell>
          <cell r="Q48" t="str">
            <v>Ολλανδία</v>
          </cell>
          <cell r="R48" t="str">
            <v>הולנד</v>
          </cell>
          <cell r="S48" t="str">
            <v>Hollandia</v>
          </cell>
          <cell r="T48" t="str">
            <v>Belanda</v>
          </cell>
          <cell r="U48" t="str">
            <v>Holland</v>
          </cell>
          <cell r="V48" t="str">
            <v>Olanda</v>
          </cell>
          <cell r="W48" t="str">
            <v>네덜란드</v>
          </cell>
          <cell r="X48" t="str">
            <v>Nyderlandai</v>
          </cell>
          <cell r="Y48" t="str">
            <v>Холандија</v>
          </cell>
          <cell r="Z48" t="str">
            <v>Pajjiżi L-Baxxi</v>
          </cell>
          <cell r="AA48" t="str">
            <v>Nederland</v>
          </cell>
          <cell r="AB48" t="str">
            <v>هلند</v>
          </cell>
          <cell r="AC48" t="str">
            <v>Holandia</v>
          </cell>
          <cell r="AD48" t="str">
            <v>Países Baixos</v>
          </cell>
          <cell r="AE48" t="str">
            <v>Olanda</v>
          </cell>
          <cell r="AF48" t="str">
            <v>Низоземска</v>
          </cell>
          <cell r="AG48" t="str">
            <v>Holandsko</v>
          </cell>
          <cell r="AH48" t="str">
            <v>Nizozemska</v>
          </cell>
          <cell r="AI48" t="str">
            <v>Países Bajos</v>
          </cell>
          <cell r="AJ48" t="str">
            <v>Nederländerna</v>
          </cell>
          <cell r="AK48" t="str">
            <v>เนเธอร์แลนด์</v>
          </cell>
          <cell r="AL48" t="str">
            <v>Hollanda</v>
          </cell>
          <cell r="AM48" t="str">
            <v>NướC Hà Lan</v>
          </cell>
          <cell r="AN48" t="str">
            <v>Нідерланди</v>
          </cell>
          <cell r="AO48" t="str">
            <v>ہالینڈ</v>
          </cell>
        </row>
        <row r="49">
          <cell r="A49" t="str">
            <v>North Macedonia</v>
          </cell>
          <cell r="B49" t="str">
            <v>North Maqedoni</v>
          </cell>
          <cell r="C49" t="str">
            <v>شمال مقدونيا</v>
          </cell>
          <cell r="D49" t="str">
            <v>Հյուսիս Մակեդոնիա</v>
          </cell>
          <cell r="E49" t="str">
            <v>Şimali Makedoniya</v>
          </cell>
          <cell r="F49" t="str">
            <v>Северна Македония</v>
          </cell>
          <cell r="G49" t="str">
            <v>Nord Macedònia</v>
          </cell>
          <cell r="H49" t="str">
            <v>北马其顿</v>
          </cell>
          <cell r="I49" t="str">
            <v>北馬其頓</v>
          </cell>
          <cell r="J49" t="str">
            <v>Sjeverna Makedonija</v>
          </cell>
          <cell r="K49" t="str">
            <v>Severní Makedonie</v>
          </cell>
          <cell r="L49" t="str">
            <v>Nordmakedonien</v>
          </cell>
          <cell r="M49" t="str">
            <v>Noord-Macedonië</v>
          </cell>
          <cell r="N49" t="str">
            <v>Macédoine Du Nord</v>
          </cell>
          <cell r="O49" t="str">
            <v>ჩრდილოეთ მაკედონია</v>
          </cell>
          <cell r="P49" t="str">
            <v>Nord Mazedonien</v>
          </cell>
          <cell r="Q49" t="str">
            <v>Βόρεια Μακεδονία</v>
          </cell>
          <cell r="R49" t="str">
            <v>צפון מקדוניה</v>
          </cell>
          <cell r="S49" t="str">
            <v>Észak-Macedónia</v>
          </cell>
          <cell r="T49" t="str">
            <v>Utara Makedonia</v>
          </cell>
          <cell r="U49" t="str">
            <v>Norður-Makedónía</v>
          </cell>
          <cell r="V49" t="str">
            <v>Nord Macedonia</v>
          </cell>
          <cell r="W49" t="str">
            <v>북 마케도니아</v>
          </cell>
          <cell r="X49" t="str">
            <v>Šiaurės Makedonija</v>
          </cell>
          <cell r="Y49" t="str">
            <v>Северна Македонија</v>
          </cell>
          <cell r="Z49" t="str">
            <v>Tramuntana Maċedonja</v>
          </cell>
          <cell r="AA49" t="str">
            <v>Nord-Makedonia</v>
          </cell>
          <cell r="AB49" t="str">
            <v>شمالی مقدونیه</v>
          </cell>
          <cell r="AC49" t="str">
            <v>Północna Macedonia</v>
          </cell>
          <cell r="AD49" t="str">
            <v>Norte Macedônia</v>
          </cell>
          <cell r="AE49" t="str">
            <v>Macedonia De Nord</v>
          </cell>
          <cell r="AF49" t="str">
            <v>Северна Македонија</v>
          </cell>
          <cell r="AG49" t="str">
            <v>Severné Macedónsko</v>
          </cell>
          <cell r="AH49" t="str">
            <v>Severna Makedonija</v>
          </cell>
          <cell r="AI49" t="str">
            <v>Norte Macedonia</v>
          </cell>
          <cell r="AJ49" t="str">
            <v>Nordmakedonien</v>
          </cell>
          <cell r="AK49" t="str">
            <v>นอร์ทมาซิโดเนีย</v>
          </cell>
          <cell r="AL49" t="str">
            <v>Kuzey Makedonya</v>
          </cell>
          <cell r="AM49" t="str">
            <v>BắC Macedonia</v>
          </cell>
          <cell r="AN49" t="str">
            <v>Північна Македонія</v>
          </cell>
          <cell r="AO49" t="str">
            <v>شمالی مقدونیہ</v>
          </cell>
        </row>
        <row r="50">
          <cell r="A50" t="str">
            <v>Scotland</v>
          </cell>
          <cell r="B50" t="str">
            <v>Skoci</v>
          </cell>
          <cell r="C50" t="str">
            <v>أسكتلندا</v>
          </cell>
          <cell r="D50" t="str">
            <v>Շոտլանդիա</v>
          </cell>
          <cell r="E50" t="str">
            <v>Şotlandiya</v>
          </cell>
          <cell r="F50" t="str">
            <v>Шотландия</v>
          </cell>
          <cell r="G50" t="str">
            <v>Escòcia</v>
          </cell>
          <cell r="H50" t="str">
            <v>苏格兰</v>
          </cell>
          <cell r="I50" t="str">
            <v>蘇格蘭</v>
          </cell>
          <cell r="J50" t="str">
            <v>Škotska</v>
          </cell>
          <cell r="K50" t="str">
            <v>Skotsko</v>
          </cell>
          <cell r="L50" t="str">
            <v>Skotland</v>
          </cell>
          <cell r="M50" t="str">
            <v>Schotland</v>
          </cell>
          <cell r="N50" t="str">
            <v>Écosse</v>
          </cell>
          <cell r="O50" t="str">
            <v>შოტლანდია</v>
          </cell>
          <cell r="P50" t="str">
            <v>Schottland</v>
          </cell>
          <cell r="Q50" t="str">
            <v>Σκωτία</v>
          </cell>
          <cell r="R50" t="str">
            <v>סקוטלנד</v>
          </cell>
          <cell r="S50" t="str">
            <v>Skócia</v>
          </cell>
          <cell r="T50" t="str">
            <v>Skotlandia</v>
          </cell>
          <cell r="U50" t="str">
            <v>Scotland</v>
          </cell>
          <cell r="V50" t="str">
            <v>Scozia</v>
          </cell>
          <cell r="W50" t="str">
            <v>스코틀랜드</v>
          </cell>
          <cell r="X50" t="str">
            <v>Škotija</v>
          </cell>
          <cell r="Y50" t="str">
            <v>Шкотска</v>
          </cell>
          <cell r="Z50" t="str">
            <v>Iskozja</v>
          </cell>
          <cell r="AA50" t="str">
            <v>Skottland</v>
          </cell>
          <cell r="AB50" t="str">
            <v>اسکاتلند</v>
          </cell>
          <cell r="AC50" t="str">
            <v>Szkocja</v>
          </cell>
          <cell r="AD50" t="str">
            <v>Escócia</v>
          </cell>
          <cell r="AE50" t="str">
            <v>Scoţia</v>
          </cell>
          <cell r="AF50" t="str">
            <v>Шкотска</v>
          </cell>
          <cell r="AG50" t="str">
            <v>Škótsko</v>
          </cell>
          <cell r="AH50" t="str">
            <v>Škotska</v>
          </cell>
          <cell r="AI50" t="str">
            <v>Escocia</v>
          </cell>
          <cell r="AJ50" t="str">
            <v>Skottland</v>
          </cell>
          <cell r="AK50" t="str">
            <v>ก็อตแลนด์</v>
          </cell>
          <cell r="AL50" t="str">
            <v>İskoçya</v>
          </cell>
          <cell r="AM50" t="str">
            <v>Scotland</v>
          </cell>
          <cell r="AN50" t="str">
            <v>Шотландія</v>
          </cell>
          <cell r="AO50" t="str">
            <v>اسکاٹ لینڈ</v>
          </cell>
        </row>
        <row r="51">
          <cell r="A51" t="str">
            <v>Slovakia</v>
          </cell>
          <cell r="B51" t="str">
            <v>Slovakia</v>
          </cell>
          <cell r="C51" t="str">
            <v>سلوفاكيا</v>
          </cell>
          <cell r="D51" t="str">
            <v>Սլովակիա</v>
          </cell>
          <cell r="E51" t="str">
            <v>Slovakiya</v>
          </cell>
          <cell r="F51" t="str">
            <v>Словакия</v>
          </cell>
          <cell r="G51" t="str">
            <v>Eslovàquia</v>
          </cell>
          <cell r="H51" t="str">
            <v>斯洛伐克</v>
          </cell>
          <cell r="I51" t="str">
            <v>斯洛伐克</v>
          </cell>
          <cell r="J51" t="str">
            <v>Slovačka</v>
          </cell>
          <cell r="K51" t="str">
            <v>Slovensko</v>
          </cell>
          <cell r="L51" t="str">
            <v>Slovakiet</v>
          </cell>
          <cell r="M51" t="str">
            <v>Slowakije</v>
          </cell>
          <cell r="N51" t="str">
            <v>Slovaquie</v>
          </cell>
          <cell r="O51" t="str">
            <v>სლოვაკეთი</v>
          </cell>
          <cell r="P51" t="str">
            <v>Slowakei</v>
          </cell>
          <cell r="Q51" t="str">
            <v>Σλοβακία</v>
          </cell>
          <cell r="R51" t="str">
            <v>סלובקיה</v>
          </cell>
          <cell r="S51" t="str">
            <v>Szlovákia</v>
          </cell>
          <cell r="T51" t="str">
            <v>Slovakia</v>
          </cell>
          <cell r="U51" t="str">
            <v>Slovakia</v>
          </cell>
          <cell r="V51" t="str">
            <v>Slovacchia</v>
          </cell>
          <cell r="W51" t="str">
            <v>슬로바키아</v>
          </cell>
          <cell r="X51" t="str">
            <v>Slovakija</v>
          </cell>
          <cell r="Y51" t="str">
            <v>Словачка</v>
          </cell>
          <cell r="Z51" t="str">
            <v>Slovakkja</v>
          </cell>
          <cell r="AA51" t="str">
            <v>Slovakia</v>
          </cell>
          <cell r="AB51" t="str">
            <v>اسلواکی</v>
          </cell>
          <cell r="AC51" t="str">
            <v>Słowacja</v>
          </cell>
          <cell r="AD51" t="str">
            <v>Eslováquia</v>
          </cell>
          <cell r="AE51" t="str">
            <v>Slovacia</v>
          </cell>
          <cell r="AF51" t="str">
            <v>Словачка</v>
          </cell>
          <cell r="AG51" t="str">
            <v>Slovensko</v>
          </cell>
          <cell r="AH51" t="str">
            <v>Slovaška</v>
          </cell>
          <cell r="AI51" t="str">
            <v>Eslovaquia</v>
          </cell>
          <cell r="AJ51" t="str">
            <v>Slovakien</v>
          </cell>
          <cell r="AK51" t="str">
            <v>สโลวะเกีย</v>
          </cell>
          <cell r="AL51" t="str">
            <v>Slovakya</v>
          </cell>
          <cell r="AM51" t="str">
            <v>Slovakia</v>
          </cell>
          <cell r="AN51" t="str">
            <v>Словаччина</v>
          </cell>
          <cell r="AO51" t="str">
            <v>سلوواکیہ</v>
          </cell>
        </row>
        <row r="52">
          <cell r="A52" t="str">
            <v>Germany</v>
          </cell>
          <cell r="B52" t="str">
            <v>Gjermani</v>
          </cell>
          <cell r="C52" t="str">
            <v>ألمانيا</v>
          </cell>
          <cell r="D52" t="str">
            <v>Գերմանիա</v>
          </cell>
          <cell r="E52" t="str">
            <v>Almaniya</v>
          </cell>
          <cell r="F52" t="str">
            <v>Германия</v>
          </cell>
          <cell r="G52" t="str">
            <v>Alemanya</v>
          </cell>
          <cell r="H52" t="str">
            <v>德国</v>
          </cell>
          <cell r="I52" t="str">
            <v>德國</v>
          </cell>
          <cell r="J52" t="str">
            <v>Njemačka</v>
          </cell>
          <cell r="K52" t="str">
            <v>Německo</v>
          </cell>
          <cell r="L52" t="str">
            <v>Tyskland</v>
          </cell>
          <cell r="M52" t="str">
            <v>Duitsland</v>
          </cell>
          <cell r="N52" t="str">
            <v>Allemagne</v>
          </cell>
          <cell r="O52" t="str">
            <v>გერმანია</v>
          </cell>
          <cell r="P52" t="str">
            <v>Deutschland</v>
          </cell>
          <cell r="Q52" t="str">
            <v>Γερμανία</v>
          </cell>
          <cell r="R52" t="str">
            <v>גרמניה</v>
          </cell>
          <cell r="S52" t="str">
            <v>Németország</v>
          </cell>
          <cell r="T52" t="str">
            <v>Jerman</v>
          </cell>
          <cell r="U52" t="str">
            <v>Þýskaland</v>
          </cell>
          <cell r="V52" t="str">
            <v>Germania</v>
          </cell>
          <cell r="W52" t="str">
            <v>독일</v>
          </cell>
          <cell r="X52" t="str">
            <v>Vokietija</v>
          </cell>
          <cell r="Y52" t="str">
            <v>германија</v>
          </cell>
          <cell r="Z52" t="str">
            <v>Ġermanja</v>
          </cell>
          <cell r="AA52" t="str">
            <v>Tyskland</v>
          </cell>
          <cell r="AB52" t="str">
            <v>آلمان</v>
          </cell>
          <cell r="AC52" t="str">
            <v>Niemcy</v>
          </cell>
          <cell r="AD52" t="str">
            <v>Alemanha</v>
          </cell>
          <cell r="AE52" t="str">
            <v>Germania</v>
          </cell>
          <cell r="AF52" t="str">
            <v>Немачка</v>
          </cell>
          <cell r="AG52" t="str">
            <v>nemecko</v>
          </cell>
          <cell r="AH52" t="str">
            <v>Nemčija</v>
          </cell>
          <cell r="AI52" t="str">
            <v>Alemania</v>
          </cell>
          <cell r="AJ52" t="str">
            <v>Tyskland</v>
          </cell>
          <cell r="AK52" t="str">
            <v>ประเทศเยอรมัน</v>
          </cell>
          <cell r="AL52" t="str">
            <v>Almanya</v>
          </cell>
          <cell r="AM52" t="str">
            <v>Đức</v>
          </cell>
          <cell r="AN52" t="str">
            <v>Німеччина</v>
          </cell>
          <cell r="AO52" t="str">
            <v>جرمنی</v>
          </cell>
        </row>
        <row r="54">
          <cell r="A54" t="str">
            <v>Wales</v>
          </cell>
          <cell r="B54" t="str">
            <v>Uells</v>
          </cell>
          <cell r="C54" t="str">
            <v>ويلز</v>
          </cell>
          <cell r="D54" t="str">
            <v>Wales</v>
          </cell>
          <cell r="E54" t="str">
            <v>Wales</v>
          </cell>
          <cell r="F54" t="str">
            <v>Уелс</v>
          </cell>
          <cell r="G54" t="str">
            <v>Gal·les</v>
          </cell>
          <cell r="H54" t="str">
            <v>威尔士</v>
          </cell>
          <cell r="I54" t="str">
            <v>威爾士</v>
          </cell>
          <cell r="J54" t="str">
            <v>Vels</v>
          </cell>
          <cell r="K54" t="str">
            <v>Wales</v>
          </cell>
          <cell r="L54" t="str">
            <v>Wales</v>
          </cell>
          <cell r="M54" t="str">
            <v>Wales</v>
          </cell>
          <cell r="N54" t="str">
            <v>Pays de Galles</v>
          </cell>
          <cell r="O54" t="str">
            <v>უელსი</v>
          </cell>
          <cell r="P54" t="str">
            <v>Wales</v>
          </cell>
          <cell r="Q54" t="str">
            <v>Ουαλία</v>
          </cell>
          <cell r="R54" t="str">
            <v>ויילס</v>
          </cell>
          <cell r="S54" t="str">
            <v>Wales</v>
          </cell>
          <cell r="T54" t="str">
            <v>Wales</v>
          </cell>
          <cell r="U54" t="str">
            <v>Wales</v>
          </cell>
          <cell r="V54" t="str">
            <v>Galles</v>
          </cell>
          <cell r="W54" t="str">
            <v>웨일즈</v>
          </cell>
          <cell r="X54" t="str">
            <v>Velsas</v>
          </cell>
          <cell r="Y54" t="str">
            <v>Велс</v>
          </cell>
          <cell r="Z54" t="str">
            <v>wales</v>
          </cell>
          <cell r="AA54" t="str">
            <v>Wales</v>
          </cell>
          <cell r="AB54" t="str">
            <v>ولز</v>
          </cell>
          <cell r="AC54" t="str">
            <v>Walia</v>
          </cell>
          <cell r="AD54" t="str">
            <v>país de Gales</v>
          </cell>
          <cell r="AE54" t="str">
            <v>Țara Galilor</v>
          </cell>
          <cell r="AF54" t="str">
            <v>Велс</v>
          </cell>
          <cell r="AG54" t="str">
            <v>Wales</v>
          </cell>
          <cell r="AH54" t="str">
            <v>Wales</v>
          </cell>
          <cell r="AI54" t="str">
            <v>Gales</v>
          </cell>
          <cell r="AJ54" t="str">
            <v>wales</v>
          </cell>
          <cell r="AK54" t="str">
            <v>เวลส์</v>
          </cell>
          <cell r="AL54" t="str">
            <v>Galler</v>
          </cell>
          <cell r="AM54" t="str">
            <v>xứ Wales</v>
          </cell>
          <cell r="AN54" t="str">
            <v>Уельс</v>
          </cell>
          <cell r="AO54" t="str">
            <v>ویلز</v>
          </cell>
        </row>
        <row r="55">
          <cell r="A55" t="str">
            <v>Croatia</v>
          </cell>
          <cell r="B55" t="str">
            <v>Kroacia</v>
          </cell>
          <cell r="C55" t="str">
            <v>كرواتيا</v>
          </cell>
          <cell r="D55" t="str">
            <v>Խորվաթիա</v>
          </cell>
          <cell r="E55" t="str">
            <v>Xorvatiya</v>
          </cell>
          <cell r="F55" t="str">
            <v>Хърватия</v>
          </cell>
          <cell r="G55" t="str">
            <v>Croàcia</v>
          </cell>
          <cell r="H55" t="str">
            <v>克罗地亚</v>
          </cell>
          <cell r="I55" t="str">
            <v>克羅地亞</v>
          </cell>
          <cell r="J55" t="str">
            <v>Hrvatska</v>
          </cell>
          <cell r="K55" t="str">
            <v>Chorvatsko</v>
          </cell>
          <cell r="L55" t="str">
            <v>Kroatien</v>
          </cell>
          <cell r="M55" t="str">
            <v>Kroatië</v>
          </cell>
          <cell r="N55" t="str">
            <v>Croatie</v>
          </cell>
          <cell r="O55" t="str">
            <v>ხორვატია</v>
          </cell>
          <cell r="P55" t="str">
            <v>Kroatien</v>
          </cell>
          <cell r="Q55" t="str">
            <v>Κροατία</v>
          </cell>
          <cell r="R55" t="str">
            <v>קרואטיה</v>
          </cell>
          <cell r="S55" t="str">
            <v>Horvátország</v>
          </cell>
          <cell r="T55" t="str">
            <v>Kroasia</v>
          </cell>
          <cell r="U55" t="str">
            <v>Croatia</v>
          </cell>
          <cell r="V55" t="str">
            <v>Croazia</v>
          </cell>
          <cell r="W55" t="str">
            <v>크로아티아</v>
          </cell>
          <cell r="X55" t="str">
            <v>Kroatija</v>
          </cell>
          <cell r="Y55" t="str">
            <v>хрватска</v>
          </cell>
          <cell r="Z55" t="str">
            <v>Kroazja</v>
          </cell>
          <cell r="AA55" t="str">
            <v>Kroatia</v>
          </cell>
          <cell r="AB55" t="str">
            <v>کرواسی</v>
          </cell>
          <cell r="AC55" t="str">
            <v>Chorwacja</v>
          </cell>
          <cell r="AD55" t="str">
            <v>Croácia</v>
          </cell>
          <cell r="AE55" t="str">
            <v>Croația</v>
          </cell>
          <cell r="AF55" t="str">
            <v>Хрватска</v>
          </cell>
          <cell r="AG55" t="str">
            <v>chorvátsko</v>
          </cell>
          <cell r="AH55" t="str">
            <v>Hrvaška</v>
          </cell>
          <cell r="AI55" t="str">
            <v>Croacia</v>
          </cell>
          <cell r="AJ55" t="str">
            <v>Kroatien</v>
          </cell>
          <cell r="AK55" t="str">
            <v>โครเอเชีย</v>
          </cell>
          <cell r="AL55" t="str">
            <v>Hırvatistan</v>
          </cell>
          <cell r="AM55" t="str">
            <v>Croatia</v>
          </cell>
          <cell r="AN55" t="str">
            <v>Хорватія</v>
          </cell>
          <cell r="AO55" t="str">
            <v>کروشیا</v>
          </cell>
        </row>
        <row r="56">
          <cell r="A56" t="str">
            <v>Northern Ireland</v>
          </cell>
          <cell r="B56" t="str">
            <v>Irlanada veriore</v>
          </cell>
          <cell r="C56" t="str">
            <v>إيرلندا الشمالية</v>
          </cell>
          <cell r="D56" t="str">
            <v>Հյուսիսային Իռլանդիա</v>
          </cell>
          <cell r="E56" t="str">
            <v>Şimali irlandiya</v>
          </cell>
          <cell r="F56" t="str">
            <v>Северна Ирландия</v>
          </cell>
          <cell r="G56" t="str">
            <v>Irlanda del Nord</v>
          </cell>
          <cell r="H56" t="str">
            <v>北爱尔兰</v>
          </cell>
          <cell r="I56" t="str">
            <v>北愛爾蘭</v>
          </cell>
          <cell r="J56" t="str">
            <v>Sjeverna Irska</v>
          </cell>
          <cell r="K56" t="str">
            <v>Severní Irsko</v>
          </cell>
          <cell r="L56" t="str">
            <v>Nordirland</v>
          </cell>
          <cell r="M56" t="str">
            <v>Noord-Ierland</v>
          </cell>
          <cell r="N56" t="str">
            <v>Irlande du nord</v>
          </cell>
          <cell r="O56" t="str">
            <v>ჩრდილოეთ ირლანდია</v>
          </cell>
          <cell r="P56" t="str">
            <v>Nordirland</v>
          </cell>
          <cell r="Q56" t="str">
            <v>Βόρεια Ιρλανδία</v>
          </cell>
          <cell r="R56" t="str">
            <v>אירלנד הצפונית</v>
          </cell>
          <cell r="S56" t="str">
            <v>Észak-Írország</v>
          </cell>
          <cell r="T56" t="str">
            <v>Irlandia Utara</v>
          </cell>
          <cell r="U56" t="str">
            <v>Norður Írland</v>
          </cell>
          <cell r="V56" t="str">
            <v>Irlanda del nord</v>
          </cell>
          <cell r="W56" t="str">
            <v>북 아일랜드</v>
          </cell>
          <cell r="X56" t="str">
            <v>Šiaurės Airija</v>
          </cell>
          <cell r="Y56" t="str">
            <v>Северна Ирска</v>
          </cell>
          <cell r="Z56" t="str">
            <v>Irlanda ta 'Fuq</v>
          </cell>
          <cell r="AA56" t="str">
            <v>Nord-Irland</v>
          </cell>
          <cell r="AB56" t="str">
            <v>ایرلند شمالی</v>
          </cell>
          <cell r="AC56" t="str">
            <v>Irlandia Północna</v>
          </cell>
          <cell r="AD56" t="str">
            <v>Irlanda do Norte</v>
          </cell>
          <cell r="AE56" t="str">
            <v>Irlanda de Nord</v>
          </cell>
          <cell r="AF56" t="str">
            <v>Северна Ирска</v>
          </cell>
          <cell r="AG56" t="str">
            <v>Severné Írsko</v>
          </cell>
          <cell r="AH56" t="str">
            <v>Severna Irska</v>
          </cell>
          <cell r="AI56" t="str">
            <v>Irlanda del Norte</v>
          </cell>
          <cell r="AJ56" t="str">
            <v>Norra Irland</v>
          </cell>
          <cell r="AK56" t="str">
            <v>ไอร์แลนด์เหนือ</v>
          </cell>
          <cell r="AL56" t="str">
            <v>Kuzey Irlanda</v>
          </cell>
          <cell r="AM56" t="str">
            <v>Bắc Ireland</v>
          </cell>
          <cell r="AN56" t="str">
            <v>Північна Ірландія</v>
          </cell>
          <cell r="AO56" t="str">
            <v>شمالی آئر لینڈ</v>
          </cell>
        </row>
        <row r="57">
          <cell r="A57" t="str">
            <v>Switzerland</v>
          </cell>
          <cell r="B57" t="str">
            <v>Zvicër</v>
          </cell>
          <cell r="C57" t="str">
            <v>سويسرا</v>
          </cell>
          <cell r="D57" t="str">
            <v>Շվեյցարիա</v>
          </cell>
          <cell r="E57" t="str">
            <v>İsveçrə</v>
          </cell>
          <cell r="F57" t="str">
            <v>Швейцария</v>
          </cell>
          <cell r="G57" t="str">
            <v>Suïssa</v>
          </cell>
          <cell r="H57" t="str">
            <v>瑞士</v>
          </cell>
          <cell r="I57" t="str">
            <v>瑞士</v>
          </cell>
          <cell r="J57" t="str">
            <v>Švajcarska</v>
          </cell>
          <cell r="K57" t="str">
            <v>Švýcarsko</v>
          </cell>
          <cell r="L57" t="str">
            <v>Schweiz</v>
          </cell>
          <cell r="M57" t="str">
            <v>Zwitserland</v>
          </cell>
          <cell r="N57" t="str">
            <v>Suisse</v>
          </cell>
          <cell r="O57" t="str">
            <v>შვეიცარია</v>
          </cell>
          <cell r="P57" t="str">
            <v>Schweiz</v>
          </cell>
          <cell r="Q57" t="str">
            <v>Ελβετία</v>
          </cell>
          <cell r="R57" t="str">
            <v>שוויץ</v>
          </cell>
          <cell r="S57" t="str">
            <v>Svájc</v>
          </cell>
          <cell r="T57" t="str">
            <v>Swiss</v>
          </cell>
          <cell r="U57" t="str">
            <v>Sviss</v>
          </cell>
          <cell r="V57" t="str">
            <v>Svizzera</v>
          </cell>
          <cell r="W57" t="str">
            <v>스위스</v>
          </cell>
          <cell r="X57" t="str">
            <v>Šveicarija</v>
          </cell>
          <cell r="Y57" t="str">
            <v>Швајцарија</v>
          </cell>
          <cell r="Z57" t="str">
            <v>Isvizzera</v>
          </cell>
          <cell r="AA57" t="str">
            <v>Sveits</v>
          </cell>
          <cell r="AB57" t="str">
            <v>سویس</v>
          </cell>
          <cell r="AC57" t="str">
            <v>Szwajcaria</v>
          </cell>
          <cell r="AD57" t="str">
            <v>Suíça</v>
          </cell>
          <cell r="AE57" t="str">
            <v>Elveția</v>
          </cell>
          <cell r="AF57" t="str">
            <v>Швајцарска</v>
          </cell>
          <cell r="AG57" t="str">
            <v>švajčiarsko</v>
          </cell>
          <cell r="AH57" t="str">
            <v>Švica</v>
          </cell>
          <cell r="AI57" t="str">
            <v>Suiza</v>
          </cell>
          <cell r="AJ57" t="str">
            <v>Schweiz</v>
          </cell>
          <cell r="AK57" t="str">
            <v>ประเทศสวิสเซอร์แลนด์</v>
          </cell>
          <cell r="AL57" t="str">
            <v>İsviçre</v>
          </cell>
          <cell r="AM57" t="str">
            <v>Thụy Sĩ</v>
          </cell>
          <cell r="AN57" t="str">
            <v>Швейцарія</v>
          </cell>
          <cell r="AO57" t="str">
            <v>سوئٹزرلینڈ</v>
          </cell>
        </row>
        <row r="58">
          <cell r="A58" t="str">
            <v>Czech Republic</v>
          </cell>
          <cell r="B58" t="str">
            <v>Republika Çeke</v>
          </cell>
          <cell r="C58" t="str">
            <v>جمهورية التشيك</v>
          </cell>
          <cell r="D58" t="str">
            <v>Չեխիայի Հանրապետություն</v>
          </cell>
          <cell r="E58" t="str">
            <v>Çexiya Respublikası</v>
          </cell>
          <cell r="F58" t="str">
            <v>Чехия</v>
          </cell>
          <cell r="G58" t="str">
            <v>República Txeca</v>
          </cell>
          <cell r="H58" t="str">
            <v>捷克共和国</v>
          </cell>
          <cell r="I58" t="str">
            <v>捷克共和國</v>
          </cell>
          <cell r="J58" t="str">
            <v>Češka Republika</v>
          </cell>
          <cell r="K58" t="str">
            <v>Česko</v>
          </cell>
          <cell r="L58" t="str">
            <v>Tjekkiet</v>
          </cell>
          <cell r="M58" t="str">
            <v>Tsjechische Republiek</v>
          </cell>
          <cell r="N58" t="str">
            <v>Rép. Tchèque</v>
          </cell>
          <cell r="O58" t="str">
            <v>ჩეხეთის რესპუბლიკა</v>
          </cell>
          <cell r="P58" t="str">
            <v>Tschechien</v>
          </cell>
          <cell r="Q58" t="str">
            <v>Τσεχική Δημοκρατία</v>
          </cell>
          <cell r="R58" t="str">
            <v>הרפובליקה הצ'כית</v>
          </cell>
          <cell r="S58" t="str">
            <v>Cseh Köztársaság</v>
          </cell>
          <cell r="T58" t="str">
            <v>Republik Ceko</v>
          </cell>
          <cell r="U58" t="str">
            <v>Tékkland</v>
          </cell>
          <cell r="V58" t="str">
            <v>Repubblica Ceca</v>
          </cell>
          <cell r="W58" t="str">
            <v>체코 공화국</v>
          </cell>
          <cell r="X58" t="str">
            <v>Čekijos Respublika</v>
          </cell>
          <cell r="Y58" t="str">
            <v>Република Чешка</v>
          </cell>
          <cell r="Z58" t="str">
            <v>Repubblika Ċeka</v>
          </cell>
          <cell r="AA58" t="str">
            <v>Tsjekkia</v>
          </cell>
          <cell r="AB58" t="str">
            <v>جمهوری چک</v>
          </cell>
          <cell r="AC58" t="str">
            <v>Czechy</v>
          </cell>
          <cell r="AD58" t="str">
            <v>República Checa</v>
          </cell>
          <cell r="AE58" t="str">
            <v>Republica Cehă</v>
          </cell>
          <cell r="AF58" t="str">
            <v>Чешка</v>
          </cell>
          <cell r="AG58" t="str">
            <v>Česká republika</v>
          </cell>
          <cell r="AH58" t="str">
            <v>Češka</v>
          </cell>
          <cell r="AI58" t="str">
            <v>República Checa</v>
          </cell>
          <cell r="AJ58" t="str">
            <v>Tjeckien</v>
          </cell>
          <cell r="AK58" t="str">
            <v>สาธารณรัฐเช็ก</v>
          </cell>
          <cell r="AL58" t="str">
            <v>Çek Cumhuriyeti</v>
          </cell>
          <cell r="AM58" t="str">
            <v>Cộng hòa Séc</v>
          </cell>
          <cell r="AN58" t="str">
            <v>Чеська Республіка</v>
          </cell>
          <cell r="AO58" t="str">
            <v>جمہوریہ چیک</v>
          </cell>
        </row>
        <row r="59">
          <cell r="A59" t="str">
            <v>Republic of Ireland</v>
          </cell>
          <cell r="B59" t="str">
            <v>Republika e Irlandës</v>
          </cell>
          <cell r="C59" t="str">
            <v>جمهورية ايرلندا</v>
          </cell>
          <cell r="D59" t="str">
            <v>Իռլանդիա</v>
          </cell>
          <cell r="E59" t="str">
            <v>İrlandiya Respublikası</v>
          </cell>
          <cell r="F59" t="str">
            <v>Република Ирландия</v>
          </cell>
          <cell r="G59" t="str">
            <v>República d'Irlanda</v>
          </cell>
          <cell r="H59" t="str">
            <v>爱尔兰</v>
          </cell>
          <cell r="I59" t="str">
            <v>愛爾蘭</v>
          </cell>
          <cell r="J59" t="str">
            <v>Republika Irska</v>
          </cell>
          <cell r="K59" t="str">
            <v>Irsko</v>
          </cell>
          <cell r="L59" t="str">
            <v>Irland</v>
          </cell>
          <cell r="M59" t="str">
            <v>republiek Ierland</v>
          </cell>
          <cell r="N59" t="str">
            <v>Rép.d'Irlande</v>
          </cell>
          <cell r="O59" t="str">
            <v>ირლანდიის რესპუბლიკა</v>
          </cell>
          <cell r="P59" t="str">
            <v>Irische Republik</v>
          </cell>
          <cell r="Q59" t="str">
            <v>Δημοκρατία της Ιρλανδίας</v>
          </cell>
          <cell r="R59" t="str">
            <v>רפובליקת אירלנד</v>
          </cell>
          <cell r="S59" t="str">
            <v>Ír Köztársaság</v>
          </cell>
          <cell r="T59" t="str">
            <v>Republik Irlandia</v>
          </cell>
          <cell r="U59" t="str">
            <v>Írland</v>
          </cell>
          <cell r="V59" t="str">
            <v>repubblica d'Irlanda</v>
          </cell>
          <cell r="W59" t="str">
            <v>아일랜드</v>
          </cell>
          <cell r="X59" t="str">
            <v>Airijos Respublika</v>
          </cell>
          <cell r="Y59" t="str">
            <v>Република Ирска</v>
          </cell>
          <cell r="Z59" t="str">
            <v>Repubblika tal-Irlanda</v>
          </cell>
          <cell r="AA59" t="str">
            <v>Republikken Irland</v>
          </cell>
          <cell r="AB59" t="str">
            <v>جمهوری ایرلند</v>
          </cell>
          <cell r="AC59" t="str">
            <v>Irlandia</v>
          </cell>
          <cell r="AD59" t="str">
            <v>República da Irlanda</v>
          </cell>
          <cell r="AE59" t="str">
            <v>Republica Irlanda</v>
          </cell>
          <cell r="AF59" t="str">
            <v>Република Ирска</v>
          </cell>
          <cell r="AG59" t="str">
            <v>Írsko</v>
          </cell>
          <cell r="AH59" t="str">
            <v>Republika Irska</v>
          </cell>
          <cell r="AI59" t="str">
            <v>Republica de Irlanda</v>
          </cell>
          <cell r="AJ59" t="str">
            <v>republiken Irland</v>
          </cell>
          <cell r="AK59" t="str">
            <v>สาธารณรัฐไอร์แลนด์</v>
          </cell>
          <cell r="AL59" t="str">
            <v>irlanda Cumhuriyeti</v>
          </cell>
          <cell r="AM59" t="str">
            <v>Cộng hòa Ireland</v>
          </cell>
          <cell r="AN59" t="str">
            <v>Ірландія</v>
          </cell>
          <cell r="AO59" t="str">
            <v>جمہوریہ آئرلینڈ</v>
          </cell>
        </row>
        <row r="60">
          <cell r="A60" t="str">
            <v>Iceland</v>
          </cell>
          <cell r="B60" t="str">
            <v>Islandë</v>
          </cell>
          <cell r="C60" t="str">
            <v>أيسلندا</v>
          </cell>
          <cell r="D60" t="str">
            <v>Իսլանդիան</v>
          </cell>
          <cell r="E60" t="str">
            <v>İslandiya</v>
          </cell>
          <cell r="F60" t="str">
            <v>Исландия</v>
          </cell>
          <cell r="G60" t="str">
            <v>Islàndia</v>
          </cell>
          <cell r="H60" t="str">
            <v>冰岛</v>
          </cell>
          <cell r="I60" t="str">
            <v>冰島</v>
          </cell>
          <cell r="J60" t="str">
            <v>Island</v>
          </cell>
          <cell r="K60" t="str">
            <v>Island</v>
          </cell>
          <cell r="L60" t="str">
            <v>Island</v>
          </cell>
          <cell r="M60" t="str">
            <v>IJsland</v>
          </cell>
          <cell r="N60" t="str">
            <v>Islande</v>
          </cell>
          <cell r="O60" t="str">
            <v>ისლანდიის</v>
          </cell>
          <cell r="P60" t="str">
            <v>Island</v>
          </cell>
          <cell r="Q60" t="str">
            <v>Ισλανδία</v>
          </cell>
          <cell r="R60" t="str">
            <v>אִיסלַנד</v>
          </cell>
          <cell r="S60" t="str">
            <v>Izland</v>
          </cell>
          <cell r="T60" t="str">
            <v>Islandia</v>
          </cell>
          <cell r="U60" t="str">
            <v>Ísland</v>
          </cell>
          <cell r="V60" t="str">
            <v>Islanda</v>
          </cell>
          <cell r="W60" t="str">
            <v>아이슬란드</v>
          </cell>
          <cell r="X60" t="str">
            <v>Islandija</v>
          </cell>
          <cell r="Y60" t="str">
            <v>Исланд</v>
          </cell>
          <cell r="Z60" t="str">
            <v>Islanda</v>
          </cell>
          <cell r="AA60" t="str">
            <v>Island</v>
          </cell>
          <cell r="AB60" t="str">
            <v>ایسلند</v>
          </cell>
          <cell r="AC60" t="str">
            <v>Islandia</v>
          </cell>
          <cell r="AD60" t="str">
            <v>Islândia</v>
          </cell>
          <cell r="AE60" t="str">
            <v>Islanda</v>
          </cell>
          <cell r="AF60" t="str">
            <v>Исланд</v>
          </cell>
          <cell r="AG60" t="str">
            <v>Island</v>
          </cell>
          <cell r="AH60" t="str">
            <v>Islandija</v>
          </cell>
          <cell r="AI60" t="str">
            <v>Islandia</v>
          </cell>
          <cell r="AJ60" t="str">
            <v>island</v>
          </cell>
          <cell r="AK60" t="str">
            <v>ประเทศไอซ์แลนด์</v>
          </cell>
          <cell r="AL60" t="str">
            <v>İzlanda</v>
          </cell>
          <cell r="AM60" t="str">
            <v>Iceland</v>
          </cell>
          <cell r="AN60" t="str">
            <v>Ісландія</v>
          </cell>
          <cell r="AO60" t="str">
            <v>آئس لینڈ</v>
          </cell>
        </row>
        <row r="61">
          <cell r="A61" t="str">
            <v>Austria</v>
          </cell>
          <cell r="B61" t="str">
            <v>Austri</v>
          </cell>
          <cell r="C61" t="str">
            <v>النمسا</v>
          </cell>
          <cell r="D61" t="str">
            <v>austria</v>
          </cell>
          <cell r="E61" t="str">
            <v>Avstriya</v>
          </cell>
          <cell r="F61" t="str">
            <v>Австрия</v>
          </cell>
          <cell r="G61" t="str">
            <v>Àustria</v>
          </cell>
          <cell r="H61" t="str">
            <v>奥地利</v>
          </cell>
          <cell r="I61" t="str">
            <v>奧地利</v>
          </cell>
          <cell r="J61" t="str">
            <v>Austrija</v>
          </cell>
          <cell r="K61" t="str">
            <v>Rakousko</v>
          </cell>
          <cell r="L61" t="str">
            <v>Østrig</v>
          </cell>
          <cell r="M61" t="str">
            <v>Oostenrijk</v>
          </cell>
          <cell r="N61" t="str">
            <v>Autriche</v>
          </cell>
          <cell r="O61" t="str">
            <v>ავსტრიაში</v>
          </cell>
          <cell r="P61" t="str">
            <v>Österreich</v>
          </cell>
          <cell r="Q61" t="str">
            <v>Αυστρία</v>
          </cell>
          <cell r="R61" t="str">
            <v>אוֹסְטְרֵיָה</v>
          </cell>
          <cell r="S61" t="str">
            <v>Ausztria</v>
          </cell>
          <cell r="T61" t="str">
            <v>Austria</v>
          </cell>
          <cell r="U61" t="str">
            <v>Austurríki</v>
          </cell>
          <cell r="V61" t="str">
            <v>Austria</v>
          </cell>
          <cell r="W61" t="str">
            <v>오스트리아</v>
          </cell>
          <cell r="X61" t="str">
            <v>Austrija</v>
          </cell>
          <cell r="Y61" t="str">
            <v>Австрија</v>
          </cell>
          <cell r="Z61" t="str">
            <v>awstrija</v>
          </cell>
          <cell r="AA61" t="str">
            <v>Østerrike</v>
          </cell>
          <cell r="AB61" t="str">
            <v>اتریش</v>
          </cell>
          <cell r="AC61" t="str">
            <v>Austria</v>
          </cell>
          <cell r="AD61" t="str">
            <v>Áustria</v>
          </cell>
          <cell r="AE61" t="str">
            <v>Austria</v>
          </cell>
          <cell r="AF61" t="str">
            <v>Аустрија</v>
          </cell>
          <cell r="AG61" t="str">
            <v>Rakúsko</v>
          </cell>
          <cell r="AH61" t="str">
            <v>Avstrija</v>
          </cell>
          <cell r="AI61" t="str">
            <v>Austria</v>
          </cell>
          <cell r="AJ61" t="str">
            <v>österrike</v>
          </cell>
          <cell r="AK61" t="str">
            <v>ออสเตรีย</v>
          </cell>
          <cell r="AL61" t="str">
            <v>Avusturya</v>
          </cell>
          <cell r="AM61" t="str">
            <v>Áo</v>
          </cell>
          <cell r="AN61" t="str">
            <v>Австрія</v>
          </cell>
          <cell r="AO61" t="str">
            <v>آسٹریا</v>
          </cell>
        </row>
        <row r="62">
          <cell r="A62" t="str">
            <v>France</v>
          </cell>
          <cell r="B62" t="str">
            <v>Francë</v>
          </cell>
          <cell r="C62" t="str">
            <v>فرنسا</v>
          </cell>
          <cell r="D62" t="str">
            <v>France</v>
          </cell>
          <cell r="E62" t="str">
            <v>Fransa</v>
          </cell>
          <cell r="F62" t="str">
            <v>Франция</v>
          </cell>
          <cell r="G62" t="str">
            <v>França</v>
          </cell>
          <cell r="H62" t="str">
            <v>法国</v>
          </cell>
          <cell r="I62" t="str">
            <v>法國</v>
          </cell>
          <cell r="J62" t="str">
            <v>Francuska</v>
          </cell>
          <cell r="K62" t="str">
            <v>Francie</v>
          </cell>
          <cell r="L62" t="str">
            <v>Frankrig</v>
          </cell>
          <cell r="M62" t="str">
            <v>Frankrijk</v>
          </cell>
          <cell r="N62" t="str">
            <v>France</v>
          </cell>
          <cell r="O62" t="str">
            <v>საფრანგეთი</v>
          </cell>
          <cell r="P62" t="str">
            <v>Frankreich</v>
          </cell>
          <cell r="Q62" t="str">
            <v>Γαλλία</v>
          </cell>
          <cell r="R62" t="str">
            <v>צרפת</v>
          </cell>
          <cell r="S62" t="str">
            <v>Franciaország</v>
          </cell>
          <cell r="T62" t="str">
            <v>Perancis</v>
          </cell>
          <cell r="U62" t="str">
            <v>France</v>
          </cell>
          <cell r="V62" t="str">
            <v>Francia</v>
          </cell>
          <cell r="W62" t="str">
            <v>프랑스</v>
          </cell>
          <cell r="X62" t="str">
            <v>Prancūzija</v>
          </cell>
          <cell r="Y62" t="str">
            <v>Франција</v>
          </cell>
          <cell r="Z62" t="str">
            <v>Franza</v>
          </cell>
          <cell r="AA62" t="str">
            <v>Frankrike</v>
          </cell>
          <cell r="AB62" t="str">
            <v>فرانسه</v>
          </cell>
          <cell r="AC62" t="str">
            <v>Francja</v>
          </cell>
          <cell r="AD62" t="str">
            <v>França</v>
          </cell>
          <cell r="AE62" t="str">
            <v>Franța</v>
          </cell>
          <cell r="AF62" t="str">
            <v>Француска</v>
          </cell>
          <cell r="AG62" t="str">
            <v>francúzsko</v>
          </cell>
          <cell r="AH62" t="str">
            <v>France</v>
          </cell>
          <cell r="AI62" t="str">
            <v>Francia</v>
          </cell>
          <cell r="AJ62" t="str">
            <v>Frankrike</v>
          </cell>
          <cell r="AK62" t="str">
            <v>ฝรั่งเศส</v>
          </cell>
          <cell r="AL62" t="str">
            <v>Fransa</v>
          </cell>
          <cell r="AM62" t="str">
            <v>Pháp</v>
          </cell>
          <cell r="AN62" t="str">
            <v>Франція</v>
          </cell>
          <cell r="AO62" t="str">
            <v>فرانس</v>
          </cell>
        </row>
        <row r="64">
          <cell r="A64" t="str">
            <v>Poland</v>
          </cell>
          <cell r="B64" t="str">
            <v>Poloni</v>
          </cell>
          <cell r="C64" t="str">
            <v>بولندا</v>
          </cell>
          <cell r="D64" t="str">
            <v>poland</v>
          </cell>
          <cell r="E64" t="str">
            <v>Polşa</v>
          </cell>
          <cell r="F64" t="str">
            <v>Полша</v>
          </cell>
          <cell r="G64" t="str">
            <v>Polònia</v>
          </cell>
          <cell r="H64" t="str">
            <v>波兰</v>
          </cell>
          <cell r="I64" t="str">
            <v>波蘭</v>
          </cell>
          <cell r="J64" t="str">
            <v>Poljska</v>
          </cell>
          <cell r="K64" t="str">
            <v>Polsko</v>
          </cell>
          <cell r="L64" t="str">
            <v>Polen</v>
          </cell>
          <cell r="M64" t="str">
            <v>Polen</v>
          </cell>
          <cell r="N64" t="str">
            <v>Pologne</v>
          </cell>
          <cell r="O64" t="str">
            <v>პოლონეთი</v>
          </cell>
          <cell r="P64" t="str">
            <v>Polen</v>
          </cell>
          <cell r="Q64" t="str">
            <v>Πολωνία</v>
          </cell>
          <cell r="R64" t="str">
            <v>פולין</v>
          </cell>
          <cell r="S64" t="str">
            <v>Lengyelország</v>
          </cell>
          <cell r="T64" t="str">
            <v>Polandia</v>
          </cell>
          <cell r="U64" t="str">
            <v>poland</v>
          </cell>
          <cell r="V64" t="str">
            <v>Polonia</v>
          </cell>
          <cell r="W64" t="str">
            <v>폴란드</v>
          </cell>
          <cell r="X64" t="str">
            <v>Lenkija</v>
          </cell>
          <cell r="Y64" t="str">
            <v>Полска</v>
          </cell>
          <cell r="Z64" t="str">
            <v>Il-Polonja</v>
          </cell>
          <cell r="AA64" t="str">
            <v>Polen</v>
          </cell>
          <cell r="AB64" t="str">
            <v>لهستان</v>
          </cell>
          <cell r="AC64" t="str">
            <v>Polska</v>
          </cell>
          <cell r="AD64" t="str">
            <v>Polônia</v>
          </cell>
          <cell r="AE64" t="str">
            <v>Polonia</v>
          </cell>
          <cell r="AF64" t="str">
            <v>Пољска</v>
          </cell>
          <cell r="AG64" t="str">
            <v>Poľsko</v>
          </cell>
          <cell r="AH64" t="str">
            <v>Poljska</v>
          </cell>
          <cell r="AI64" t="str">
            <v>Polonia</v>
          </cell>
          <cell r="AJ64" t="str">
            <v>polen</v>
          </cell>
          <cell r="AK64" t="str">
            <v>โปแลนด์</v>
          </cell>
          <cell r="AL64" t="str">
            <v>Polonya</v>
          </cell>
          <cell r="AM64" t="str">
            <v>Ba Lan</v>
          </cell>
          <cell r="AN64" t="str">
            <v>Польща</v>
          </cell>
          <cell r="AO64" t="str">
            <v>پولینڈ</v>
          </cell>
        </row>
        <row r="66">
          <cell r="A66" t="str">
            <v>England</v>
          </cell>
          <cell r="B66" t="str">
            <v>Angli</v>
          </cell>
          <cell r="C66" t="str">
            <v>انجلترا</v>
          </cell>
          <cell r="D66" t="str">
            <v>Անգլիա</v>
          </cell>
          <cell r="E66" t="str">
            <v>İngiltərə</v>
          </cell>
          <cell r="F66" t="str">
            <v>Англия</v>
          </cell>
          <cell r="G66" t="str">
            <v>Anglaterra</v>
          </cell>
          <cell r="H66" t="str">
            <v>英国</v>
          </cell>
          <cell r="I66" t="str">
            <v>英國</v>
          </cell>
          <cell r="J66" t="str">
            <v>Engleska</v>
          </cell>
          <cell r="K66" t="str">
            <v>Anglie</v>
          </cell>
          <cell r="L66" t="str">
            <v>England</v>
          </cell>
          <cell r="M66" t="str">
            <v>Engeland</v>
          </cell>
          <cell r="N66" t="str">
            <v>Angleterre</v>
          </cell>
          <cell r="O66" t="str">
            <v>ინგლისი</v>
          </cell>
          <cell r="P66" t="str">
            <v>England</v>
          </cell>
          <cell r="Q66" t="str">
            <v>Αγγλία</v>
          </cell>
          <cell r="R66" t="str">
            <v>אנגליה</v>
          </cell>
          <cell r="S66" t="str">
            <v>Anglia</v>
          </cell>
          <cell r="T66" t="str">
            <v>Inggris</v>
          </cell>
          <cell r="U66" t="str">
            <v>England</v>
          </cell>
          <cell r="V66" t="str">
            <v>Inghilterra</v>
          </cell>
          <cell r="W66" t="str">
            <v>영국</v>
          </cell>
          <cell r="X66" t="str">
            <v>Anglija</v>
          </cell>
          <cell r="Y66" t="str">
            <v>Англија</v>
          </cell>
          <cell r="Z66" t="str">
            <v>Ingilterra</v>
          </cell>
          <cell r="AA66" t="str">
            <v>England</v>
          </cell>
          <cell r="AB66" t="str">
            <v>انگلستان</v>
          </cell>
          <cell r="AC66" t="str">
            <v>Anglia</v>
          </cell>
          <cell r="AD66" t="str">
            <v>Inglaterra</v>
          </cell>
          <cell r="AE66" t="str">
            <v>Anglia</v>
          </cell>
          <cell r="AF66" t="str">
            <v>Енглеска</v>
          </cell>
          <cell r="AG66" t="str">
            <v>Anglicko</v>
          </cell>
          <cell r="AH66" t="str">
            <v>Anglija</v>
          </cell>
          <cell r="AI66" t="str">
            <v>Inglaterra</v>
          </cell>
          <cell r="AJ66" t="str">
            <v>England</v>
          </cell>
          <cell r="AK66" t="str">
            <v>อังกฤษ</v>
          </cell>
          <cell r="AL66" t="str">
            <v>İngiltere</v>
          </cell>
          <cell r="AM66" t="str">
            <v>Anh</v>
          </cell>
          <cell r="AN66" t="str">
            <v>Англія</v>
          </cell>
          <cell r="AO66" t="str">
            <v>انگلینڈ</v>
          </cell>
        </row>
        <row r="67">
          <cell r="A67" t="str">
            <v>Belgium</v>
          </cell>
          <cell r="B67" t="str">
            <v>Belgjikë</v>
          </cell>
          <cell r="C67" t="str">
            <v>بلجيكا</v>
          </cell>
          <cell r="D67" t="str">
            <v>Բելգիա</v>
          </cell>
          <cell r="E67" t="str">
            <v>Belçika</v>
          </cell>
          <cell r="F67" t="str">
            <v>Белгия</v>
          </cell>
          <cell r="G67" t="str">
            <v>Bèlgica</v>
          </cell>
          <cell r="H67" t="str">
            <v>比利时</v>
          </cell>
          <cell r="I67" t="str">
            <v>比利時</v>
          </cell>
          <cell r="J67" t="str">
            <v>Belgija</v>
          </cell>
          <cell r="K67" t="str">
            <v>Belgie</v>
          </cell>
          <cell r="L67" t="str">
            <v>Belgien</v>
          </cell>
          <cell r="M67" t="str">
            <v>België</v>
          </cell>
          <cell r="N67" t="str">
            <v>Belgique</v>
          </cell>
          <cell r="O67" t="str">
            <v>ბელგიის</v>
          </cell>
          <cell r="P67" t="str">
            <v>Belgien</v>
          </cell>
          <cell r="Q67" t="str">
            <v>Βέλγιο</v>
          </cell>
          <cell r="R67" t="str">
            <v>בלגיה</v>
          </cell>
          <cell r="S67" t="str">
            <v>Belgium</v>
          </cell>
          <cell r="T67" t="str">
            <v>Belgia</v>
          </cell>
          <cell r="U67" t="str">
            <v>Belgium</v>
          </cell>
          <cell r="V67" t="str">
            <v>Belgio</v>
          </cell>
          <cell r="W67" t="str">
            <v>벨기에</v>
          </cell>
          <cell r="X67" t="str">
            <v>Belgija</v>
          </cell>
          <cell r="Y67" t="str">
            <v>белгија</v>
          </cell>
          <cell r="Z67" t="str">
            <v>Il-Belġju</v>
          </cell>
          <cell r="AA67" t="str">
            <v>Belgia</v>
          </cell>
          <cell r="AB67" t="str">
            <v>بلژیک</v>
          </cell>
          <cell r="AC67" t="str">
            <v>Belgia</v>
          </cell>
          <cell r="AD67" t="str">
            <v>Bélgica</v>
          </cell>
          <cell r="AE67" t="str">
            <v>Belgia</v>
          </cell>
          <cell r="AF67" t="str">
            <v>Белгија</v>
          </cell>
          <cell r="AG67" t="str">
            <v>belgicko</v>
          </cell>
          <cell r="AH67" t="str">
            <v>Belgija</v>
          </cell>
          <cell r="AI67" t="str">
            <v>Bélgica</v>
          </cell>
          <cell r="AJ67" t="str">
            <v>Belgien</v>
          </cell>
          <cell r="AK67" t="str">
            <v>เบลเยี่ยม</v>
          </cell>
          <cell r="AL67" t="str">
            <v>Belçika</v>
          </cell>
          <cell r="AM67" t="str">
            <v>Bỉ</v>
          </cell>
          <cell r="AN67" t="str">
            <v>Бельгія</v>
          </cell>
          <cell r="AO67" t="str">
            <v>بیلجئیم</v>
          </cell>
        </row>
        <row r="68">
          <cell r="A68" t="str">
            <v>Sweden</v>
          </cell>
          <cell r="B68" t="str">
            <v>Suedi</v>
          </cell>
          <cell r="C68" t="str">
            <v>السويد</v>
          </cell>
          <cell r="D68" t="str">
            <v>sweden</v>
          </cell>
          <cell r="E68" t="str">
            <v>İsveç</v>
          </cell>
          <cell r="F68" t="str">
            <v>Швеция</v>
          </cell>
          <cell r="G68" t="str">
            <v>Suècia</v>
          </cell>
          <cell r="H68" t="str">
            <v>瑞典</v>
          </cell>
          <cell r="I68" t="str">
            <v>瑞典</v>
          </cell>
          <cell r="J68" t="str">
            <v>Švedska</v>
          </cell>
          <cell r="K68" t="str">
            <v>Švédsko</v>
          </cell>
          <cell r="L68" t="str">
            <v>Sverige</v>
          </cell>
          <cell r="M68" t="str">
            <v>Zweden</v>
          </cell>
          <cell r="N68" t="str">
            <v>Suède</v>
          </cell>
          <cell r="O68" t="str">
            <v>შვედეთი</v>
          </cell>
          <cell r="P68" t="str">
            <v>Schweden</v>
          </cell>
          <cell r="Q68" t="str">
            <v>Σουηδία</v>
          </cell>
          <cell r="R68" t="str">
            <v>שוודיה</v>
          </cell>
          <cell r="S68" t="str">
            <v>Svédország</v>
          </cell>
          <cell r="T68" t="str">
            <v>Swedia</v>
          </cell>
          <cell r="U68" t="str">
            <v>Svíþjóð</v>
          </cell>
          <cell r="V68" t="str">
            <v>Svezia</v>
          </cell>
          <cell r="W68" t="str">
            <v>스웨덴</v>
          </cell>
          <cell r="X68" t="str">
            <v>Švedija</v>
          </cell>
          <cell r="Y68" t="str">
            <v>Шведска</v>
          </cell>
          <cell r="Z68" t="str">
            <v>l-Isvezja</v>
          </cell>
          <cell r="AA68" t="str">
            <v>Sverige</v>
          </cell>
          <cell r="AB68" t="str">
            <v>سوئد</v>
          </cell>
          <cell r="AC68" t="str">
            <v>Szwecja</v>
          </cell>
          <cell r="AD68" t="str">
            <v>Suécia</v>
          </cell>
          <cell r="AE68" t="str">
            <v>Suedia</v>
          </cell>
          <cell r="AF68" t="str">
            <v>Шведска</v>
          </cell>
          <cell r="AG68" t="str">
            <v>Švédsko</v>
          </cell>
          <cell r="AH68" t="str">
            <v>Švedska</v>
          </cell>
          <cell r="AI68" t="str">
            <v>Suecia</v>
          </cell>
          <cell r="AJ68" t="str">
            <v>sverige</v>
          </cell>
          <cell r="AK68" t="str">
            <v>สวีเดน</v>
          </cell>
          <cell r="AL68" t="str">
            <v>İsveç</v>
          </cell>
          <cell r="AM68" t="str">
            <v>Thụy Điển</v>
          </cell>
          <cell r="AN68" t="str">
            <v>Швеція</v>
          </cell>
          <cell r="AO68" t="str">
            <v>سویڈن</v>
          </cell>
        </row>
        <row r="69">
          <cell r="A69" t="str">
            <v>Russia</v>
          </cell>
          <cell r="B69" t="str">
            <v>Rusi</v>
          </cell>
          <cell r="C69" t="str">
            <v>روسيا</v>
          </cell>
          <cell r="D69" t="str">
            <v>Ռուսաստան</v>
          </cell>
          <cell r="E69" t="str">
            <v>Rusiya</v>
          </cell>
          <cell r="F69" t="str">
            <v>Русия</v>
          </cell>
          <cell r="G69" t="str">
            <v>Rússia</v>
          </cell>
          <cell r="H69" t="str">
            <v>俄国</v>
          </cell>
          <cell r="I69" t="str">
            <v>俄國</v>
          </cell>
          <cell r="J69" t="str">
            <v>Rusija</v>
          </cell>
          <cell r="K69" t="str">
            <v>Rusko</v>
          </cell>
          <cell r="L69" t="str">
            <v>Rusland</v>
          </cell>
          <cell r="M69" t="str">
            <v>Rusland</v>
          </cell>
          <cell r="N69" t="str">
            <v>Russie</v>
          </cell>
          <cell r="O69" t="str">
            <v>რუსეთის</v>
          </cell>
          <cell r="P69" t="str">
            <v>Russland</v>
          </cell>
          <cell r="Q69" t="str">
            <v>Ρωσία</v>
          </cell>
          <cell r="R69" t="str">
            <v>רוסיה</v>
          </cell>
          <cell r="S69" t="str">
            <v>Oroszország</v>
          </cell>
          <cell r="T69" t="str">
            <v>Rusia</v>
          </cell>
          <cell r="U69" t="str">
            <v>russia</v>
          </cell>
          <cell r="V69" t="str">
            <v>Russia</v>
          </cell>
          <cell r="W69" t="str">
            <v>러시아</v>
          </cell>
          <cell r="X69" t="str">
            <v>Rusija</v>
          </cell>
          <cell r="Y69" t="str">
            <v>Русија</v>
          </cell>
          <cell r="Z69" t="str">
            <v>Russja</v>
          </cell>
          <cell r="AA69" t="str">
            <v>Russland</v>
          </cell>
          <cell r="AB69" t="str">
            <v>روسیه،</v>
          </cell>
          <cell r="AC69" t="str">
            <v>Rosja</v>
          </cell>
          <cell r="AD69" t="str">
            <v>Rússia</v>
          </cell>
          <cell r="AE69" t="str">
            <v>Rusia</v>
          </cell>
          <cell r="AF69" t="str">
            <v>Русија</v>
          </cell>
          <cell r="AG69" t="str">
            <v>rusko</v>
          </cell>
          <cell r="AH69" t="str">
            <v>Rusija</v>
          </cell>
          <cell r="AI69" t="str">
            <v>Rusia</v>
          </cell>
          <cell r="AJ69" t="str">
            <v>Ryssland</v>
          </cell>
          <cell r="AK69" t="str">
            <v>ประเทศรัสเซีย</v>
          </cell>
          <cell r="AL69" t="str">
            <v>Rusya</v>
          </cell>
          <cell r="AM69" t="str">
            <v>Nga</v>
          </cell>
          <cell r="AN69" t="str">
            <v>Росія</v>
          </cell>
          <cell r="AO69" t="str">
            <v>روس</v>
          </cell>
        </row>
        <row r="70">
          <cell r="A70" t="str">
            <v>1A</v>
          </cell>
          <cell r="B70" t="str">
            <v>1A</v>
          </cell>
          <cell r="C70" t="str">
            <v>1A</v>
          </cell>
          <cell r="D70" t="str">
            <v>1A</v>
          </cell>
          <cell r="E70" t="str">
            <v>1A</v>
          </cell>
          <cell r="F70" t="str">
            <v>1A</v>
          </cell>
          <cell r="G70" t="str">
            <v>1A</v>
          </cell>
          <cell r="H70" t="str">
            <v>1A</v>
          </cell>
          <cell r="I70" t="str">
            <v>1A</v>
          </cell>
          <cell r="J70" t="str">
            <v>1A</v>
          </cell>
          <cell r="K70" t="str">
            <v>1A</v>
          </cell>
          <cell r="L70" t="str">
            <v>1A</v>
          </cell>
          <cell r="M70" t="str">
            <v>A1</v>
          </cell>
          <cell r="N70" t="str">
            <v>1A</v>
          </cell>
          <cell r="O70" t="str">
            <v>1A</v>
          </cell>
          <cell r="P70" t="str">
            <v>1A</v>
          </cell>
          <cell r="Q70" t="str">
            <v>1A</v>
          </cell>
          <cell r="R70" t="str">
            <v>1A</v>
          </cell>
          <cell r="S70" t="str">
            <v>1A</v>
          </cell>
          <cell r="T70" t="str">
            <v>1A</v>
          </cell>
          <cell r="U70" t="str">
            <v>1A</v>
          </cell>
          <cell r="V70" t="str">
            <v>1A</v>
          </cell>
          <cell r="W70" t="str">
            <v>A 그룹 1위</v>
          </cell>
          <cell r="X70" t="str">
            <v>1A</v>
          </cell>
          <cell r="Y70" t="str">
            <v>1A</v>
          </cell>
          <cell r="Z70" t="str">
            <v>1A</v>
          </cell>
          <cell r="AA70" t="str">
            <v>1A</v>
          </cell>
          <cell r="AB70" t="str">
            <v>اول گروه A</v>
          </cell>
          <cell r="AC70" t="str">
            <v>1A</v>
          </cell>
          <cell r="AD70" t="str">
            <v>1A</v>
          </cell>
          <cell r="AE70" t="str">
            <v>1A</v>
          </cell>
          <cell r="AF70" t="str">
            <v>1A</v>
          </cell>
          <cell r="AG70" t="str">
            <v>1A</v>
          </cell>
          <cell r="AH70" t="str">
            <v>1A</v>
          </cell>
          <cell r="AI70" t="str">
            <v>1A</v>
          </cell>
          <cell r="AJ70" t="str">
            <v>1A</v>
          </cell>
          <cell r="AK70" t="str">
            <v>ที่ 1 สาย A</v>
          </cell>
          <cell r="AL70" t="str">
            <v>A1</v>
          </cell>
          <cell r="AM70" t="str">
            <v>1A</v>
          </cell>
          <cell r="AN70" t="str">
            <v>1A</v>
          </cell>
          <cell r="AO70" t="str">
            <v>۱الف</v>
          </cell>
        </row>
        <row r="71">
          <cell r="A71" t="str">
            <v>2A</v>
          </cell>
          <cell r="B71" t="str">
            <v>2A</v>
          </cell>
          <cell r="C71" t="str">
            <v>2A</v>
          </cell>
          <cell r="D71" t="str">
            <v>2A</v>
          </cell>
          <cell r="E71" t="str">
            <v>2A</v>
          </cell>
          <cell r="F71" t="str">
            <v>2A</v>
          </cell>
          <cell r="G71" t="str">
            <v>2A</v>
          </cell>
          <cell r="H71" t="str">
            <v>2A</v>
          </cell>
          <cell r="I71" t="str">
            <v>2A</v>
          </cell>
          <cell r="J71" t="str">
            <v>2A</v>
          </cell>
          <cell r="K71" t="str">
            <v>2A</v>
          </cell>
          <cell r="L71" t="str">
            <v>2A</v>
          </cell>
          <cell r="M71" t="str">
            <v>A2</v>
          </cell>
          <cell r="N71" t="str">
            <v>2A</v>
          </cell>
          <cell r="O71" t="str">
            <v>2A</v>
          </cell>
          <cell r="P71" t="str">
            <v>2A</v>
          </cell>
          <cell r="Q71" t="str">
            <v>2A</v>
          </cell>
          <cell r="R71" t="str">
            <v>2A</v>
          </cell>
          <cell r="S71" t="str">
            <v>2A</v>
          </cell>
          <cell r="T71" t="str">
            <v>2A</v>
          </cell>
          <cell r="U71" t="str">
            <v>2A</v>
          </cell>
          <cell r="V71" t="str">
            <v>2A</v>
          </cell>
          <cell r="W71" t="str">
            <v>A 그룹 2위</v>
          </cell>
          <cell r="X71" t="str">
            <v>2A</v>
          </cell>
          <cell r="Y71" t="str">
            <v>2A</v>
          </cell>
          <cell r="Z71" t="str">
            <v>2A</v>
          </cell>
          <cell r="AA71" t="str">
            <v>2A</v>
          </cell>
          <cell r="AB71" t="str">
            <v>دوم گروه A</v>
          </cell>
          <cell r="AC71" t="str">
            <v>2A</v>
          </cell>
          <cell r="AD71" t="str">
            <v>2A</v>
          </cell>
          <cell r="AE71" t="str">
            <v>2A</v>
          </cell>
          <cell r="AF71" t="str">
            <v>2A</v>
          </cell>
          <cell r="AG71" t="str">
            <v>2A</v>
          </cell>
          <cell r="AH71" t="str">
            <v>2A</v>
          </cell>
          <cell r="AI71" t="str">
            <v>2A</v>
          </cell>
          <cell r="AJ71" t="str">
            <v>2A</v>
          </cell>
          <cell r="AK71" t="str">
            <v>ที่ 2 สาย A</v>
          </cell>
          <cell r="AL71" t="str">
            <v>A2</v>
          </cell>
          <cell r="AM71" t="str">
            <v>2A</v>
          </cell>
          <cell r="AN71" t="str">
            <v>2A</v>
          </cell>
          <cell r="AO71" t="str">
            <v>۲الف</v>
          </cell>
        </row>
        <row r="72">
          <cell r="A72" t="str">
            <v>1B</v>
          </cell>
          <cell r="B72" t="str">
            <v>1B</v>
          </cell>
          <cell r="C72" t="str">
            <v>1B</v>
          </cell>
          <cell r="D72" t="str">
            <v>1B</v>
          </cell>
          <cell r="E72" t="str">
            <v>1B</v>
          </cell>
          <cell r="F72" t="str">
            <v>1B</v>
          </cell>
          <cell r="G72" t="str">
            <v>1B</v>
          </cell>
          <cell r="H72" t="str">
            <v>1B</v>
          </cell>
          <cell r="I72" t="str">
            <v>1B</v>
          </cell>
          <cell r="J72" t="str">
            <v>1B</v>
          </cell>
          <cell r="K72" t="str">
            <v>1B</v>
          </cell>
          <cell r="L72" t="str">
            <v>1B</v>
          </cell>
          <cell r="M72" t="str">
            <v>B1</v>
          </cell>
          <cell r="N72" t="str">
            <v>1B</v>
          </cell>
          <cell r="O72" t="str">
            <v>1B</v>
          </cell>
          <cell r="P72" t="str">
            <v>1B</v>
          </cell>
          <cell r="Q72" t="str">
            <v>1B</v>
          </cell>
          <cell r="R72" t="str">
            <v>1B</v>
          </cell>
          <cell r="S72" t="str">
            <v>1B</v>
          </cell>
          <cell r="T72" t="str">
            <v>1B</v>
          </cell>
          <cell r="U72" t="str">
            <v>1B</v>
          </cell>
          <cell r="V72" t="str">
            <v>1B</v>
          </cell>
          <cell r="W72" t="str">
            <v>B 그룹 1위</v>
          </cell>
          <cell r="X72" t="str">
            <v>1B</v>
          </cell>
          <cell r="Y72" t="str">
            <v>1B</v>
          </cell>
          <cell r="Z72" t="str">
            <v>1B</v>
          </cell>
          <cell r="AA72" t="str">
            <v>1B</v>
          </cell>
          <cell r="AB72" t="str">
            <v>اول گروه B</v>
          </cell>
          <cell r="AC72" t="str">
            <v>1B</v>
          </cell>
          <cell r="AD72" t="str">
            <v>1B</v>
          </cell>
          <cell r="AE72" t="str">
            <v>1B</v>
          </cell>
          <cell r="AF72" t="str">
            <v>1B</v>
          </cell>
          <cell r="AG72" t="str">
            <v>1B</v>
          </cell>
          <cell r="AH72" t="str">
            <v>1B</v>
          </cell>
          <cell r="AI72" t="str">
            <v>1B</v>
          </cell>
          <cell r="AJ72" t="str">
            <v>1B</v>
          </cell>
          <cell r="AK72" t="str">
            <v>ที่ 1 สาย B</v>
          </cell>
          <cell r="AL72" t="str">
            <v>B1</v>
          </cell>
          <cell r="AM72" t="str">
            <v>1B</v>
          </cell>
          <cell r="AN72" t="str">
            <v>1B</v>
          </cell>
          <cell r="AO72" t="str">
            <v>۱ب</v>
          </cell>
        </row>
        <row r="73">
          <cell r="A73" t="str">
            <v>2B</v>
          </cell>
          <cell r="B73" t="str">
            <v>2B</v>
          </cell>
          <cell r="C73" t="str">
            <v>2B</v>
          </cell>
          <cell r="D73" t="str">
            <v>2B</v>
          </cell>
          <cell r="E73" t="str">
            <v>2B</v>
          </cell>
          <cell r="F73" t="str">
            <v>2B</v>
          </cell>
          <cell r="G73" t="str">
            <v>2B</v>
          </cell>
          <cell r="H73" t="str">
            <v>2B</v>
          </cell>
          <cell r="I73" t="str">
            <v>2B</v>
          </cell>
          <cell r="J73" t="str">
            <v>2B</v>
          </cell>
          <cell r="K73" t="str">
            <v>2B</v>
          </cell>
          <cell r="L73" t="str">
            <v>2B</v>
          </cell>
          <cell r="M73" t="str">
            <v>B2</v>
          </cell>
          <cell r="N73" t="str">
            <v>2B</v>
          </cell>
          <cell r="O73" t="str">
            <v>2B</v>
          </cell>
          <cell r="P73" t="str">
            <v>2B</v>
          </cell>
          <cell r="Q73" t="str">
            <v>2B</v>
          </cell>
          <cell r="R73" t="str">
            <v>2B</v>
          </cell>
          <cell r="S73" t="str">
            <v>2B</v>
          </cell>
          <cell r="T73" t="str">
            <v>2B</v>
          </cell>
          <cell r="U73" t="str">
            <v>2B</v>
          </cell>
          <cell r="V73" t="str">
            <v>2B</v>
          </cell>
          <cell r="W73" t="str">
            <v>B 그룹 2위</v>
          </cell>
          <cell r="X73" t="str">
            <v>2B</v>
          </cell>
          <cell r="Y73" t="str">
            <v>2B</v>
          </cell>
          <cell r="Z73" t="str">
            <v>2B</v>
          </cell>
          <cell r="AA73" t="str">
            <v>2B</v>
          </cell>
          <cell r="AB73" t="str">
            <v>دوم گروهB</v>
          </cell>
          <cell r="AC73" t="str">
            <v>2B</v>
          </cell>
          <cell r="AD73" t="str">
            <v>2B</v>
          </cell>
          <cell r="AE73" t="str">
            <v>2B</v>
          </cell>
          <cell r="AF73" t="str">
            <v>2B</v>
          </cell>
          <cell r="AG73" t="str">
            <v>2B</v>
          </cell>
          <cell r="AH73" t="str">
            <v>2B</v>
          </cell>
          <cell r="AI73" t="str">
            <v>2B</v>
          </cell>
          <cell r="AJ73" t="str">
            <v>2B</v>
          </cell>
          <cell r="AK73" t="str">
            <v>ที่ 2 สาย B</v>
          </cell>
          <cell r="AL73" t="str">
            <v>B2</v>
          </cell>
          <cell r="AM73" t="str">
            <v>2B</v>
          </cell>
          <cell r="AN73" t="str">
            <v>2B</v>
          </cell>
          <cell r="AO73" t="str">
            <v>۲ب</v>
          </cell>
        </row>
        <row r="74">
          <cell r="A74" t="str">
            <v>1C</v>
          </cell>
          <cell r="B74" t="str">
            <v>1C</v>
          </cell>
          <cell r="C74" t="str">
            <v>1C</v>
          </cell>
          <cell r="D74" t="str">
            <v>1C</v>
          </cell>
          <cell r="E74" t="str">
            <v>1C</v>
          </cell>
          <cell r="F74" t="str">
            <v>1C</v>
          </cell>
          <cell r="G74" t="str">
            <v>1C</v>
          </cell>
          <cell r="H74" t="str">
            <v>1C</v>
          </cell>
          <cell r="I74" t="str">
            <v>1C</v>
          </cell>
          <cell r="J74" t="str">
            <v>1C</v>
          </cell>
          <cell r="K74" t="str">
            <v>1C</v>
          </cell>
          <cell r="L74" t="str">
            <v>1C</v>
          </cell>
          <cell r="M74" t="str">
            <v>C1</v>
          </cell>
          <cell r="N74" t="str">
            <v>1C</v>
          </cell>
          <cell r="O74" t="str">
            <v>1C</v>
          </cell>
          <cell r="P74" t="str">
            <v>1C</v>
          </cell>
          <cell r="Q74" t="str">
            <v>1Γ</v>
          </cell>
          <cell r="R74" t="str">
            <v>1C</v>
          </cell>
          <cell r="S74" t="str">
            <v>1C</v>
          </cell>
          <cell r="T74" t="str">
            <v>1C</v>
          </cell>
          <cell r="U74" t="str">
            <v>1C</v>
          </cell>
          <cell r="V74" t="str">
            <v>1C</v>
          </cell>
          <cell r="W74" t="str">
            <v>C 그룹 1위</v>
          </cell>
          <cell r="X74" t="str">
            <v>1C</v>
          </cell>
          <cell r="Y74" t="str">
            <v>1C</v>
          </cell>
          <cell r="Z74" t="str">
            <v>1Ċ</v>
          </cell>
          <cell r="AA74" t="str">
            <v>1C</v>
          </cell>
          <cell r="AB74" t="str">
            <v>اول گروه C</v>
          </cell>
          <cell r="AC74" t="str">
            <v>1C</v>
          </cell>
          <cell r="AD74" t="str">
            <v>1C</v>
          </cell>
          <cell r="AE74" t="str">
            <v>1C</v>
          </cell>
          <cell r="AF74" t="str">
            <v>1C</v>
          </cell>
          <cell r="AG74" t="str">
            <v>1C</v>
          </cell>
          <cell r="AH74" t="str">
            <v>1C</v>
          </cell>
          <cell r="AI74" t="str">
            <v>1C</v>
          </cell>
          <cell r="AJ74" t="str">
            <v>1C</v>
          </cell>
          <cell r="AK74" t="str">
            <v>ที่ 1 สาย C</v>
          </cell>
          <cell r="AL74" t="str">
            <v>C1</v>
          </cell>
          <cell r="AM74" t="str">
            <v>1C</v>
          </cell>
          <cell r="AN74" t="str">
            <v>1C</v>
          </cell>
          <cell r="AO74" t="str">
            <v>۱ج</v>
          </cell>
        </row>
        <row r="75">
          <cell r="A75" t="str">
            <v>2C</v>
          </cell>
          <cell r="B75" t="str">
            <v>2C</v>
          </cell>
          <cell r="C75" t="str">
            <v>2C</v>
          </cell>
          <cell r="D75" t="str">
            <v>2C</v>
          </cell>
          <cell r="E75" t="str">
            <v>2C</v>
          </cell>
          <cell r="F75" t="str">
            <v>2C</v>
          </cell>
          <cell r="G75" t="str">
            <v>2C</v>
          </cell>
          <cell r="H75" t="str">
            <v>2C</v>
          </cell>
          <cell r="I75" t="str">
            <v>2C</v>
          </cell>
          <cell r="J75" t="str">
            <v>2C</v>
          </cell>
          <cell r="K75" t="str">
            <v>2C</v>
          </cell>
          <cell r="L75" t="str">
            <v>2C</v>
          </cell>
          <cell r="M75" t="str">
            <v>C2</v>
          </cell>
          <cell r="N75" t="str">
            <v>2C</v>
          </cell>
          <cell r="O75" t="str">
            <v>2C</v>
          </cell>
          <cell r="P75" t="str">
            <v>2C</v>
          </cell>
          <cell r="Q75" t="str">
            <v>2Γ</v>
          </cell>
          <cell r="R75" t="str">
            <v>2C</v>
          </cell>
          <cell r="S75" t="str">
            <v>2C</v>
          </cell>
          <cell r="T75" t="str">
            <v>2C</v>
          </cell>
          <cell r="U75" t="str">
            <v>2C</v>
          </cell>
          <cell r="V75" t="str">
            <v>2C</v>
          </cell>
          <cell r="W75" t="str">
            <v>C 그룹 2위</v>
          </cell>
          <cell r="X75" t="str">
            <v>2C</v>
          </cell>
          <cell r="Y75" t="str">
            <v>2C</v>
          </cell>
          <cell r="Z75" t="str">
            <v>2Ċ</v>
          </cell>
          <cell r="AA75" t="str">
            <v>2C</v>
          </cell>
          <cell r="AB75" t="str">
            <v>دوم گروه C</v>
          </cell>
          <cell r="AC75" t="str">
            <v>2C</v>
          </cell>
          <cell r="AD75" t="str">
            <v>2C</v>
          </cell>
          <cell r="AE75" t="str">
            <v>2C</v>
          </cell>
          <cell r="AF75" t="str">
            <v>2C</v>
          </cell>
          <cell r="AG75" t="str">
            <v>2C</v>
          </cell>
          <cell r="AH75" t="str">
            <v>2C</v>
          </cell>
          <cell r="AI75" t="str">
            <v>2C</v>
          </cell>
          <cell r="AJ75" t="str">
            <v>2C</v>
          </cell>
          <cell r="AK75" t="str">
            <v>ที่ 2 สาย C</v>
          </cell>
          <cell r="AL75" t="str">
            <v>C2</v>
          </cell>
          <cell r="AM75" t="str">
            <v>2C</v>
          </cell>
          <cell r="AN75" t="str">
            <v>2C</v>
          </cell>
          <cell r="AO75" t="str">
            <v>۲ج</v>
          </cell>
        </row>
        <row r="76">
          <cell r="A76" t="str">
            <v>1D</v>
          </cell>
          <cell r="B76" t="str">
            <v>1D</v>
          </cell>
          <cell r="C76" t="str">
            <v>1D</v>
          </cell>
          <cell r="D76" t="str">
            <v>1D</v>
          </cell>
          <cell r="E76" t="str">
            <v>1D</v>
          </cell>
          <cell r="F76" t="str">
            <v>1D</v>
          </cell>
          <cell r="G76" t="str">
            <v>1D</v>
          </cell>
          <cell r="H76" t="str">
            <v>1D</v>
          </cell>
          <cell r="I76" t="str">
            <v>1D</v>
          </cell>
          <cell r="J76" t="str">
            <v>1D</v>
          </cell>
          <cell r="K76" t="str">
            <v>1D</v>
          </cell>
          <cell r="L76" t="str">
            <v>1D</v>
          </cell>
          <cell r="M76" t="str">
            <v>D1</v>
          </cell>
          <cell r="N76" t="str">
            <v>1D</v>
          </cell>
          <cell r="O76" t="str">
            <v>1D</v>
          </cell>
          <cell r="P76" t="str">
            <v>1D</v>
          </cell>
          <cell r="Q76" t="str">
            <v>1Δ</v>
          </cell>
          <cell r="R76" t="str">
            <v>1D</v>
          </cell>
          <cell r="S76" t="str">
            <v>1D</v>
          </cell>
          <cell r="T76" t="str">
            <v>1D</v>
          </cell>
          <cell r="U76" t="str">
            <v>1D</v>
          </cell>
          <cell r="V76" t="str">
            <v>1D</v>
          </cell>
          <cell r="W76" t="str">
            <v>D 그룹 1위</v>
          </cell>
          <cell r="X76" t="str">
            <v>1D</v>
          </cell>
          <cell r="Y76" t="str">
            <v>1D</v>
          </cell>
          <cell r="Z76" t="str">
            <v>1D</v>
          </cell>
          <cell r="AA76" t="str">
            <v>1D</v>
          </cell>
          <cell r="AB76" t="str">
            <v>اول گروه D</v>
          </cell>
          <cell r="AC76" t="str">
            <v>1D</v>
          </cell>
          <cell r="AD76" t="str">
            <v>1D</v>
          </cell>
          <cell r="AE76" t="str">
            <v>1D</v>
          </cell>
          <cell r="AF76" t="str">
            <v>1D</v>
          </cell>
          <cell r="AG76" t="str">
            <v>1D</v>
          </cell>
          <cell r="AH76" t="str">
            <v>1D</v>
          </cell>
          <cell r="AI76" t="str">
            <v>1D</v>
          </cell>
          <cell r="AJ76" t="str">
            <v>1D</v>
          </cell>
          <cell r="AK76" t="str">
            <v>ที่ 1 สาย D</v>
          </cell>
          <cell r="AL76" t="str">
            <v>D1</v>
          </cell>
          <cell r="AM76" t="str">
            <v>1D</v>
          </cell>
          <cell r="AN76" t="str">
            <v>1D</v>
          </cell>
          <cell r="AO76" t="str">
            <v>۱د</v>
          </cell>
        </row>
        <row r="77">
          <cell r="A77" t="str">
            <v>2D</v>
          </cell>
          <cell r="B77" t="str">
            <v>2D</v>
          </cell>
          <cell r="C77" t="str">
            <v>2D</v>
          </cell>
          <cell r="D77" t="str">
            <v>2D</v>
          </cell>
          <cell r="E77" t="str">
            <v>2D</v>
          </cell>
          <cell r="F77" t="str">
            <v>2D</v>
          </cell>
          <cell r="G77" t="str">
            <v>2D</v>
          </cell>
          <cell r="H77" t="str">
            <v>2D</v>
          </cell>
          <cell r="I77" t="str">
            <v>2D</v>
          </cell>
          <cell r="J77" t="str">
            <v>2D</v>
          </cell>
          <cell r="K77" t="str">
            <v>2D</v>
          </cell>
          <cell r="L77" t="str">
            <v>2D</v>
          </cell>
          <cell r="M77" t="str">
            <v>D2</v>
          </cell>
          <cell r="N77" t="str">
            <v>2D</v>
          </cell>
          <cell r="O77" t="str">
            <v>2D</v>
          </cell>
          <cell r="P77" t="str">
            <v>2D</v>
          </cell>
          <cell r="Q77" t="str">
            <v>2Δ</v>
          </cell>
          <cell r="R77" t="str">
            <v>2D</v>
          </cell>
          <cell r="S77" t="str">
            <v>2D</v>
          </cell>
          <cell r="T77" t="str">
            <v>2D</v>
          </cell>
          <cell r="U77" t="str">
            <v>2D</v>
          </cell>
          <cell r="V77" t="str">
            <v>2D</v>
          </cell>
          <cell r="W77" t="str">
            <v>D 그룹 2위</v>
          </cell>
          <cell r="X77" t="str">
            <v>2D</v>
          </cell>
          <cell r="Y77" t="str">
            <v>2D</v>
          </cell>
          <cell r="Z77" t="str">
            <v>2D</v>
          </cell>
          <cell r="AA77" t="str">
            <v>2D</v>
          </cell>
          <cell r="AB77" t="str">
            <v>دوم گروه D</v>
          </cell>
          <cell r="AC77" t="str">
            <v>2D</v>
          </cell>
          <cell r="AD77" t="str">
            <v>2D</v>
          </cell>
          <cell r="AE77" t="str">
            <v>2D</v>
          </cell>
          <cell r="AF77" t="str">
            <v>2D</v>
          </cell>
          <cell r="AG77" t="str">
            <v>2D</v>
          </cell>
          <cell r="AH77" t="str">
            <v>2D</v>
          </cell>
          <cell r="AI77" t="str">
            <v>2D</v>
          </cell>
          <cell r="AJ77" t="str">
            <v>2D</v>
          </cell>
          <cell r="AK77" t="str">
            <v>ที่ 2 สาย D</v>
          </cell>
          <cell r="AL77" t="str">
            <v>D2</v>
          </cell>
          <cell r="AM77" t="str">
            <v>2D</v>
          </cell>
          <cell r="AN77" t="str">
            <v>2D</v>
          </cell>
          <cell r="AO77" t="str">
            <v>۲د</v>
          </cell>
        </row>
        <row r="78">
          <cell r="A78" t="str">
            <v>1E</v>
          </cell>
          <cell r="B78" t="str">
            <v>1E</v>
          </cell>
          <cell r="C78" t="str">
            <v>1E</v>
          </cell>
          <cell r="D78" t="str">
            <v>1E</v>
          </cell>
          <cell r="E78" t="str">
            <v>1E</v>
          </cell>
          <cell r="F78" t="str">
            <v>1E</v>
          </cell>
          <cell r="G78" t="str">
            <v>1E</v>
          </cell>
          <cell r="H78" t="str">
            <v>1E</v>
          </cell>
          <cell r="I78" t="str">
            <v>1E</v>
          </cell>
          <cell r="J78" t="str">
            <v>1E</v>
          </cell>
          <cell r="K78" t="str">
            <v>1E</v>
          </cell>
          <cell r="L78" t="str">
            <v>1E</v>
          </cell>
          <cell r="M78" t="str">
            <v>E1</v>
          </cell>
          <cell r="N78" t="str">
            <v>1E</v>
          </cell>
          <cell r="O78" t="str">
            <v>1E</v>
          </cell>
          <cell r="P78" t="str">
            <v>1E</v>
          </cell>
          <cell r="Q78" t="str">
            <v>1Ε</v>
          </cell>
          <cell r="R78" t="str">
            <v>1E</v>
          </cell>
          <cell r="S78" t="str">
            <v>1E</v>
          </cell>
          <cell r="T78" t="str">
            <v>1E</v>
          </cell>
          <cell r="U78" t="str">
            <v>1E</v>
          </cell>
          <cell r="V78" t="str">
            <v>1E</v>
          </cell>
          <cell r="W78" t="str">
            <v>E 그룹 1위</v>
          </cell>
          <cell r="X78" t="str">
            <v>1E</v>
          </cell>
          <cell r="Y78" t="str">
            <v>1E</v>
          </cell>
          <cell r="Z78" t="str">
            <v>1E</v>
          </cell>
          <cell r="AA78" t="str">
            <v>1E</v>
          </cell>
          <cell r="AB78" t="str">
            <v>اول گروه E</v>
          </cell>
          <cell r="AC78" t="str">
            <v>1E</v>
          </cell>
          <cell r="AD78" t="str">
            <v>1E</v>
          </cell>
          <cell r="AE78" t="str">
            <v>1E</v>
          </cell>
          <cell r="AF78" t="str">
            <v>1E</v>
          </cell>
          <cell r="AG78" t="str">
            <v>1E</v>
          </cell>
          <cell r="AH78" t="str">
            <v>1E</v>
          </cell>
          <cell r="AI78" t="str">
            <v>1E</v>
          </cell>
          <cell r="AJ78" t="str">
            <v>1E</v>
          </cell>
          <cell r="AK78" t="str">
            <v>ที่ 1 สาย E</v>
          </cell>
          <cell r="AL78" t="str">
            <v>E1</v>
          </cell>
          <cell r="AM78" t="str">
            <v>1E</v>
          </cell>
          <cell r="AN78" t="str">
            <v>1E</v>
          </cell>
          <cell r="AO78" t="str">
            <v>۱ھ</v>
          </cell>
        </row>
        <row r="79">
          <cell r="A79" t="str">
            <v>2E</v>
          </cell>
          <cell r="B79" t="str">
            <v>2E</v>
          </cell>
          <cell r="C79" t="str">
            <v>2E</v>
          </cell>
          <cell r="D79" t="str">
            <v>2E</v>
          </cell>
          <cell r="E79" t="str">
            <v>2E</v>
          </cell>
          <cell r="F79" t="str">
            <v>2E</v>
          </cell>
          <cell r="G79" t="str">
            <v>2E</v>
          </cell>
          <cell r="H79" t="str">
            <v>2E</v>
          </cell>
          <cell r="I79" t="str">
            <v>2E</v>
          </cell>
          <cell r="J79" t="str">
            <v>2E</v>
          </cell>
          <cell r="K79" t="str">
            <v>2E</v>
          </cell>
          <cell r="L79" t="str">
            <v>2E</v>
          </cell>
          <cell r="M79" t="str">
            <v>E2</v>
          </cell>
          <cell r="N79" t="str">
            <v>2E</v>
          </cell>
          <cell r="O79" t="str">
            <v>2E</v>
          </cell>
          <cell r="P79" t="str">
            <v>2E</v>
          </cell>
          <cell r="Q79" t="str">
            <v>2Ε</v>
          </cell>
          <cell r="R79" t="str">
            <v>2E</v>
          </cell>
          <cell r="S79" t="str">
            <v>2E</v>
          </cell>
          <cell r="T79" t="str">
            <v>2E</v>
          </cell>
          <cell r="U79" t="str">
            <v>2E</v>
          </cell>
          <cell r="V79" t="str">
            <v>2E</v>
          </cell>
          <cell r="W79" t="str">
            <v>E 그룹 2위</v>
          </cell>
          <cell r="X79" t="str">
            <v>2E</v>
          </cell>
          <cell r="Y79" t="str">
            <v>2E</v>
          </cell>
          <cell r="Z79" t="str">
            <v>2E</v>
          </cell>
          <cell r="AA79" t="str">
            <v>2E</v>
          </cell>
          <cell r="AB79" t="str">
            <v>دوم گروه E</v>
          </cell>
          <cell r="AC79" t="str">
            <v>2E</v>
          </cell>
          <cell r="AD79" t="str">
            <v>2E</v>
          </cell>
          <cell r="AE79" t="str">
            <v>2E</v>
          </cell>
          <cell r="AF79" t="str">
            <v>2E</v>
          </cell>
          <cell r="AG79" t="str">
            <v>2E</v>
          </cell>
          <cell r="AH79" t="str">
            <v>2E</v>
          </cell>
          <cell r="AI79" t="str">
            <v>2E</v>
          </cell>
          <cell r="AJ79" t="str">
            <v>2E</v>
          </cell>
          <cell r="AK79" t="str">
            <v>ที่ 2 สาย E</v>
          </cell>
          <cell r="AL79" t="str">
            <v>E2</v>
          </cell>
          <cell r="AM79" t="str">
            <v>2E</v>
          </cell>
          <cell r="AN79" t="str">
            <v>2E</v>
          </cell>
          <cell r="AO79" t="str">
            <v>۲ھ</v>
          </cell>
        </row>
        <row r="80">
          <cell r="A80" t="str">
            <v>1F</v>
          </cell>
          <cell r="B80" t="str">
            <v>1F</v>
          </cell>
          <cell r="C80" t="str">
            <v>1F</v>
          </cell>
          <cell r="D80" t="str">
            <v>1F</v>
          </cell>
          <cell r="E80" t="str">
            <v>1F</v>
          </cell>
          <cell r="F80" t="str">
            <v>1F</v>
          </cell>
          <cell r="G80" t="str">
            <v>1F</v>
          </cell>
          <cell r="H80" t="str">
            <v>1F</v>
          </cell>
          <cell r="I80" t="str">
            <v>1F</v>
          </cell>
          <cell r="J80" t="str">
            <v>1F</v>
          </cell>
          <cell r="K80" t="str">
            <v>1F</v>
          </cell>
          <cell r="L80" t="str">
            <v>1F</v>
          </cell>
          <cell r="M80" t="str">
            <v>F1</v>
          </cell>
          <cell r="N80" t="str">
            <v>1F</v>
          </cell>
          <cell r="O80" t="str">
            <v>1F</v>
          </cell>
          <cell r="P80" t="str">
            <v>1F</v>
          </cell>
          <cell r="Q80" t="str">
            <v>1ΣΤ</v>
          </cell>
          <cell r="R80" t="str">
            <v>1F</v>
          </cell>
          <cell r="S80" t="str">
            <v>1F</v>
          </cell>
          <cell r="T80" t="str">
            <v>1F</v>
          </cell>
          <cell r="U80" t="str">
            <v>1F</v>
          </cell>
          <cell r="V80" t="str">
            <v>1F</v>
          </cell>
          <cell r="W80" t="str">
            <v>F 그룹 1위</v>
          </cell>
          <cell r="X80" t="str">
            <v>1F</v>
          </cell>
          <cell r="Y80" t="str">
            <v>1F</v>
          </cell>
          <cell r="Z80" t="str">
            <v>1F</v>
          </cell>
          <cell r="AA80" t="str">
            <v>1F</v>
          </cell>
          <cell r="AB80" t="str">
            <v>اول گروه F</v>
          </cell>
          <cell r="AC80" t="str">
            <v>1F</v>
          </cell>
          <cell r="AD80" t="str">
            <v>1F</v>
          </cell>
          <cell r="AE80" t="str">
            <v>1F</v>
          </cell>
          <cell r="AF80" t="str">
            <v>1F</v>
          </cell>
          <cell r="AG80" t="str">
            <v>1F</v>
          </cell>
          <cell r="AH80" t="str">
            <v>1F</v>
          </cell>
          <cell r="AI80" t="str">
            <v>1F</v>
          </cell>
          <cell r="AJ80" t="str">
            <v>1F</v>
          </cell>
          <cell r="AK80" t="str">
            <v>ที่ 1 สาย F</v>
          </cell>
          <cell r="AL80" t="str">
            <v>F1</v>
          </cell>
          <cell r="AM80" t="str">
            <v>1F</v>
          </cell>
          <cell r="AN80" t="str">
            <v>1F</v>
          </cell>
          <cell r="AO80" t="str">
            <v>۱و</v>
          </cell>
        </row>
        <row r="81">
          <cell r="A81" t="str">
            <v>2F</v>
          </cell>
          <cell r="B81" t="str">
            <v>2F</v>
          </cell>
          <cell r="C81" t="str">
            <v>2F</v>
          </cell>
          <cell r="D81" t="str">
            <v>2F</v>
          </cell>
          <cell r="E81" t="str">
            <v>2F</v>
          </cell>
          <cell r="F81" t="str">
            <v>2F</v>
          </cell>
          <cell r="G81" t="str">
            <v>2F</v>
          </cell>
          <cell r="H81" t="str">
            <v>2F</v>
          </cell>
          <cell r="I81" t="str">
            <v>2F</v>
          </cell>
          <cell r="J81" t="str">
            <v>2F</v>
          </cell>
          <cell r="K81" t="str">
            <v>2F</v>
          </cell>
          <cell r="L81" t="str">
            <v>2F</v>
          </cell>
          <cell r="M81" t="str">
            <v>F2</v>
          </cell>
          <cell r="N81" t="str">
            <v>2F</v>
          </cell>
          <cell r="O81" t="str">
            <v>2F</v>
          </cell>
          <cell r="P81" t="str">
            <v>2F</v>
          </cell>
          <cell r="Q81" t="str">
            <v>2ΣΤ</v>
          </cell>
          <cell r="R81" t="str">
            <v>2F</v>
          </cell>
          <cell r="S81" t="str">
            <v>2F</v>
          </cell>
          <cell r="T81" t="str">
            <v>2F</v>
          </cell>
          <cell r="U81" t="str">
            <v>2F</v>
          </cell>
          <cell r="V81" t="str">
            <v>2F</v>
          </cell>
          <cell r="W81" t="str">
            <v>F 그룹 2위</v>
          </cell>
          <cell r="X81" t="str">
            <v>2F</v>
          </cell>
          <cell r="Y81" t="str">
            <v>2F</v>
          </cell>
          <cell r="Z81" t="str">
            <v>2F</v>
          </cell>
          <cell r="AA81" t="str">
            <v>2F</v>
          </cell>
          <cell r="AB81" t="str">
            <v>دوم گروه F</v>
          </cell>
          <cell r="AC81" t="str">
            <v>2F</v>
          </cell>
          <cell r="AD81" t="str">
            <v>2F</v>
          </cell>
          <cell r="AE81" t="str">
            <v>2F</v>
          </cell>
          <cell r="AF81" t="str">
            <v>2F</v>
          </cell>
          <cell r="AG81" t="str">
            <v>2F</v>
          </cell>
          <cell r="AH81" t="str">
            <v>2F</v>
          </cell>
          <cell r="AI81" t="str">
            <v>2F</v>
          </cell>
          <cell r="AJ81" t="str">
            <v>2F</v>
          </cell>
          <cell r="AK81" t="str">
            <v>ที่ 2 สาย F</v>
          </cell>
          <cell r="AL81" t="str">
            <v>F2</v>
          </cell>
          <cell r="AM81" t="str">
            <v>2F</v>
          </cell>
          <cell r="AN81" t="str">
            <v>2F</v>
          </cell>
          <cell r="AO81" t="str">
            <v>۲و</v>
          </cell>
        </row>
        <row r="82">
          <cell r="A82" t="str">
            <v>1G</v>
          </cell>
          <cell r="B82" t="str">
            <v>1G</v>
          </cell>
          <cell r="C82" t="str">
            <v>1G</v>
          </cell>
          <cell r="D82" t="str">
            <v>1G</v>
          </cell>
          <cell r="E82" t="str">
            <v>1G</v>
          </cell>
          <cell r="F82" t="str">
            <v>1G</v>
          </cell>
          <cell r="G82" t="str">
            <v>1G</v>
          </cell>
          <cell r="H82" t="str">
            <v>1G</v>
          </cell>
          <cell r="I82" t="str">
            <v>1G</v>
          </cell>
          <cell r="J82" t="str">
            <v>1G</v>
          </cell>
          <cell r="K82" t="str">
            <v>1G</v>
          </cell>
          <cell r="L82" t="str">
            <v>1G</v>
          </cell>
          <cell r="M82" t="str">
            <v>G1</v>
          </cell>
          <cell r="N82" t="str">
            <v>1G</v>
          </cell>
          <cell r="O82" t="str">
            <v>1G</v>
          </cell>
          <cell r="P82" t="str">
            <v>1G</v>
          </cell>
          <cell r="Q82" t="str">
            <v>1Ζ</v>
          </cell>
          <cell r="R82" t="str">
            <v>1G</v>
          </cell>
          <cell r="S82" t="str">
            <v>1G</v>
          </cell>
          <cell r="T82" t="str">
            <v>1G</v>
          </cell>
          <cell r="U82" t="str">
            <v>1G</v>
          </cell>
          <cell r="V82" t="str">
            <v>1G</v>
          </cell>
          <cell r="W82" t="str">
            <v>G 그룹 1위</v>
          </cell>
          <cell r="X82" t="str">
            <v>1G</v>
          </cell>
          <cell r="Y82" t="str">
            <v>1G</v>
          </cell>
          <cell r="Z82" t="str">
            <v>1Ġ</v>
          </cell>
          <cell r="AA82" t="str">
            <v>1G</v>
          </cell>
          <cell r="AB82" t="str">
            <v>اول گروه G</v>
          </cell>
          <cell r="AC82" t="str">
            <v>1G</v>
          </cell>
          <cell r="AD82" t="str">
            <v>1G</v>
          </cell>
          <cell r="AE82" t="str">
            <v>1G</v>
          </cell>
          <cell r="AF82" t="str">
            <v>1G</v>
          </cell>
          <cell r="AG82" t="str">
            <v>1G</v>
          </cell>
          <cell r="AH82" t="str">
            <v>1G</v>
          </cell>
          <cell r="AI82" t="str">
            <v>1G</v>
          </cell>
          <cell r="AJ82" t="str">
            <v>1G</v>
          </cell>
          <cell r="AK82" t="str">
            <v>ที่ 1 สาย G</v>
          </cell>
          <cell r="AL82" t="str">
            <v>G1</v>
          </cell>
          <cell r="AM82" t="str">
            <v>1G</v>
          </cell>
          <cell r="AN82" t="str">
            <v>1G</v>
          </cell>
          <cell r="AO82" t="str">
            <v>۱ز</v>
          </cell>
        </row>
        <row r="83">
          <cell r="A83" t="str">
            <v>2G</v>
          </cell>
          <cell r="B83" t="str">
            <v>2G</v>
          </cell>
          <cell r="C83" t="str">
            <v>2G</v>
          </cell>
          <cell r="D83" t="str">
            <v>2G</v>
          </cell>
          <cell r="E83" t="str">
            <v>2G</v>
          </cell>
          <cell r="F83" t="str">
            <v>2G</v>
          </cell>
          <cell r="G83" t="str">
            <v>2G</v>
          </cell>
          <cell r="H83" t="str">
            <v>2G</v>
          </cell>
          <cell r="I83" t="str">
            <v>2G</v>
          </cell>
          <cell r="J83" t="str">
            <v>2G</v>
          </cell>
          <cell r="K83" t="str">
            <v>2G</v>
          </cell>
          <cell r="L83" t="str">
            <v>2G</v>
          </cell>
          <cell r="M83" t="str">
            <v>G2</v>
          </cell>
          <cell r="N83" t="str">
            <v>2G</v>
          </cell>
          <cell r="O83" t="str">
            <v>2G</v>
          </cell>
          <cell r="P83" t="str">
            <v>2G</v>
          </cell>
          <cell r="Q83" t="str">
            <v>2Ζ</v>
          </cell>
          <cell r="R83" t="str">
            <v>2G</v>
          </cell>
          <cell r="S83" t="str">
            <v>2G</v>
          </cell>
          <cell r="T83" t="str">
            <v>2G</v>
          </cell>
          <cell r="U83" t="str">
            <v>2G</v>
          </cell>
          <cell r="V83" t="str">
            <v>2G</v>
          </cell>
          <cell r="W83" t="str">
            <v>G 그룹 2위</v>
          </cell>
          <cell r="X83" t="str">
            <v>2G</v>
          </cell>
          <cell r="Y83" t="str">
            <v>2G</v>
          </cell>
          <cell r="Z83" t="str">
            <v>2Ġ</v>
          </cell>
          <cell r="AA83" t="str">
            <v>2G</v>
          </cell>
          <cell r="AB83" t="str">
            <v>دوم گروه G</v>
          </cell>
          <cell r="AC83" t="str">
            <v>2G</v>
          </cell>
          <cell r="AD83" t="str">
            <v>2G</v>
          </cell>
          <cell r="AE83" t="str">
            <v>2G</v>
          </cell>
          <cell r="AF83" t="str">
            <v>2G</v>
          </cell>
          <cell r="AG83" t="str">
            <v>2G</v>
          </cell>
          <cell r="AH83" t="str">
            <v>2G</v>
          </cell>
          <cell r="AI83" t="str">
            <v>2G</v>
          </cell>
          <cell r="AJ83" t="str">
            <v>2G</v>
          </cell>
          <cell r="AK83" t="str">
            <v>ที่ 2 สาย G</v>
          </cell>
          <cell r="AL83" t="str">
            <v>G2</v>
          </cell>
          <cell r="AM83" t="str">
            <v>2G</v>
          </cell>
          <cell r="AN83" t="str">
            <v>2G</v>
          </cell>
          <cell r="AO83" t="str">
            <v>۲ز</v>
          </cell>
        </row>
        <row r="84">
          <cell r="A84" t="str">
            <v>1H</v>
          </cell>
          <cell r="B84" t="str">
            <v>1H</v>
          </cell>
          <cell r="C84" t="str">
            <v>1H</v>
          </cell>
          <cell r="D84" t="str">
            <v>1H</v>
          </cell>
          <cell r="E84" t="str">
            <v>1H</v>
          </cell>
          <cell r="F84" t="str">
            <v>1H</v>
          </cell>
          <cell r="G84" t="str">
            <v>1H</v>
          </cell>
          <cell r="H84" t="str">
            <v>1H</v>
          </cell>
          <cell r="I84" t="str">
            <v>1H</v>
          </cell>
          <cell r="J84" t="str">
            <v>1H</v>
          </cell>
          <cell r="K84" t="str">
            <v>1H</v>
          </cell>
          <cell r="L84" t="str">
            <v>1H</v>
          </cell>
          <cell r="M84" t="str">
            <v>H1</v>
          </cell>
          <cell r="N84" t="str">
            <v>1H</v>
          </cell>
          <cell r="O84" t="str">
            <v>1H</v>
          </cell>
          <cell r="P84" t="str">
            <v>1H</v>
          </cell>
          <cell r="Q84" t="str">
            <v>1H</v>
          </cell>
          <cell r="R84" t="str">
            <v>1H</v>
          </cell>
          <cell r="S84" t="str">
            <v>1H</v>
          </cell>
          <cell r="T84" t="str">
            <v>1H</v>
          </cell>
          <cell r="U84" t="str">
            <v>1H</v>
          </cell>
          <cell r="V84" t="str">
            <v>1H</v>
          </cell>
          <cell r="W84" t="str">
            <v>H 그룹 1위</v>
          </cell>
          <cell r="X84" t="str">
            <v>1H</v>
          </cell>
          <cell r="Y84" t="str">
            <v>1H</v>
          </cell>
          <cell r="Z84" t="str">
            <v>1Ħ</v>
          </cell>
          <cell r="AA84" t="str">
            <v>1H</v>
          </cell>
          <cell r="AB84" t="str">
            <v>اول گروه H</v>
          </cell>
          <cell r="AC84" t="str">
            <v>1H</v>
          </cell>
          <cell r="AD84" t="str">
            <v>1H</v>
          </cell>
          <cell r="AE84" t="str">
            <v>1H</v>
          </cell>
          <cell r="AF84" t="str">
            <v>1H</v>
          </cell>
          <cell r="AG84" t="str">
            <v>1H</v>
          </cell>
          <cell r="AH84" t="str">
            <v>1H</v>
          </cell>
          <cell r="AI84" t="str">
            <v>1H</v>
          </cell>
          <cell r="AJ84" t="str">
            <v>1H</v>
          </cell>
          <cell r="AK84" t="str">
            <v>ที่ 1 สาย H</v>
          </cell>
          <cell r="AL84" t="str">
            <v>H1</v>
          </cell>
          <cell r="AM84" t="str">
            <v>1H</v>
          </cell>
          <cell r="AN84" t="str">
            <v>1H</v>
          </cell>
          <cell r="AO84" t="str">
            <v>۱ح</v>
          </cell>
        </row>
        <row r="85">
          <cell r="A85" t="str">
            <v>2H</v>
          </cell>
          <cell r="B85" t="str">
            <v>2H</v>
          </cell>
          <cell r="C85" t="str">
            <v>2H</v>
          </cell>
          <cell r="D85" t="str">
            <v>2H</v>
          </cell>
          <cell r="E85" t="str">
            <v>2H</v>
          </cell>
          <cell r="F85" t="str">
            <v>2H</v>
          </cell>
          <cell r="G85" t="str">
            <v>2H</v>
          </cell>
          <cell r="H85" t="str">
            <v>2H</v>
          </cell>
          <cell r="I85" t="str">
            <v>2H</v>
          </cell>
          <cell r="J85" t="str">
            <v>2H</v>
          </cell>
          <cell r="K85" t="str">
            <v>2H</v>
          </cell>
          <cell r="L85" t="str">
            <v>2H</v>
          </cell>
          <cell r="M85" t="str">
            <v>H2</v>
          </cell>
          <cell r="N85" t="str">
            <v>2H</v>
          </cell>
          <cell r="O85" t="str">
            <v>2H</v>
          </cell>
          <cell r="P85" t="str">
            <v>2H</v>
          </cell>
          <cell r="Q85" t="str">
            <v>2H</v>
          </cell>
          <cell r="R85" t="str">
            <v>2H</v>
          </cell>
          <cell r="S85" t="str">
            <v>2H</v>
          </cell>
          <cell r="T85" t="str">
            <v>2H</v>
          </cell>
          <cell r="U85" t="str">
            <v>2H</v>
          </cell>
          <cell r="V85" t="str">
            <v>2H</v>
          </cell>
          <cell r="W85" t="str">
            <v>H 그룹 2위</v>
          </cell>
          <cell r="X85" t="str">
            <v>2H</v>
          </cell>
          <cell r="Y85" t="str">
            <v>2H</v>
          </cell>
          <cell r="Z85" t="str">
            <v>1Ħ</v>
          </cell>
          <cell r="AA85" t="str">
            <v>2H</v>
          </cell>
          <cell r="AB85" t="str">
            <v>دوم گروه H</v>
          </cell>
          <cell r="AC85" t="str">
            <v>2H</v>
          </cell>
          <cell r="AD85" t="str">
            <v>2H</v>
          </cell>
          <cell r="AE85" t="str">
            <v>2H</v>
          </cell>
          <cell r="AF85" t="str">
            <v>2H</v>
          </cell>
          <cell r="AG85" t="str">
            <v>2H</v>
          </cell>
          <cell r="AH85" t="str">
            <v>2H</v>
          </cell>
          <cell r="AI85" t="str">
            <v>2H</v>
          </cell>
          <cell r="AJ85" t="str">
            <v>2H</v>
          </cell>
          <cell r="AK85" t="str">
            <v>ที่ 2 สาย H</v>
          </cell>
          <cell r="AL85" t="str">
            <v>H2</v>
          </cell>
          <cell r="AM85" t="str">
            <v>2H</v>
          </cell>
          <cell r="AN85" t="str">
            <v>2H</v>
          </cell>
          <cell r="AO85" t="str">
            <v>۲ح</v>
          </cell>
        </row>
        <row r="86">
          <cell r="A86" t="str">
            <v>W37</v>
          </cell>
          <cell r="B86" t="str">
            <v>F37</v>
          </cell>
          <cell r="C86" t="str">
            <v>W37</v>
          </cell>
          <cell r="D86" t="str">
            <v>W37</v>
          </cell>
          <cell r="E86" t="str">
            <v>Q37</v>
          </cell>
          <cell r="F86" t="str">
            <v>W37</v>
          </cell>
          <cell r="G86" t="str">
            <v>G37</v>
          </cell>
          <cell r="H86" t="str">
            <v>37胜者</v>
          </cell>
          <cell r="I86" t="str">
            <v>W37</v>
          </cell>
          <cell r="J86" t="str">
            <v>W37</v>
          </cell>
          <cell r="K86" t="str">
            <v>V37</v>
          </cell>
          <cell r="L86" t="str">
            <v>V37</v>
          </cell>
          <cell r="M86" t="str">
            <v>W37</v>
          </cell>
          <cell r="N86" t="str">
            <v>W37</v>
          </cell>
          <cell r="O86" t="str">
            <v>მ37</v>
          </cell>
          <cell r="P86" t="str">
            <v>W37</v>
          </cell>
          <cell r="Q86" t="str">
            <v>Ν37</v>
          </cell>
          <cell r="R86" t="str">
            <v>W37</v>
          </cell>
          <cell r="S86" t="str">
            <v>GY37</v>
          </cell>
          <cell r="T86" t="str">
            <v>W37</v>
          </cell>
          <cell r="U86" t="str">
            <v>W37</v>
          </cell>
          <cell r="V86" t="str">
            <v>W37</v>
          </cell>
          <cell r="W86" t="str">
            <v>16강전 경기1 승자</v>
          </cell>
          <cell r="X86" t="str">
            <v>L37</v>
          </cell>
          <cell r="Y86" t="str">
            <v>П37</v>
          </cell>
          <cell r="Z86" t="str">
            <v>R37</v>
          </cell>
          <cell r="AA86" t="str">
            <v>V37</v>
          </cell>
          <cell r="AB86" t="str">
            <v>برنده بازی 37</v>
          </cell>
          <cell r="AC86" t="str">
            <v>W37</v>
          </cell>
          <cell r="AD86" t="str">
            <v>W37</v>
          </cell>
          <cell r="AE86" t="str">
            <v>C37</v>
          </cell>
          <cell r="AF86" t="str">
            <v>P37</v>
          </cell>
          <cell r="AG86" t="str">
            <v>V37</v>
          </cell>
          <cell r="AH86" t="str">
            <v>W37</v>
          </cell>
          <cell r="AI86" t="str">
            <v>W37</v>
          </cell>
          <cell r="AJ86" t="str">
            <v>W37</v>
          </cell>
          <cell r="AK86" t="str">
            <v>ผู้ชนะนัดที่ 37</v>
          </cell>
          <cell r="AL86" t="str">
            <v>G37</v>
          </cell>
          <cell r="AM86" t="str">
            <v>T37</v>
          </cell>
          <cell r="AN86" t="str">
            <v>Переможець 37</v>
          </cell>
          <cell r="AO86" t="str">
            <v>۴۹ جیت</v>
          </cell>
        </row>
        <row r="87">
          <cell r="A87" t="str">
            <v>W39</v>
          </cell>
          <cell r="B87" t="str">
            <v>F39</v>
          </cell>
          <cell r="C87" t="str">
            <v>W39</v>
          </cell>
          <cell r="D87" t="str">
            <v>W39</v>
          </cell>
          <cell r="E87" t="str">
            <v>Q39</v>
          </cell>
          <cell r="F87" t="str">
            <v>W39</v>
          </cell>
          <cell r="G87" t="str">
            <v>G39</v>
          </cell>
          <cell r="H87" t="str">
            <v>39胜者</v>
          </cell>
          <cell r="I87" t="str">
            <v>W39</v>
          </cell>
          <cell r="J87" t="str">
            <v>W39</v>
          </cell>
          <cell r="K87" t="str">
            <v>V39</v>
          </cell>
          <cell r="L87" t="str">
            <v>V39</v>
          </cell>
          <cell r="M87" t="str">
            <v>W39</v>
          </cell>
          <cell r="N87" t="str">
            <v>W39</v>
          </cell>
          <cell r="O87" t="str">
            <v>მ39</v>
          </cell>
          <cell r="P87" t="str">
            <v>W39</v>
          </cell>
          <cell r="Q87" t="str">
            <v>Ν39</v>
          </cell>
          <cell r="R87" t="str">
            <v>W39</v>
          </cell>
          <cell r="S87" t="str">
            <v>GY39</v>
          </cell>
          <cell r="T87" t="str">
            <v>W39</v>
          </cell>
          <cell r="U87" t="str">
            <v>W39</v>
          </cell>
          <cell r="V87" t="str">
            <v>W39</v>
          </cell>
          <cell r="W87" t="str">
            <v>16강전 경기2 승자</v>
          </cell>
          <cell r="X87" t="str">
            <v>L39</v>
          </cell>
          <cell r="Y87" t="str">
            <v>П39</v>
          </cell>
          <cell r="Z87" t="str">
            <v>R39</v>
          </cell>
          <cell r="AA87" t="str">
            <v>V39</v>
          </cell>
          <cell r="AB87" t="str">
            <v>برنده بازی 39</v>
          </cell>
          <cell r="AC87" t="str">
            <v>W39</v>
          </cell>
          <cell r="AD87" t="str">
            <v>W39</v>
          </cell>
          <cell r="AE87" t="str">
            <v>C39</v>
          </cell>
          <cell r="AF87" t="str">
            <v>P39</v>
          </cell>
          <cell r="AG87" t="str">
            <v>V39</v>
          </cell>
          <cell r="AH87" t="str">
            <v>W39</v>
          </cell>
          <cell r="AI87" t="str">
            <v>W39</v>
          </cell>
          <cell r="AJ87" t="str">
            <v>W39</v>
          </cell>
          <cell r="AK87" t="str">
            <v>ผู้ชนะนัดที่ 39</v>
          </cell>
          <cell r="AL87" t="str">
            <v>G39</v>
          </cell>
          <cell r="AM87" t="str">
            <v>T39</v>
          </cell>
          <cell r="AN87" t="str">
            <v>Переможець 39</v>
          </cell>
          <cell r="AO87" t="str">
            <v>۵۰ جیت</v>
          </cell>
        </row>
        <row r="88">
          <cell r="A88" t="str">
            <v>W41</v>
          </cell>
          <cell r="B88" t="str">
            <v>F41</v>
          </cell>
          <cell r="C88" t="str">
            <v>W41</v>
          </cell>
          <cell r="D88" t="str">
            <v>W41</v>
          </cell>
          <cell r="E88" t="str">
            <v>Q41</v>
          </cell>
          <cell r="F88" t="str">
            <v>W41</v>
          </cell>
          <cell r="G88" t="str">
            <v>G41</v>
          </cell>
          <cell r="H88" t="str">
            <v>41胜者</v>
          </cell>
          <cell r="I88" t="str">
            <v>W41</v>
          </cell>
          <cell r="J88" t="str">
            <v>W41</v>
          </cell>
          <cell r="K88" t="str">
            <v>V41</v>
          </cell>
          <cell r="L88" t="str">
            <v>V41</v>
          </cell>
          <cell r="M88" t="str">
            <v>W41</v>
          </cell>
          <cell r="N88" t="str">
            <v>W41</v>
          </cell>
          <cell r="O88" t="str">
            <v>მ41</v>
          </cell>
          <cell r="P88" t="str">
            <v>W41</v>
          </cell>
          <cell r="Q88" t="str">
            <v>Ν41</v>
          </cell>
          <cell r="R88" t="str">
            <v>W41</v>
          </cell>
          <cell r="S88" t="str">
            <v>GY41</v>
          </cell>
          <cell r="T88" t="str">
            <v>W41</v>
          </cell>
          <cell r="U88" t="str">
            <v>W41</v>
          </cell>
          <cell r="V88" t="str">
            <v>W41</v>
          </cell>
          <cell r="W88" t="str">
            <v>16강전 경기3 승자</v>
          </cell>
          <cell r="X88" t="str">
            <v>L41</v>
          </cell>
          <cell r="Y88" t="str">
            <v>П41</v>
          </cell>
          <cell r="Z88" t="str">
            <v>R41</v>
          </cell>
          <cell r="AA88" t="str">
            <v>V41</v>
          </cell>
          <cell r="AB88" t="str">
            <v>برنده بازی 41</v>
          </cell>
          <cell r="AC88" t="str">
            <v>W41</v>
          </cell>
          <cell r="AD88" t="str">
            <v>W41</v>
          </cell>
          <cell r="AE88" t="str">
            <v>C41</v>
          </cell>
          <cell r="AF88" t="str">
            <v>P41</v>
          </cell>
          <cell r="AG88" t="str">
            <v>V41</v>
          </cell>
          <cell r="AH88" t="str">
            <v>W41</v>
          </cell>
          <cell r="AI88" t="str">
            <v>W41</v>
          </cell>
          <cell r="AJ88" t="str">
            <v>W41</v>
          </cell>
          <cell r="AK88" t="str">
            <v>ผู้ชนะนัดที่ 41</v>
          </cell>
          <cell r="AL88" t="str">
            <v>G41</v>
          </cell>
          <cell r="AM88" t="str">
            <v>T41</v>
          </cell>
          <cell r="AN88" t="str">
            <v>Переможець 41</v>
          </cell>
          <cell r="AO88" t="str">
            <v>۵۱ جیت</v>
          </cell>
        </row>
        <row r="89">
          <cell r="A89" t="str">
            <v>W43</v>
          </cell>
          <cell r="B89" t="str">
            <v>F43</v>
          </cell>
          <cell r="C89" t="str">
            <v>W43</v>
          </cell>
          <cell r="D89" t="str">
            <v>W43</v>
          </cell>
          <cell r="E89" t="str">
            <v>Q43</v>
          </cell>
          <cell r="F89" t="str">
            <v>W43</v>
          </cell>
          <cell r="G89" t="str">
            <v>G43</v>
          </cell>
          <cell r="H89" t="str">
            <v>43胜者</v>
          </cell>
          <cell r="I89" t="str">
            <v>W43</v>
          </cell>
          <cell r="J89" t="str">
            <v>W43</v>
          </cell>
          <cell r="K89" t="str">
            <v>V43</v>
          </cell>
          <cell r="L89" t="str">
            <v>V43</v>
          </cell>
          <cell r="M89" t="str">
            <v>W43</v>
          </cell>
          <cell r="N89" t="str">
            <v>W43</v>
          </cell>
          <cell r="O89" t="str">
            <v>მ43</v>
          </cell>
          <cell r="P89" t="str">
            <v>W43</v>
          </cell>
          <cell r="Q89" t="str">
            <v>Ν43</v>
          </cell>
          <cell r="R89" t="str">
            <v>W43</v>
          </cell>
          <cell r="S89" t="str">
            <v>GY43</v>
          </cell>
          <cell r="T89" t="str">
            <v>W43</v>
          </cell>
          <cell r="U89" t="str">
            <v>W43</v>
          </cell>
          <cell r="V89" t="str">
            <v>W43</v>
          </cell>
          <cell r="W89" t="str">
            <v>16강전 경기4 승자</v>
          </cell>
          <cell r="X89" t="str">
            <v>L43</v>
          </cell>
          <cell r="Y89" t="str">
            <v>П43</v>
          </cell>
          <cell r="Z89" t="str">
            <v>R43</v>
          </cell>
          <cell r="AA89" t="str">
            <v>V43</v>
          </cell>
          <cell r="AB89" t="str">
            <v>برنده بازی 43</v>
          </cell>
          <cell r="AC89" t="str">
            <v>W43</v>
          </cell>
          <cell r="AD89" t="str">
            <v>W43</v>
          </cell>
          <cell r="AE89" t="str">
            <v>C43</v>
          </cell>
          <cell r="AF89" t="str">
            <v>P43</v>
          </cell>
          <cell r="AG89" t="str">
            <v>V43</v>
          </cell>
          <cell r="AH89" t="str">
            <v>W43</v>
          </cell>
          <cell r="AI89" t="str">
            <v>W43</v>
          </cell>
          <cell r="AJ89" t="str">
            <v>W43</v>
          </cell>
          <cell r="AK89" t="str">
            <v>ผู้ชนะนัดที่ 43</v>
          </cell>
          <cell r="AL89" t="str">
            <v>G43</v>
          </cell>
          <cell r="AM89" t="str">
            <v>T43</v>
          </cell>
          <cell r="AN89" t="str">
            <v>Переможець 43</v>
          </cell>
          <cell r="AO89" t="str">
            <v>۵۲ جیت</v>
          </cell>
        </row>
        <row r="90">
          <cell r="A90" t="str">
            <v>W38</v>
          </cell>
          <cell r="B90" t="str">
            <v>F38</v>
          </cell>
          <cell r="C90" t="str">
            <v>W38</v>
          </cell>
          <cell r="D90" t="str">
            <v>W38</v>
          </cell>
          <cell r="E90" t="str">
            <v>Q38</v>
          </cell>
          <cell r="F90" t="str">
            <v>W38</v>
          </cell>
          <cell r="G90" t="str">
            <v>G38</v>
          </cell>
          <cell r="H90" t="str">
            <v>38胜者</v>
          </cell>
          <cell r="I90" t="str">
            <v>W38</v>
          </cell>
          <cell r="J90" t="str">
            <v>W38</v>
          </cell>
          <cell r="K90" t="str">
            <v>V38</v>
          </cell>
          <cell r="L90" t="str">
            <v>V38</v>
          </cell>
          <cell r="M90" t="str">
            <v>W38</v>
          </cell>
          <cell r="N90" t="str">
            <v>W38</v>
          </cell>
          <cell r="O90" t="str">
            <v>მ38</v>
          </cell>
          <cell r="P90" t="str">
            <v>W38</v>
          </cell>
          <cell r="Q90" t="str">
            <v>Ν38</v>
          </cell>
          <cell r="R90" t="str">
            <v>W38</v>
          </cell>
          <cell r="S90" t="str">
            <v>GY38</v>
          </cell>
          <cell r="T90" t="str">
            <v>W38</v>
          </cell>
          <cell r="U90" t="str">
            <v>W38</v>
          </cell>
          <cell r="V90" t="str">
            <v>W38</v>
          </cell>
          <cell r="W90" t="str">
            <v>16강전 경기5 승자</v>
          </cell>
          <cell r="X90" t="str">
            <v>L38</v>
          </cell>
          <cell r="Y90" t="str">
            <v>П38</v>
          </cell>
          <cell r="Z90" t="str">
            <v>R38</v>
          </cell>
          <cell r="AA90" t="str">
            <v>V38</v>
          </cell>
          <cell r="AB90" t="str">
            <v>برنده بازی 38</v>
          </cell>
          <cell r="AC90" t="str">
            <v>W38</v>
          </cell>
          <cell r="AD90" t="str">
            <v>W38</v>
          </cell>
          <cell r="AE90" t="str">
            <v>C38</v>
          </cell>
          <cell r="AF90" t="str">
            <v>P38</v>
          </cell>
          <cell r="AG90" t="str">
            <v>V38</v>
          </cell>
          <cell r="AH90" t="str">
            <v>W38</v>
          </cell>
          <cell r="AI90" t="str">
            <v>W38</v>
          </cell>
          <cell r="AJ90" t="str">
            <v>W38</v>
          </cell>
          <cell r="AK90" t="str">
            <v>ผู้ชนะนัดที่ 38</v>
          </cell>
          <cell r="AL90" t="str">
            <v>G38</v>
          </cell>
          <cell r="AM90" t="str">
            <v>T38</v>
          </cell>
          <cell r="AN90" t="str">
            <v>Переможець 38</v>
          </cell>
          <cell r="AO90" t="str">
            <v>۵۳ جیت</v>
          </cell>
        </row>
        <row r="91">
          <cell r="A91" t="str">
            <v>W42</v>
          </cell>
          <cell r="B91" t="str">
            <v>F42</v>
          </cell>
          <cell r="C91" t="str">
            <v>W42</v>
          </cell>
          <cell r="D91" t="str">
            <v>W42</v>
          </cell>
          <cell r="E91" t="str">
            <v>Q42</v>
          </cell>
          <cell r="F91" t="str">
            <v>W42</v>
          </cell>
          <cell r="G91" t="str">
            <v>G42</v>
          </cell>
          <cell r="H91" t="str">
            <v>42胜者</v>
          </cell>
          <cell r="I91" t="str">
            <v>W42</v>
          </cell>
          <cell r="J91" t="str">
            <v>W42</v>
          </cell>
          <cell r="K91" t="str">
            <v>V42</v>
          </cell>
          <cell r="L91" t="str">
            <v>V42</v>
          </cell>
          <cell r="M91" t="str">
            <v>W42</v>
          </cell>
          <cell r="N91" t="str">
            <v>W42</v>
          </cell>
          <cell r="O91" t="str">
            <v>მ42</v>
          </cell>
          <cell r="P91" t="str">
            <v>W42</v>
          </cell>
          <cell r="Q91" t="str">
            <v>Ν42</v>
          </cell>
          <cell r="R91" t="str">
            <v>W42</v>
          </cell>
          <cell r="S91" t="str">
            <v>GY42</v>
          </cell>
          <cell r="T91" t="str">
            <v>W42</v>
          </cell>
          <cell r="U91" t="str">
            <v>W42</v>
          </cell>
          <cell r="V91" t="str">
            <v>W42</v>
          </cell>
          <cell r="W91" t="str">
            <v>16강전 경기6 승자</v>
          </cell>
          <cell r="X91" t="str">
            <v>L42</v>
          </cell>
          <cell r="Y91" t="str">
            <v>П42</v>
          </cell>
          <cell r="Z91" t="str">
            <v>R42</v>
          </cell>
          <cell r="AA91" t="str">
            <v>V42</v>
          </cell>
          <cell r="AB91" t="str">
            <v>برنده بازی 42</v>
          </cell>
          <cell r="AC91" t="str">
            <v>W42</v>
          </cell>
          <cell r="AD91" t="str">
            <v>W42</v>
          </cell>
          <cell r="AE91" t="str">
            <v>C42</v>
          </cell>
          <cell r="AF91" t="str">
            <v>P42</v>
          </cell>
          <cell r="AG91" t="str">
            <v>V42</v>
          </cell>
          <cell r="AH91" t="str">
            <v>W42</v>
          </cell>
          <cell r="AI91" t="str">
            <v>W42</v>
          </cell>
          <cell r="AJ91" t="str">
            <v>W42</v>
          </cell>
          <cell r="AK91" t="str">
            <v>ผู้ชนะนัดที่ 42</v>
          </cell>
          <cell r="AL91" t="str">
            <v>G42</v>
          </cell>
          <cell r="AM91" t="str">
            <v>T42</v>
          </cell>
          <cell r="AN91" t="str">
            <v>Переможець 42</v>
          </cell>
          <cell r="AO91" t="str">
            <v>۵۴ جیت</v>
          </cell>
        </row>
        <row r="92">
          <cell r="A92" t="str">
            <v>W40</v>
          </cell>
          <cell r="B92" t="str">
            <v>F40</v>
          </cell>
          <cell r="C92" t="str">
            <v>W40</v>
          </cell>
          <cell r="D92" t="str">
            <v>W40</v>
          </cell>
          <cell r="E92" t="str">
            <v>Q40</v>
          </cell>
          <cell r="F92" t="str">
            <v>W40</v>
          </cell>
          <cell r="G92" t="str">
            <v>G40</v>
          </cell>
          <cell r="H92" t="str">
            <v>40胜者</v>
          </cell>
          <cell r="I92" t="str">
            <v>W40</v>
          </cell>
          <cell r="J92" t="str">
            <v>W40</v>
          </cell>
          <cell r="K92" t="str">
            <v>V40</v>
          </cell>
          <cell r="L92" t="str">
            <v>V40</v>
          </cell>
          <cell r="M92" t="str">
            <v>W40</v>
          </cell>
          <cell r="N92" t="str">
            <v>W40</v>
          </cell>
          <cell r="O92" t="str">
            <v>მ40</v>
          </cell>
          <cell r="P92" t="str">
            <v>W40</v>
          </cell>
          <cell r="Q92" t="str">
            <v>Ν40</v>
          </cell>
          <cell r="R92" t="str">
            <v>W40</v>
          </cell>
          <cell r="S92" t="str">
            <v>GY40</v>
          </cell>
          <cell r="T92" t="str">
            <v>W40</v>
          </cell>
          <cell r="U92" t="str">
            <v>W40</v>
          </cell>
          <cell r="V92" t="str">
            <v>W40</v>
          </cell>
          <cell r="W92" t="str">
            <v>16강전 경기7 승자</v>
          </cell>
          <cell r="X92" t="str">
            <v>L40</v>
          </cell>
          <cell r="Y92" t="str">
            <v>П40</v>
          </cell>
          <cell r="Z92" t="str">
            <v>R40</v>
          </cell>
          <cell r="AA92" t="str">
            <v>V40</v>
          </cell>
          <cell r="AB92" t="str">
            <v>برنده بازی 40</v>
          </cell>
          <cell r="AC92" t="str">
            <v>W40</v>
          </cell>
          <cell r="AD92" t="str">
            <v>W40</v>
          </cell>
          <cell r="AE92" t="str">
            <v>C40</v>
          </cell>
          <cell r="AF92" t="str">
            <v>P40</v>
          </cell>
          <cell r="AG92" t="str">
            <v>V40</v>
          </cell>
          <cell r="AH92" t="str">
            <v>W40</v>
          </cell>
          <cell r="AI92" t="str">
            <v>W40</v>
          </cell>
          <cell r="AJ92" t="str">
            <v>W40</v>
          </cell>
          <cell r="AK92" t="str">
            <v>ผู้ชนะนัดที่ 40</v>
          </cell>
          <cell r="AL92" t="str">
            <v>G40</v>
          </cell>
          <cell r="AM92" t="str">
            <v>T40</v>
          </cell>
          <cell r="AN92" t="str">
            <v>Переможець 40</v>
          </cell>
          <cell r="AO92" t="str">
            <v>۵۵ جیت</v>
          </cell>
        </row>
        <row r="93">
          <cell r="A93" t="str">
            <v>W44</v>
          </cell>
          <cell r="B93" t="str">
            <v>F44</v>
          </cell>
          <cell r="C93" t="str">
            <v>W44</v>
          </cell>
          <cell r="D93" t="str">
            <v>W44</v>
          </cell>
          <cell r="E93" t="str">
            <v>Q44</v>
          </cell>
          <cell r="F93" t="str">
            <v>W44</v>
          </cell>
          <cell r="G93" t="str">
            <v>G44</v>
          </cell>
          <cell r="H93" t="str">
            <v>44胜者</v>
          </cell>
          <cell r="I93" t="str">
            <v>W44</v>
          </cell>
          <cell r="J93" t="str">
            <v>W44</v>
          </cell>
          <cell r="K93" t="str">
            <v>V44</v>
          </cell>
          <cell r="L93" t="str">
            <v>V44</v>
          </cell>
          <cell r="M93" t="str">
            <v>W44</v>
          </cell>
          <cell r="N93" t="str">
            <v>W44</v>
          </cell>
          <cell r="O93" t="str">
            <v>მ44</v>
          </cell>
          <cell r="P93" t="str">
            <v>W44</v>
          </cell>
          <cell r="Q93" t="str">
            <v>Ν44</v>
          </cell>
          <cell r="R93" t="str">
            <v>W44</v>
          </cell>
          <cell r="S93" t="str">
            <v>GY44</v>
          </cell>
          <cell r="T93" t="str">
            <v>W44</v>
          </cell>
          <cell r="U93" t="str">
            <v>W44</v>
          </cell>
          <cell r="V93" t="str">
            <v>W44</v>
          </cell>
          <cell r="W93" t="str">
            <v>16강전 경기8 승자</v>
          </cell>
          <cell r="X93" t="str">
            <v>L44</v>
          </cell>
          <cell r="Y93" t="str">
            <v>П44</v>
          </cell>
          <cell r="Z93" t="str">
            <v>R44</v>
          </cell>
          <cell r="AA93" t="str">
            <v>V44</v>
          </cell>
          <cell r="AB93" t="str">
            <v>برنده بازی 44</v>
          </cell>
          <cell r="AC93" t="str">
            <v>W44</v>
          </cell>
          <cell r="AD93" t="str">
            <v>W44</v>
          </cell>
          <cell r="AE93" t="str">
            <v>C44</v>
          </cell>
          <cell r="AF93" t="str">
            <v>P44</v>
          </cell>
          <cell r="AG93" t="str">
            <v>V44</v>
          </cell>
          <cell r="AH93" t="str">
            <v>W44</v>
          </cell>
          <cell r="AI93" t="str">
            <v>W44</v>
          </cell>
          <cell r="AJ93" t="str">
            <v>W44</v>
          </cell>
          <cell r="AK93" t="str">
            <v>ผู้ชนะนัดที่ 44</v>
          </cell>
          <cell r="AL93" t="str">
            <v>G44</v>
          </cell>
          <cell r="AM93" t="str">
            <v>T44</v>
          </cell>
          <cell r="AN93" t="str">
            <v>Переможець 44</v>
          </cell>
          <cell r="AO93" t="str">
            <v>۵۶ جیت</v>
          </cell>
        </row>
        <row r="94">
          <cell r="A94" t="str">
            <v>W45</v>
          </cell>
          <cell r="B94" t="str">
            <v>F45</v>
          </cell>
          <cell r="C94" t="str">
            <v>W45</v>
          </cell>
          <cell r="D94" t="str">
            <v>W45</v>
          </cell>
          <cell r="E94" t="str">
            <v>Q45</v>
          </cell>
          <cell r="F94" t="str">
            <v>W45</v>
          </cell>
          <cell r="G94" t="str">
            <v>G45</v>
          </cell>
          <cell r="H94" t="str">
            <v>45胜者</v>
          </cell>
          <cell r="I94" t="str">
            <v>W45</v>
          </cell>
          <cell r="J94" t="str">
            <v>W45</v>
          </cell>
          <cell r="K94" t="str">
            <v>V45</v>
          </cell>
          <cell r="L94" t="str">
            <v>V45</v>
          </cell>
          <cell r="M94" t="str">
            <v>W45</v>
          </cell>
          <cell r="N94" t="str">
            <v>W45</v>
          </cell>
          <cell r="O94" t="str">
            <v>მ45</v>
          </cell>
          <cell r="P94" t="str">
            <v>W45</v>
          </cell>
          <cell r="Q94" t="str">
            <v>Ν45</v>
          </cell>
          <cell r="R94" t="str">
            <v>W45</v>
          </cell>
          <cell r="S94" t="str">
            <v>GY45</v>
          </cell>
          <cell r="T94" t="str">
            <v>W45</v>
          </cell>
          <cell r="U94" t="str">
            <v>W45</v>
          </cell>
          <cell r="V94" t="str">
            <v>W45</v>
          </cell>
          <cell r="W94" t="str">
            <v>8강전 경기1 승자</v>
          </cell>
          <cell r="X94" t="str">
            <v>L45</v>
          </cell>
          <cell r="Y94" t="str">
            <v>П45</v>
          </cell>
          <cell r="Z94" t="str">
            <v>R45</v>
          </cell>
          <cell r="AA94" t="str">
            <v>V45</v>
          </cell>
          <cell r="AB94" t="str">
            <v>برنده بازی 45</v>
          </cell>
          <cell r="AC94" t="str">
            <v>W45</v>
          </cell>
          <cell r="AD94" t="str">
            <v>W45</v>
          </cell>
          <cell r="AE94" t="str">
            <v>C45</v>
          </cell>
          <cell r="AF94" t="str">
            <v>P45</v>
          </cell>
          <cell r="AG94" t="str">
            <v>V45</v>
          </cell>
          <cell r="AH94" t="str">
            <v>W45</v>
          </cell>
          <cell r="AI94" t="str">
            <v>W45</v>
          </cell>
          <cell r="AJ94" t="str">
            <v>W45</v>
          </cell>
          <cell r="AK94" t="str">
            <v>ผู้ชนะนัดที่ 45</v>
          </cell>
          <cell r="AL94" t="str">
            <v>G45</v>
          </cell>
          <cell r="AM94" t="str">
            <v>T45</v>
          </cell>
          <cell r="AN94" t="str">
            <v>Переможець 45</v>
          </cell>
          <cell r="AO94" t="str">
            <v>۵۷ جیت</v>
          </cell>
        </row>
        <row r="95">
          <cell r="A95" t="str">
            <v>W46</v>
          </cell>
          <cell r="B95" t="str">
            <v>F46</v>
          </cell>
          <cell r="C95" t="str">
            <v>W46</v>
          </cell>
          <cell r="D95" t="str">
            <v>W46</v>
          </cell>
          <cell r="E95" t="str">
            <v>Q46</v>
          </cell>
          <cell r="F95" t="str">
            <v>W46</v>
          </cell>
          <cell r="G95" t="str">
            <v>G46</v>
          </cell>
          <cell r="H95" t="str">
            <v>46胜者</v>
          </cell>
          <cell r="I95" t="str">
            <v>W46</v>
          </cell>
          <cell r="J95" t="str">
            <v>W46</v>
          </cell>
          <cell r="K95" t="str">
            <v>V46</v>
          </cell>
          <cell r="L95" t="str">
            <v>V46</v>
          </cell>
          <cell r="M95" t="str">
            <v>W46</v>
          </cell>
          <cell r="N95" t="str">
            <v>W46</v>
          </cell>
          <cell r="O95" t="str">
            <v>მ46</v>
          </cell>
          <cell r="P95" t="str">
            <v>W46</v>
          </cell>
          <cell r="Q95" t="str">
            <v>Ν46</v>
          </cell>
          <cell r="R95" t="str">
            <v>W46</v>
          </cell>
          <cell r="S95" t="str">
            <v>GY46</v>
          </cell>
          <cell r="T95" t="str">
            <v>W46</v>
          </cell>
          <cell r="U95" t="str">
            <v>W46</v>
          </cell>
          <cell r="V95" t="str">
            <v>W46</v>
          </cell>
          <cell r="W95" t="str">
            <v>8강전 경기2 승자</v>
          </cell>
          <cell r="X95" t="str">
            <v>L46</v>
          </cell>
          <cell r="Y95" t="str">
            <v>П46</v>
          </cell>
          <cell r="Z95" t="str">
            <v>R46</v>
          </cell>
          <cell r="AA95" t="str">
            <v>V46</v>
          </cell>
          <cell r="AB95" t="str">
            <v>برنده بازی 46</v>
          </cell>
          <cell r="AC95" t="str">
            <v>W46</v>
          </cell>
          <cell r="AD95" t="str">
            <v>W46</v>
          </cell>
          <cell r="AE95" t="str">
            <v>C46</v>
          </cell>
          <cell r="AF95" t="str">
            <v>P46</v>
          </cell>
          <cell r="AG95" t="str">
            <v>V46</v>
          </cell>
          <cell r="AH95" t="str">
            <v>W46</v>
          </cell>
          <cell r="AI95" t="str">
            <v>W46</v>
          </cell>
          <cell r="AJ95" t="str">
            <v>W46</v>
          </cell>
          <cell r="AK95" t="str">
            <v>ผู้ชนะนัดที่ 46</v>
          </cell>
          <cell r="AL95" t="str">
            <v>G46</v>
          </cell>
          <cell r="AM95" t="str">
            <v>T46</v>
          </cell>
          <cell r="AN95" t="str">
            <v>Переможець 46</v>
          </cell>
          <cell r="AO95" t="str">
            <v>۵۸ جیت</v>
          </cell>
        </row>
        <row r="96">
          <cell r="A96" t="str">
            <v>W47</v>
          </cell>
          <cell r="B96" t="str">
            <v>F47</v>
          </cell>
          <cell r="C96" t="str">
            <v>W47</v>
          </cell>
          <cell r="D96" t="str">
            <v>W47</v>
          </cell>
          <cell r="E96" t="str">
            <v>Q47</v>
          </cell>
          <cell r="F96" t="str">
            <v>W47</v>
          </cell>
          <cell r="G96" t="str">
            <v>G47</v>
          </cell>
          <cell r="H96" t="str">
            <v>47胜者</v>
          </cell>
          <cell r="I96" t="str">
            <v>W47</v>
          </cell>
          <cell r="J96" t="str">
            <v>W47</v>
          </cell>
          <cell r="K96" t="str">
            <v>V47</v>
          </cell>
          <cell r="L96" t="str">
            <v>V47</v>
          </cell>
          <cell r="M96" t="str">
            <v>W47</v>
          </cell>
          <cell r="N96" t="str">
            <v>W47</v>
          </cell>
          <cell r="O96" t="str">
            <v>მ47</v>
          </cell>
          <cell r="P96" t="str">
            <v>W47</v>
          </cell>
          <cell r="Q96" t="str">
            <v>Ν47</v>
          </cell>
          <cell r="R96" t="str">
            <v>W47</v>
          </cell>
          <cell r="S96" t="str">
            <v>GY47</v>
          </cell>
          <cell r="T96" t="str">
            <v>W47</v>
          </cell>
          <cell r="U96" t="str">
            <v>W47</v>
          </cell>
          <cell r="V96" t="str">
            <v>W47</v>
          </cell>
          <cell r="W96" t="str">
            <v>8강전 경기3 승자</v>
          </cell>
          <cell r="X96" t="str">
            <v>L47</v>
          </cell>
          <cell r="Y96" t="str">
            <v>П47</v>
          </cell>
          <cell r="Z96" t="str">
            <v>R47</v>
          </cell>
          <cell r="AA96" t="str">
            <v>V47</v>
          </cell>
          <cell r="AB96" t="str">
            <v>برنده بازی 47</v>
          </cell>
          <cell r="AC96" t="str">
            <v>W47</v>
          </cell>
          <cell r="AD96" t="str">
            <v>W47</v>
          </cell>
          <cell r="AE96" t="str">
            <v>C47</v>
          </cell>
          <cell r="AF96" t="str">
            <v>P47</v>
          </cell>
          <cell r="AG96" t="str">
            <v>V47</v>
          </cell>
          <cell r="AH96" t="str">
            <v>W47</v>
          </cell>
          <cell r="AI96" t="str">
            <v>W47</v>
          </cell>
          <cell r="AJ96" t="str">
            <v>W47</v>
          </cell>
          <cell r="AK96" t="str">
            <v>ผู้ชนะนัดที่ 47</v>
          </cell>
          <cell r="AL96" t="str">
            <v>G47</v>
          </cell>
          <cell r="AM96" t="str">
            <v>T47</v>
          </cell>
          <cell r="AN96" t="str">
            <v>Переможець 47</v>
          </cell>
          <cell r="AO96" t="str">
            <v>۵۹ جیت</v>
          </cell>
        </row>
        <row r="97">
          <cell r="A97" t="str">
            <v>W48</v>
          </cell>
          <cell r="B97" t="str">
            <v>F48</v>
          </cell>
          <cell r="C97" t="str">
            <v>W48</v>
          </cell>
          <cell r="D97" t="str">
            <v>W48</v>
          </cell>
          <cell r="E97" t="str">
            <v>Q48</v>
          </cell>
          <cell r="F97" t="str">
            <v>W48</v>
          </cell>
          <cell r="G97" t="str">
            <v>G48</v>
          </cell>
          <cell r="H97" t="str">
            <v>48胜者</v>
          </cell>
          <cell r="I97" t="str">
            <v>W48</v>
          </cell>
          <cell r="J97" t="str">
            <v>W48</v>
          </cell>
          <cell r="K97" t="str">
            <v>V48</v>
          </cell>
          <cell r="L97" t="str">
            <v>V48</v>
          </cell>
          <cell r="M97" t="str">
            <v>W48</v>
          </cell>
          <cell r="N97" t="str">
            <v>W48</v>
          </cell>
          <cell r="O97" t="str">
            <v>მ48</v>
          </cell>
          <cell r="P97" t="str">
            <v>W48</v>
          </cell>
          <cell r="Q97" t="str">
            <v>Ν48</v>
          </cell>
          <cell r="R97" t="str">
            <v>W48</v>
          </cell>
          <cell r="S97" t="str">
            <v>GY48</v>
          </cell>
          <cell r="T97" t="str">
            <v>W48</v>
          </cell>
          <cell r="U97" t="str">
            <v>W48</v>
          </cell>
          <cell r="V97" t="str">
            <v>W48</v>
          </cell>
          <cell r="W97" t="str">
            <v>8강전 경기4 승자</v>
          </cell>
          <cell r="X97" t="str">
            <v>L48</v>
          </cell>
          <cell r="Y97" t="str">
            <v>П48</v>
          </cell>
          <cell r="Z97" t="str">
            <v>R48</v>
          </cell>
          <cell r="AA97" t="str">
            <v>V48</v>
          </cell>
          <cell r="AB97" t="str">
            <v>برنده بازی 48</v>
          </cell>
          <cell r="AC97" t="str">
            <v>W48</v>
          </cell>
          <cell r="AD97" t="str">
            <v>W48</v>
          </cell>
          <cell r="AE97" t="str">
            <v>C48</v>
          </cell>
          <cell r="AF97" t="str">
            <v>P48</v>
          </cell>
          <cell r="AG97" t="str">
            <v>V48</v>
          </cell>
          <cell r="AH97" t="str">
            <v>W48</v>
          </cell>
          <cell r="AI97" t="str">
            <v>W48</v>
          </cell>
          <cell r="AJ97" t="str">
            <v>W48</v>
          </cell>
          <cell r="AK97" t="str">
            <v>ผู้ชนะนัดที่ 48</v>
          </cell>
          <cell r="AL97" t="str">
            <v>G48</v>
          </cell>
          <cell r="AM97" t="str">
            <v>T48</v>
          </cell>
          <cell r="AN97" t="str">
            <v>Переможець 48</v>
          </cell>
          <cell r="AO97" t="str">
            <v>۶۰ جیت</v>
          </cell>
        </row>
        <row r="98">
          <cell r="A98" t="str">
            <v>W49</v>
          </cell>
          <cell r="B98" t="str">
            <v>F49</v>
          </cell>
          <cell r="C98" t="str">
            <v>W49</v>
          </cell>
          <cell r="D98" t="str">
            <v>W49</v>
          </cell>
          <cell r="E98" t="str">
            <v>Q49</v>
          </cell>
          <cell r="F98" t="str">
            <v>W49</v>
          </cell>
          <cell r="G98" t="str">
            <v>G49</v>
          </cell>
          <cell r="H98" t="str">
            <v>49胜者</v>
          </cell>
          <cell r="I98" t="str">
            <v>W49</v>
          </cell>
          <cell r="J98" t="str">
            <v>W49</v>
          </cell>
          <cell r="K98" t="str">
            <v>V49</v>
          </cell>
          <cell r="L98" t="str">
            <v>V49</v>
          </cell>
          <cell r="M98" t="str">
            <v>W49</v>
          </cell>
          <cell r="N98" t="str">
            <v>W49</v>
          </cell>
          <cell r="O98" t="str">
            <v>მ49</v>
          </cell>
          <cell r="P98" t="str">
            <v>W49</v>
          </cell>
          <cell r="Q98" t="str">
            <v>Ν49</v>
          </cell>
          <cell r="R98" t="str">
            <v>W49</v>
          </cell>
          <cell r="S98" t="str">
            <v>GY49</v>
          </cell>
          <cell r="T98" t="str">
            <v>W49</v>
          </cell>
          <cell r="U98" t="str">
            <v>W49</v>
          </cell>
          <cell r="V98" t="str">
            <v>W49</v>
          </cell>
          <cell r="W98" t="str">
            <v>준결승 경기1 승자</v>
          </cell>
          <cell r="X98" t="str">
            <v>L49</v>
          </cell>
          <cell r="Y98" t="str">
            <v>П49</v>
          </cell>
          <cell r="Z98" t="str">
            <v>R49</v>
          </cell>
          <cell r="AA98" t="str">
            <v>V49</v>
          </cell>
          <cell r="AB98" t="str">
            <v>برنده بازی 49</v>
          </cell>
          <cell r="AC98" t="str">
            <v>W49</v>
          </cell>
          <cell r="AD98" t="str">
            <v>W49</v>
          </cell>
          <cell r="AE98" t="str">
            <v>C49</v>
          </cell>
          <cell r="AF98" t="str">
            <v>P49</v>
          </cell>
          <cell r="AG98" t="str">
            <v>V49</v>
          </cell>
          <cell r="AH98" t="str">
            <v>W49</v>
          </cell>
          <cell r="AI98" t="str">
            <v>W49</v>
          </cell>
          <cell r="AJ98" t="str">
            <v>W49</v>
          </cell>
          <cell r="AK98" t="str">
            <v>ผู้ชนะนัดที่ 49</v>
          </cell>
          <cell r="AL98" t="str">
            <v>G49</v>
          </cell>
          <cell r="AM98" t="str">
            <v>T49</v>
          </cell>
          <cell r="AN98" t="str">
            <v>Переможець 49</v>
          </cell>
          <cell r="AO98" t="str">
            <v>۶۱ جیت</v>
          </cell>
        </row>
        <row r="99">
          <cell r="A99" t="str">
            <v>W50</v>
          </cell>
          <cell r="B99" t="str">
            <v>F50</v>
          </cell>
          <cell r="C99" t="str">
            <v>W50</v>
          </cell>
          <cell r="D99" t="str">
            <v>W50</v>
          </cell>
          <cell r="E99" t="str">
            <v>Q50</v>
          </cell>
          <cell r="F99" t="str">
            <v>W50</v>
          </cell>
          <cell r="G99" t="str">
            <v>G50</v>
          </cell>
          <cell r="H99" t="str">
            <v>50胜者</v>
          </cell>
          <cell r="I99" t="str">
            <v>W50</v>
          </cell>
          <cell r="J99" t="str">
            <v>W50</v>
          </cell>
          <cell r="K99" t="str">
            <v>V50</v>
          </cell>
          <cell r="L99" t="str">
            <v>V50</v>
          </cell>
          <cell r="M99" t="str">
            <v>W50</v>
          </cell>
          <cell r="N99" t="str">
            <v>W50</v>
          </cell>
          <cell r="O99" t="str">
            <v>მ50</v>
          </cell>
          <cell r="P99" t="str">
            <v>W50</v>
          </cell>
          <cell r="Q99" t="str">
            <v>Ν50</v>
          </cell>
          <cell r="R99" t="str">
            <v>W50</v>
          </cell>
          <cell r="S99" t="str">
            <v>GY50</v>
          </cell>
          <cell r="T99" t="str">
            <v>W50</v>
          </cell>
          <cell r="U99" t="str">
            <v>W50</v>
          </cell>
          <cell r="V99" t="str">
            <v>W50</v>
          </cell>
          <cell r="W99" t="str">
            <v>준결승 경기2 승자</v>
          </cell>
          <cell r="X99" t="str">
            <v>L50</v>
          </cell>
          <cell r="Y99" t="str">
            <v>П50</v>
          </cell>
          <cell r="Z99" t="str">
            <v>R50</v>
          </cell>
          <cell r="AA99" t="str">
            <v>V50</v>
          </cell>
          <cell r="AB99" t="str">
            <v>برنده بازی 50</v>
          </cell>
          <cell r="AC99" t="str">
            <v>W50</v>
          </cell>
          <cell r="AD99" t="str">
            <v>W50</v>
          </cell>
          <cell r="AE99" t="str">
            <v>C50</v>
          </cell>
          <cell r="AF99" t="str">
            <v>P50</v>
          </cell>
          <cell r="AG99" t="str">
            <v>V50</v>
          </cell>
          <cell r="AH99" t="str">
            <v>W50</v>
          </cell>
          <cell r="AI99" t="str">
            <v>W50</v>
          </cell>
          <cell r="AJ99" t="str">
            <v>W50</v>
          </cell>
          <cell r="AK99" t="str">
            <v>ผู้ชนะนัดที่ 50</v>
          </cell>
          <cell r="AL99" t="str">
            <v>G50</v>
          </cell>
          <cell r="AM99" t="str">
            <v>T50</v>
          </cell>
          <cell r="AN99" t="str">
            <v>Переможець 50</v>
          </cell>
          <cell r="AO99" t="str">
            <v>۶۲ جیت</v>
          </cell>
        </row>
        <row r="100">
          <cell r="A100" t="str">
            <v>L61</v>
          </cell>
          <cell r="B100" t="str">
            <v>H61</v>
          </cell>
          <cell r="C100" t="str">
            <v>L61</v>
          </cell>
          <cell r="D100" t="str">
            <v>L61</v>
          </cell>
          <cell r="E100" t="str">
            <v>M61</v>
          </cell>
          <cell r="F100" t="str">
            <v>L61</v>
          </cell>
          <cell r="G100" t="str">
            <v>P61</v>
          </cell>
          <cell r="H100" t="str">
            <v>61负者</v>
          </cell>
          <cell r="I100" t="str">
            <v>L61</v>
          </cell>
          <cell r="J100" t="str">
            <v>L61</v>
          </cell>
          <cell r="K100" t="str">
            <v>P61</v>
          </cell>
          <cell r="L100" t="str">
            <v>T61</v>
          </cell>
          <cell r="M100" t="str">
            <v>V61</v>
          </cell>
          <cell r="N100" t="str">
            <v>L61</v>
          </cell>
          <cell r="O100" t="str">
            <v>წ61</v>
          </cell>
          <cell r="P100" t="str">
            <v>L61</v>
          </cell>
          <cell r="Q100" t="str">
            <v>Η61</v>
          </cell>
          <cell r="R100" t="str">
            <v>L61</v>
          </cell>
          <cell r="S100" t="str">
            <v>V61</v>
          </cell>
          <cell r="T100" t="str">
            <v>L61</v>
          </cell>
          <cell r="U100" t="str">
            <v>L61</v>
          </cell>
          <cell r="V100" t="str">
            <v>L61</v>
          </cell>
          <cell r="W100" t="str">
            <v>준결승 경기1 패자</v>
          </cell>
          <cell r="X100" t="str">
            <v>P61</v>
          </cell>
          <cell r="Y100" t="str">
            <v>И61</v>
          </cell>
          <cell r="Z100" t="str">
            <v>T61</v>
          </cell>
          <cell r="AA100" t="str">
            <v>T61</v>
          </cell>
          <cell r="AB100" t="str">
            <v>بازنده بازی 61</v>
          </cell>
          <cell r="AC100" t="str">
            <v>L61</v>
          </cell>
          <cell r="AD100" t="str">
            <v>L61</v>
          </cell>
          <cell r="AE100" t="str">
            <v>P61</v>
          </cell>
          <cell r="AF100" t="str">
            <v>I61</v>
          </cell>
          <cell r="AG100" t="str">
            <v>P61</v>
          </cell>
          <cell r="AH100" t="str">
            <v>L61</v>
          </cell>
          <cell r="AI100" t="str">
            <v>L61</v>
          </cell>
          <cell r="AJ100" t="str">
            <v>L61</v>
          </cell>
          <cell r="AK100" t="str">
            <v>ผู้แพ้นัดที่ 61</v>
          </cell>
          <cell r="AL100" t="str">
            <v>M61</v>
          </cell>
          <cell r="AM100" t="str">
            <v>B61</v>
          </cell>
          <cell r="AN100" t="str">
            <v>Переможений 61</v>
          </cell>
          <cell r="AO100" t="str">
            <v>۶۱ ہار</v>
          </cell>
        </row>
        <row r="101">
          <cell r="A101" t="str">
            <v>L62</v>
          </cell>
          <cell r="B101" t="str">
            <v>H62</v>
          </cell>
          <cell r="C101" t="str">
            <v>L62</v>
          </cell>
          <cell r="D101" t="str">
            <v>L62</v>
          </cell>
          <cell r="E101" t="str">
            <v>M62</v>
          </cell>
          <cell r="F101" t="str">
            <v>L62</v>
          </cell>
          <cell r="G101" t="str">
            <v>P62</v>
          </cell>
          <cell r="H101" t="str">
            <v>62负者</v>
          </cell>
          <cell r="I101" t="str">
            <v>L62</v>
          </cell>
          <cell r="J101" t="str">
            <v>L62</v>
          </cell>
          <cell r="K101" t="str">
            <v>P62</v>
          </cell>
          <cell r="L101" t="str">
            <v>T62</v>
          </cell>
          <cell r="M101" t="str">
            <v>V62</v>
          </cell>
          <cell r="N101" t="str">
            <v>L62</v>
          </cell>
          <cell r="O101" t="str">
            <v>წ62</v>
          </cell>
          <cell r="P101" t="str">
            <v>L62</v>
          </cell>
          <cell r="Q101" t="str">
            <v>Η62</v>
          </cell>
          <cell r="R101" t="str">
            <v>L62</v>
          </cell>
          <cell r="S101" t="str">
            <v>V62</v>
          </cell>
          <cell r="T101" t="str">
            <v>L62</v>
          </cell>
          <cell r="U101" t="str">
            <v>L62</v>
          </cell>
          <cell r="V101" t="str">
            <v>L62</v>
          </cell>
          <cell r="W101" t="str">
            <v>준결승 경기2 패자</v>
          </cell>
          <cell r="X101" t="str">
            <v>P62</v>
          </cell>
          <cell r="Y101" t="str">
            <v>И62</v>
          </cell>
          <cell r="Z101" t="str">
            <v>T62</v>
          </cell>
          <cell r="AA101" t="str">
            <v>T62</v>
          </cell>
          <cell r="AB101" t="str">
            <v>بازنده بازی 62</v>
          </cell>
          <cell r="AC101" t="str">
            <v>L62</v>
          </cell>
          <cell r="AD101" t="str">
            <v>L62</v>
          </cell>
          <cell r="AE101" t="str">
            <v>P62</v>
          </cell>
          <cell r="AF101" t="str">
            <v>I62</v>
          </cell>
          <cell r="AG101" t="str">
            <v>P62</v>
          </cell>
          <cell r="AH101" t="str">
            <v>L62</v>
          </cell>
          <cell r="AI101" t="str">
            <v>L62</v>
          </cell>
          <cell r="AJ101" t="str">
            <v>L62</v>
          </cell>
          <cell r="AK101" t="str">
            <v>ผู้แพ้นัดที่ 62</v>
          </cell>
          <cell r="AL101" t="str">
            <v>M62</v>
          </cell>
          <cell r="AM101" t="str">
            <v>B62</v>
          </cell>
          <cell r="AN101" t="str">
            <v>Переможений 62</v>
          </cell>
          <cell r="AO101" t="str">
            <v>۶۲ ہار</v>
          </cell>
        </row>
        <row r="102">
          <cell r="A102" t="str">
            <v>Champion 2021</v>
          </cell>
          <cell r="B102" t="str">
            <v>Champion 2021</v>
          </cell>
          <cell r="C102" t="str">
            <v>بطل 2021</v>
          </cell>
          <cell r="D102" t="str">
            <v>Champion 2021-</v>
          </cell>
          <cell r="E102" t="str">
            <v>Champion 2021</v>
          </cell>
          <cell r="F102" t="str">
            <v>Шампион 2021</v>
          </cell>
          <cell r="G102" t="str">
            <v>Campió 2021</v>
          </cell>
          <cell r="H102" t="str">
            <v>2021年冠军</v>
          </cell>
          <cell r="I102" t="str">
            <v>2021年冠軍</v>
          </cell>
          <cell r="J102" t="str">
            <v>Prvak 2021</v>
          </cell>
          <cell r="K102" t="str">
            <v>Champion 2021</v>
          </cell>
          <cell r="L102" t="str">
            <v>Champion 2021</v>
          </cell>
          <cell r="M102" t="str">
            <v>Champion 2021</v>
          </cell>
          <cell r="N102" t="str">
            <v>Champion 2021</v>
          </cell>
          <cell r="O102" t="str">
            <v>ჩემპიონი 2021</v>
          </cell>
          <cell r="P102" t="str">
            <v>Meister 2021</v>
          </cell>
          <cell r="Q102" t="str">
            <v>Πρωταθλητής 2021</v>
          </cell>
          <cell r="R102" t="str">
            <v>אלוף 2021</v>
          </cell>
          <cell r="S102" t="str">
            <v>Champion 2021</v>
          </cell>
          <cell r="T102" t="str">
            <v>Juara 2021</v>
          </cell>
          <cell r="U102" t="str">
            <v>Meistari 2021</v>
          </cell>
          <cell r="V102" t="str">
            <v>Campione 2021</v>
          </cell>
          <cell r="W102" t="str">
            <v>챔피언 2021</v>
          </cell>
          <cell r="X102" t="str">
            <v>Čempionas 2021</v>
          </cell>
          <cell r="Y102" t="str">
            <v>Шампион 2021</v>
          </cell>
          <cell r="Z102" t="str">
            <v>Champion 2021</v>
          </cell>
          <cell r="AA102" t="str">
            <v>Champion 2021</v>
          </cell>
          <cell r="AB102" t="str">
            <v>قهرمان 2021</v>
          </cell>
          <cell r="AC102" t="str">
            <v>Champion 2021</v>
          </cell>
          <cell r="AD102" t="str">
            <v>Champion 2021</v>
          </cell>
          <cell r="AE102" t="str">
            <v>Campionul 2021</v>
          </cell>
          <cell r="AF102" t="str">
            <v>Цхампион 2021</v>
          </cell>
          <cell r="AG102" t="str">
            <v>Champion 2021</v>
          </cell>
          <cell r="AH102" t="str">
            <v>Champion 2021</v>
          </cell>
          <cell r="AI102" t="str">
            <v>Campeón 2021</v>
          </cell>
          <cell r="AJ102" t="str">
            <v>Champion 2021</v>
          </cell>
          <cell r="AK102" t="str">
            <v>แชมป์ 2021</v>
          </cell>
          <cell r="AL102" t="str">
            <v>Şampiyon 2021</v>
          </cell>
          <cell r="AM102" t="str">
            <v>Champion 2021</v>
          </cell>
          <cell r="AN102" t="str">
            <v>Чемпіон 2021</v>
          </cell>
          <cell r="AO102" t="str">
            <v>چیمپیئن 2021</v>
          </cell>
        </row>
        <row r="103">
          <cell r="A103" t="str">
            <v>Rome</v>
          </cell>
          <cell r="B103" t="str">
            <v>Roma</v>
          </cell>
          <cell r="C103" t="str">
            <v>روما</v>
          </cell>
          <cell r="D103" t="str">
            <v>Հռոմ</v>
          </cell>
          <cell r="E103" t="str">
            <v>Rome</v>
          </cell>
          <cell r="F103" t="str">
            <v>Рим</v>
          </cell>
          <cell r="G103" t="str">
            <v>Roma</v>
          </cell>
          <cell r="H103" t="str">
            <v>罗马</v>
          </cell>
          <cell r="I103" t="str">
            <v>羅馬</v>
          </cell>
          <cell r="J103" t="str">
            <v>Rim</v>
          </cell>
          <cell r="K103" t="str">
            <v>Řím</v>
          </cell>
          <cell r="L103" t="str">
            <v>Rom</v>
          </cell>
          <cell r="M103" t="str">
            <v>Rome</v>
          </cell>
          <cell r="N103" t="str">
            <v>Rome</v>
          </cell>
          <cell r="O103" t="str">
            <v>რომი</v>
          </cell>
          <cell r="P103" t="str">
            <v>Rom</v>
          </cell>
          <cell r="Q103" t="str">
            <v>Ρώμη</v>
          </cell>
          <cell r="R103" t="str">
            <v>רומא</v>
          </cell>
          <cell r="S103" t="str">
            <v>Róma</v>
          </cell>
          <cell r="T103" t="str">
            <v>Roma</v>
          </cell>
          <cell r="U103" t="str">
            <v>Rome</v>
          </cell>
          <cell r="V103" t="str">
            <v>Roma</v>
          </cell>
          <cell r="W103" t="str">
            <v>로마</v>
          </cell>
          <cell r="X103" t="str">
            <v>Roma</v>
          </cell>
          <cell r="Y103" t="str">
            <v>Рим</v>
          </cell>
          <cell r="Z103" t="str">
            <v>Ruma</v>
          </cell>
          <cell r="AA103" t="str">
            <v>Roma</v>
          </cell>
          <cell r="AB103" t="str">
            <v>رم</v>
          </cell>
          <cell r="AC103" t="str">
            <v>Rzym</v>
          </cell>
          <cell r="AD103" t="str">
            <v>Roma</v>
          </cell>
          <cell r="AE103" t="str">
            <v>Roma</v>
          </cell>
          <cell r="AF103" t="str">
            <v>Рим</v>
          </cell>
          <cell r="AG103" t="str">
            <v>Rím</v>
          </cell>
          <cell r="AH103" t="str">
            <v>Rim</v>
          </cell>
          <cell r="AI103" t="str">
            <v>Roma</v>
          </cell>
          <cell r="AJ103" t="str">
            <v>Rom</v>
          </cell>
          <cell r="AK103" t="str">
            <v>กรุงโรม</v>
          </cell>
          <cell r="AL103" t="str">
            <v>Roma</v>
          </cell>
          <cell r="AM103" t="str">
            <v>La Mã</v>
          </cell>
          <cell r="AN103" t="str">
            <v>Рим</v>
          </cell>
          <cell r="AO103" t="str">
            <v>روم</v>
          </cell>
        </row>
        <row r="104">
          <cell r="A104" t="str">
            <v>Baku</v>
          </cell>
          <cell r="B104" t="str">
            <v>Baku</v>
          </cell>
          <cell r="C104" t="str">
            <v>باكو</v>
          </cell>
          <cell r="D104" t="str">
            <v>Baku</v>
          </cell>
          <cell r="E104" t="str">
            <v>Bakı</v>
          </cell>
          <cell r="F104" t="str">
            <v>Баку</v>
          </cell>
          <cell r="G104" t="str">
            <v>Bakú</v>
          </cell>
          <cell r="H104" t="str">
            <v>巴库</v>
          </cell>
          <cell r="I104" t="str">
            <v>巴庫</v>
          </cell>
          <cell r="J104" t="str">
            <v>Baku</v>
          </cell>
          <cell r="K104" t="str">
            <v>Baku</v>
          </cell>
          <cell r="L104" t="str">
            <v>Baku</v>
          </cell>
          <cell r="M104" t="str">
            <v>Baku</v>
          </cell>
          <cell r="N104" t="str">
            <v>Bakou</v>
          </cell>
          <cell r="O104" t="str">
            <v>ბაკო</v>
          </cell>
          <cell r="P104" t="str">
            <v>Baku</v>
          </cell>
          <cell r="Q104" t="str">
            <v>Μπακού</v>
          </cell>
          <cell r="R104" t="str">
            <v>באקו</v>
          </cell>
          <cell r="S104" t="str">
            <v>Baku</v>
          </cell>
          <cell r="T104" t="str">
            <v>Baku</v>
          </cell>
          <cell r="U104" t="str">
            <v>Baku</v>
          </cell>
          <cell r="V104" t="str">
            <v>Baku</v>
          </cell>
          <cell r="W104" t="str">
            <v>바쿠</v>
          </cell>
          <cell r="X104" t="str">
            <v>Baku</v>
          </cell>
          <cell r="Y104" t="str">
            <v>Баку</v>
          </cell>
          <cell r="Z104" t="str">
            <v>Baku</v>
          </cell>
          <cell r="AA104" t="str">
            <v>Baku</v>
          </cell>
          <cell r="AB104" t="str">
            <v>باکو</v>
          </cell>
          <cell r="AC104" t="str">
            <v>Baku</v>
          </cell>
          <cell r="AD104" t="str">
            <v>Baku</v>
          </cell>
          <cell r="AE104" t="str">
            <v>Baku</v>
          </cell>
          <cell r="AF104" t="str">
            <v>Баку</v>
          </cell>
          <cell r="AG104" t="str">
            <v>Baku</v>
          </cell>
          <cell r="AH104" t="str">
            <v>Baku</v>
          </cell>
          <cell r="AI104" t="str">
            <v>Bakú</v>
          </cell>
          <cell r="AJ104" t="str">
            <v>Baku</v>
          </cell>
          <cell r="AK104" t="str">
            <v>บากู</v>
          </cell>
          <cell r="AL104" t="str">
            <v>Bakü</v>
          </cell>
          <cell r="AM104" t="str">
            <v>Baku</v>
          </cell>
          <cell r="AN104" t="str">
            <v>Баку</v>
          </cell>
          <cell r="AO104" t="str">
            <v>باکو</v>
          </cell>
        </row>
        <row r="105">
          <cell r="A105" t="str">
            <v>Copenhagen</v>
          </cell>
          <cell r="B105" t="str">
            <v>Kopenhagen</v>
          </cell>
          <cell r="C105" t="str">
            <v>كوبنهاغن</v>
          </cell>
          <cell r="D105" t="str">
            <v>Կոպենհագեն</v>
          </cell>
          <cell r="E105" t="str">
            <v>Kopenhagen</v>
          </cell>
          <cell r="F105" t="str">
            <v>Копенхаген</v>
          </cell>
          <cell r="G105" t="str">
            <v>Copenhaguen</v>
          </cell>
          <cell r="H105" t="str">
            <v>哥本哈根</v>
          </cell>
          <cell r="I105" t="str">
            <v>哥本哈根</v>
          </cell>
          <cell r="J105" t="str">
            <v>Kopenhagen</v>
          </cell>
          <cell r="K105" t="str">
            <v>Kodaň</v>
          </cell>
          <cell r="L105" t="str">
            <v>København</v>
          </cell>
          <cell r="M105" t="str">
            <v>Kopenhagen</v>
          </cell>
          <cell r="N105" t="str">
            <v>Copenhague</v>
          </cell>
          <cell r="O105" t="str">
            <v>კოპენჰაგე</v>
          </cell>
          <cell r="P105" t="str">
            <v>Kopenhagen</v>
          </cell>
          <cell r="Q105" t="str">
            <v>Κοπεγχάγη</v>
          </cell>
          <cell r="R105" t="str">
            <v>קופנהגן</v>
          </cell>
          <cell r="S105" t="str">
            <v>Koppenhága</v>
          </cell>
          <cell r="T105" t="str">
            <v>Copenhagen</v>
          </cell>
          <cell r="U105" t="str">
            <v>Kaupmannahöfn</v>
          </cell>
          <cell r="V105" t="str">
            <v>Copenhagen</v>
          </cell>
          <cell r="W105" t="str">
            <v>코펜하겐</v>
          </cell>
          <cell r="X105" t="str">
            <v>Kopenhaga</v>
          </cell>
          <cell r="Y105" t="str">
            <v>Копенхаген</v>
          </cell>
          <cell r="Z105" t="str">
            <v>Kopenħagen</v>
          </cell>
          <cell r="AA105" t="str">
            <v>København</v>
          </cell>
          <cell r="AB105" t="str">
            <v>کپنهاگ</v>
          </cell>
          <cell r="AC105" t="str">
            <v>Kopenhaga</v>
          </cell>
          <cell r="AD105" t="str">
            <v>Copenhague</v>
          </cell>
          <cell r="AE105" t="str">
            <v>Copenhaga</v>
          </cell>
          <cell r="AF105" t="str">
            <v>Копенхаген</v>
          </cell>
          <cell r="AG105" t="str">
            <v>Kodaň</v>
          </cell>
          <cell r="AH105" t="str">
            <v>Copenhagen</v>
          </cell>
          <cell r="AI105" t="str">
            <v>Copenhague</v>
          </cell>
          <cell r="AJ105" t="str">
            <v>Köpenhamn</v>
          </cell>
          <cell r="AK105" t="str">
            <v>โคเปนเฮเกน</v>
          </cell>
          <cell r="AL105" t="str">
            <v>Kopenhag</v>
          </cell>
          <cell r="AM105" t="str">
            <v>Copenhagen</v>
          </cell>
          <cell r="AN105" t="str">
            <v>Копенгаген</v>
          </cell>
          <cell r="AO105" t="str">
            <v>کوپن ہیگن</v>
          </cell>
        </row>
        <row r="106">
          <cell r="A106" t="str">
            <v>St Petersburg</v>
          </cell>
          <cell r="B106" t="str">
            <v>Shën Petersburg</v>
          </cell>
          <cell r="C106" t="str">
            <v>سان بطرسبرج</v>
          </cell>
          <cell r="D106" t="str">
            <v>Սանկտ Պետերբուրգում</v>
          </cell>
          <cell r="E106" t="str">
            <v>Sankt-Peterburq</v>
          </cell>
          <cell r="F106" t="str">
            <v>Санкт Петербург</v>
          </cell>
          <cell r="G106" t="str">
            <v>Sant Petersburg</v>
          </cell>
          <cell r="H106" t="str">
            <v>圣彼得堡</v>
          </cell>
          <cell r="I106" t="str">
            <v>聖彼得堡</v>
          </cell>
          <cell r="J106" t="str">
            <v>St. Petersburg</v>
          </cell>
          <cell r="K106" t="str">
            <v>Petrohrad</v>
          </cell>
          <cell r="L106" t="str">
            <v>Sankt Petersborg</v>
          </cell>
          <cell r="M106" t="str">
            <v>St. Petersburg</v>
          </cell>
          <cell r="N106" t="str">
            <v>Saint-Pétersbourg</v>
          </cell>
          <cell r="O106" t="str">
            <v>სენ-პეტერბურგი</v>
          </cell>
          <cell r="P106" t="str">
            <v>St. Petersburg</v>
          </cell>
          <cell r="Q106" t="str">
            <v>Αγία Πετρούπολη</v>
          </cell>
          <cell r="R106" t="str">
            <v>סנט פטרסבורג</v>
          </cell>
          <cell r="S106" t="str">
            <v>Szentpétervár</v>
          </cell>
          <cell r="T106" t="str">
            <v>St Petersburg</v>
          </cell>
          <cell r="U106" t="str">
            <v>Sankti Pétursborg</v>
          </cell>
          <cell r="V106" t="str">
            <v>San Pietroburgo</v>
          </cell>
          <cell r="W106" t="str">
            <v>세인트 피터스 버그</v>
          </cell>
          <cell r="X106" t="str">
            <v>Sankt Peterburgas</v>
          </cell>
          <cell r="Y106" t="str">
            <v>Санкт Петербург</v>
          </cell>
          <cell r="Z106" t="str">
            <v>San Pietruburgu</v>
          </cell>
          <cell r="AA106" t="str">
            <v>St. Petersburg</v>
          </cell>
          <cell r="AB106" t="str">
            <v>سنت پترزبورگ</v>
          </cell>
          <cell r="AC106" t="str">
            <v>Petersburg</v>
          </cell>
          <cell r="AD106" t="str">
            <v>São Petersburgo</v>
          </cell>
          <cell r="AE106" t="str">
            <v>St.Petersburg</v>
          </cell>
          <cell r="AF106" t="str">
            <v>Санкт Петербург</v>
          </cell>
          <cell r="AG106" t="str">
            <v>St. Petersburg</v>
          </cell>
          <cell r="AH106" t="str">
            <v>St. Petersburg</v>
          </cell>
          <cell r="AI106" t="str">
            <v>San Petersburgo</v>
          </cell>
          <cell r="AJ106" t="str">
            <v>St. Petersburg</v>
          </cell>
          <cell r="AK106" t="str">
            <v>เซนต์ปีเตอร์สเบิร์ก</v>
          </cell>
          <cell r="AL106" t="str">
            <v>St Petersburg</v>
          </cell>
          <cell r="AM106" t="str">
            <v>St Petersburg</v>
          </cell>
          <cell r="AN106" t="str">
            <v>Санкт-Петербург</v>
          </cell>
          <cell r="AO106" t="str">
            <v>سینٹ پیٹرز برگ</v>
          </cell>
        </row>
        <row r="107">
          <cell r="A107" t="str">
            <v>London</v>
          </cell>
          <cell r="B107" t="str">
            <v>Londër</v>
          </cell>
          <cell r="C107" t="str">
            <v>لندن</v>
          </cell>
          <cell r="D107" t="str">
            <v>London</v>
          </cell>
          <cell r="E107" t="str">
            <v>London</v>
          </cell>
          <cell r="F107" t="str">
            <v>Лондон</v>
          </cell>
          <cell r="G107" t="str">
            <v>Londres</v>
          </cell>
          <cell r="H107" t="str">
            <v>伦敦</v>
          </cell>
          <cell r="I107" t="str">
            <v>倫敦</v>
          </cell>
          <cell r="J107" t="str">
            <v>London</v>
          </cell>
          <cell r="K107" t="str">
            <v>Londýn</v>
          </cell>
          <cell r="L107" t="str">
            <v>London</v>
          </cell>
          <cell r="M107" t="str">
            <v>Londen</v>
          </cell>
          <cell r="N107" t="str">
            <v>Londres</v>
          </cell>
          <cell r="O107" t="str">
            <v>ლონდრები</v>
          </cell>
          <cell r="P107" t="str">
            <v>London</v>
          </cell>
          <cell r="Q107" t="str">
            <v>Λονδίνο</v>
          </cell>
          <cell r="R107" t="str">
            <v>לונדון</v>
          </cell>
          <cell r="S107" t="str">
            <v>London</v>
          </cell>
          <cell r="T107" t="str">
            <v>London</v>
          </cell>
          <cell r="U107" t="str">
            <v>London</v>
          </cell>
          <cell r="V107" t="str">
            <v>Londra</v>
          </cell>
          <cell r="W107" t="str">
            <v>런던</v>
          </cell>
          <cell r="X107" t="str">
            <v>Londonas</v>
          </cell>
          <cell r="Y107" t="str">
            <v>Лондон</v>
          </cell>
          <cell r="Z107" t="str">
            <v>London</v>
          </cell>
          <cell r="AA107" t="str">
            <v>London</v>
          </cell>
          <cell r="AB107" t="str">
            <v>لندن</v>
          </cell>
          <cell r="AC107" t="str">
            <v>Londyn</v>
          </cell>
          <cell r="AD107" t="str">
            <v>Londres</v>
          </cell>
          <cell r="AE107" t="str">
            <v>Londra</v>
          </cell>
          <cell r="AF107" t="str">
            <v>Лондон</v>
          </cell>
          <cell r="AG107" t="str">
            <v>Londýn</v>
          </cell>
          <cell r="AH107" t="str">
            <v>London</v>
          </cell>
          <cell r="AI107" t="str">
            <v>Londres</v>
          </cell>
          <cell r="AJ107" t="str">
            <v>London</v>
          </cell>
          <cell r="AK107" t="str">
            <v>กรุงลอนดอน</v>
          </cell>
          <cell r="AL107" t="str">
            <v>Londra</v>
          </cell>
          <cell r="AM107" t="str">
            <v>London</v>
          </cell>
          <cell r="AN107" t="str">
            <v>Лондон</v>
          </cell>
          <cell r="AO107" t="str">
            <v>لندن</v>
          </cell>
        </row>
        <row r="108">
          <cell r="A108" t="str">
            <v>Bucharest</v>
          </cell>
          <cell r="B108" t="str">
            <v>Bukuresht</v>
          </cell>
          <cell r="C108" t="str">
            <v>بوخارست</v>
          </cell>
          <cell r="D108" t="str">
            <v>Բուխարեստ</v>
          </cell>
          <cell r="E108" t="str">
            <v>Buxarest</v>
          </cell>
          <cell r="F108" t="str">
            <v>Букурещ</v>
          </cell>
          <cell r="G108" t="str">
            <v>Bucarest</v>
          </cell>
          <cell r="H108" t="str">
            <v>布加勒斯特</v>
          </cell>
          <cell r="I108" t="str">
            <v>布加勒斯特</v>
          </cell>
          <cell r="J108" t="str">
            <v>Bukurešt</v>
          </cell>
          <cell r="K108" t="str">
            <v>Bukurešť</v>
          </cell>
          <cell r="L108" t="str">
            <v>Bukarest</v>
          </cell>
          <cell r="M108" t="str">
            <v>Boekarest</v>
          </cell>
          <cell r="N108" t="str">
            <v>Bucarest</v>
          </cell>
          <cell r="O108" t="str">
            <v>ბუკარესტი</v>
          </cell>
          <cell r="P108" t="str">
            <v>Bukarest</v>
          </cell>
          <cell r="Q108" t="str">
            <v>Βουκουρέστι</v>
          </cell>
          <cell r="R108" t="str">
            <v>בוקרשט</v>
          </cell>
          <cell r="S108" t="str">
            <v>Bukarest</v>
          </cell>
          <cell r="T108" t="str">
            <v>Bucharest</v>
          </cell>
          <cell r="U108" t="str">
            <v>Búkarest</v>
          </cell>
          <cell r="V108" t="str">
            <v>Bucarest</v>
          </cell>
          <cell r="W108" t="str">
            <v>부카레스트</v>
          </cell>
          <cell r="X108" t="str">
            <v>Bukareštas</v>
          </cell>
          <cell r="Y108" t="str">
            <v>Букурешт</v>
          </cell>
          <cell r="Z108" t="str">
            <v>Bukarest</v>
          </cell>
          <cell r="AA108" t="str">
            <v>Bucuresti</v>
          </cell>
          <cell r="AB108" t="str">
            <v>بخارست</v>
          </cell>
          <cell r="AC108" t="str">
            <v>Bukareszt</v>
          </cell>
          <cell r="AD108" t="str">
            <v>Bucareste</v>
          </cell>
          <cell r="AE108" t="str">
            <v>Bucureşti</v>
          </cell>
          <cell r="AF108" t="str">
            <v>Букурешт</v>
          </cell>
          <cell r="AG108" t="str">
            <v>Bukurešť</v>
          </cell>
          <cell r="AH108" t="str">
            <v>Bukarešta</v>
          </cell>
          <cell r="AI108" t="str">
            <v>Bucarest</v>
          </cell>
          <cell r="AJ108" t="str">
            <v>Bukarest</v>
          </cell>
          <cell r="AK108" t="str">
            <v>บูคาเรสต์</v>
          </cell>
          <cell r="AL108" t="str">
            <v>Bükreş</v>
          </cell>
          <cell r="AM108" t="str">
            <v>Bucharest</v>
          </cell>
          <cell r="AN108" t="str">
            <v>Бухарест</v>
          </cell>
          <cell r="AO108" t="str">
            <v>بخارسٹ</v>
          </cell>
        </row>
        <row r="109">
          <cell r="A109" t="str">
            <v>Amsterdam</v>
          </cell>
          <cell r="B109" t="str">
            <v>Amsterdam</v>
          </cell>
          <cell r="C109" t="str">
            <v>أمستردام</v>
          </cell>
          <cell r="D109" t="str">
            <v>Ամստերդամ</v>
          </cell>
          <cell r="E109" t="str">
            <v>Amsterdam</v>
          </cell>
          <cell r="F109" t="str">
            <v>Амстердам</v>
          </cell>
          <cell r="G109" t="str">
            <v>Amsterdam</v>
          </cell>
          <cell r="H109" t="str">
            <v>阿姆斯特丹</v>
          </cell>
          <cell r="I109" t="str">
            <v>阿姆斯特丹</v>
          </cell>
          <cell r="J109" t="str">
            <v>Amsterdam</v>
          </cell>
          <cell r="K109" t="str">
            <v>Amsterodam</v>
          </cell>
          <cell r="L109" t="str">
            <v>Amsterdam</v>
          </cell>
          <cell r="M109" t="str">
            <v>Amsterdam</v>
          </cell>
          <cell r="N109" t="str">
            <v>Amsterdam</v>
          </cell>
          <cell r="O109" t="str">
            <v>ამსტერდამი</v>
          </cell>
          <cell r="P109" t="str">
            <v>Amsterdam</v>
          </cell>
          <cell r="Q109" t="str">
            <v>Άμστερνταμ</v>
          </cell>
          <cell r="R109" t="str">
            <v>אמסטרדם</v>
          </cell>
          <cell r="S109" t="str">
            <v>Amszterdam</v>
          </cell>
          <cell r="T109" t="str">
            <v>Amsterdam</v>
          </cell>
          <cell r="U109" t="str">
            <v>Amsterdam</v>
          </cell>
          <cell r="V109" t="str">
            <v>Amsterdam</v>
          </cell>
          <cell r="W109" t="str">
            <v>암스테르담</v>
          </cell>
          <cell r="X109" t="str">
            <v>Amsterdamas</v>
          </cell>
          <cell r="Y109" t="str">
            <v>Амстердам</v>
          </cell>
          <cell r="Z109" t="str">
            <v>Amsterdam</v>
          </cell>
          <cell r="AA109" t="str">
            <v>Amsterdam</v>
          </cell>
          <cell r="AB109" t="str">
            <v>آمستردام</v>
          </cell>
          <cell r="AC109" t="str">
            <v>Amsterdam</v>
          </cell>
          <cell r="AD109" t="str">
            <v>Amsterdam</v>
          </cell>
          <cell r="AE109" t="str">
            <v>Amsterdam</v>
          </cell>
          <cell r="AF109" t="str">
            <v>Амстердам</v>
          </cell>
          <cell r="AG109" t="str">
            <v>Amsterdam</v>
          </cell>
          <cell r="AH109" t="str">
            <v>Amsterdam</v>
          </cell>
          <cell r="AI109" t="str">
            <v>Ámsterdam</v>
          </cell>
          <cell r="AJ109" t="str">
            <v>Amsterdam</v>
          </cell>
          <cell r="AK109" t="str">
            <v>อัมสเตอร์ดัม</v>
          </cell>
          <cell r="AL109" t="str">
            <v>Amsterdam</v>
          </cell>
          <cell r="AM109" t="str">
            <v>Amsterdam</v>
          </cell>
          <cell r="AN109" t="str">
            <v>Амстердам</v>
          </cell>
          <cell r="AO109" t="str">
            <v>ایمسٹرڈیم</v>
          </cell>
        </row>
        <row r="110">
          <cell r="A110" t="str">
            <v>Glasgow</v>
          </cell>
          <cell r="B110" t="str">
            <v>Glasgow</v>
          </cell>
          <cell r="C110" t="str">
            <v>غلاسكو</v>
          </cell>
          <cell r="D110" t="str">
            <v>Glasgow</v>
          </cell>
          <cell r="E110" t="str">
            <v>Glasgow</v>
          </cell>
          <cell r="F110" t="str">
            <v>Глазгоу</v>
          </cell>
          <cell r="G110" t="str">
            <v>Glasgow</v>
          </cell>
          <cell r="H110" t="str">
            <v>格拉斯哥</v>
          </cell>
          <cell r="I110" t="str">
            <v>格拉斯哥</v>
          </cell>
          <cell r="J110" t="str">
            <v>Glazgov</v>
          </cell>
          <cell r="K110" t="str">
            <v>Glasgow</v>
          </cell>
          <cell r="L110" t="str">
            <v>Glasgow</v>
          </cell>
          <cell r="M110" t="str">
            <v>Glasgow</v>
          </cell>
          <cell r="N110" t="str">
            <v>Glasgow</v>
          </cell>
          <cell r="O110" t="str">
            <v>გლაზგო</v>
          </cell>
          <cell r="P110" t="str">
            <v>Glasgow</v>
          </cell>
          <cell r="Q110" t="str">
            <v>Γλασκώβη</v>
          </cell>
          <cell r="R110" t="str">
            <v>גלזגו</v>
          </cell>
          <cell r="S110" t="str">
            <v>Glasgow</v>
          </cell>
          <cell r="T110" t="str">
            <v>Glasgow</v>
          </cell>
          <cell r="U110" t="str">
            <v>Glasgow</v>
          </cell>
          <cell r="V110" t="str">
            <v>Glasgow</v>
          </cell>
          <cell r="W110" t="str">
            <v>글래스고</v>
          </cell>
          <cell r="X110" t="str">
            <v>Glazgas</v>
          </cell>
          <cell r="Y110" t="str">
            <v>Глазгов</v>
          </cell>
          <cell r="Z110" t="str">
            <v>Glasgow</v>
          </cell>
          <cell r="AA110" t="str">
            <v>Glasgow</v>
          </cell>
          <cell r="AB110" t="str">
            <v>گلاسکو</v>
          </cell>
          <cell r="AC110" t="str">
            <v>Glasgow</v>
          </cell>
          <cell r="AD110" t="str">
            <v>Glasgow</v>
          </cell>
          <cell r="AE110" t="str">
            <v>Glasgow</v>
          </cell>
          <cell r="AF110" t="str">
            <v>Глазгов</v>
          </cell>
          <cell r="AG110" t="str">
            <v>Glasgow</v>
          </cell>
          <cell r="AH110" t="str">
            <v>Glasgow</v>
          </cell>
          <cell r="AI110" t="str">
            <v>Glasgow</v>
          </cell>
          <cell r="AJ110" t="str">
            <v>Glasgow</v>
          </cell>
          <cell r="AK110" t="str">
            <v>กลาสโกว์</v>
          </cell>
          <cell r="AL110" t="str">
            <v>Glasgow</v>
          </cell>
          <cell r="AM110" t="str">
            <v>Glasgow</v>
          </cell>
          <cell r="AN110" t="str">
            <v>Глазго</v>
          </cell>
          <cell r="AO110" t="str">
            <v>گلاسگو</v>
          </cell>
        </row>
        <row r="111">
          <cell r="A111" t="str">
            <v>Dublin</v>
          </cell>
          <cell r="B111" t="str">
            <v>Dublin</v>
          </cell>
          <cell r="C111" t="str">
            <v>دبلن</v>
          </cell>
          <cell r="D111" t="str">
            <v>Dublin</v>
          </cell>
          <cell r="E111" t="str">
            <v>Dublin</v>
          </cell>
          <cell r="F111" t="str">
            <v>Дъблин</v>
          </cell>
          <cell r="G111" t="str">
            <v>Dublín</v>
          </cell>
          <cell r="H111" t="str">
            <v>都柏林</v>
          </cell>
          <cell r="I111" t="str">
            <v>都柏林</v>
          </cell>
          <cell r="J111" t="str">
            <v>Dablin</v>
          </cell>
          <cell r="K111" t="str">
            <v>Dublin</v>
          </cell>
          <cell r="L111" t="str">
            <v>Dublin</v>
          </cell>
          <cell r="M111" t="str">
            <v>Dublin</v>
          </cell>
          <cell r="N111" t="str">
            <v>Dublin</v>
          </cell>
          <cell r="O111" t="str">
            <v>დუბლინი</v>
          </cell>
          <cell r="P111" t="str">
            <v>Dublin</v>
          </cell>
          <cell r="Q111" t="str">
            <v>Δουβλίνο</v>
          </cell>
          <cell r="R111" t="str">
            <v>דבלין</v>
          </cell>
          <cell r="S111" t="str">
            <v>Dublin</v>
          </cell>
          <cell r="T111" t="str">
            <v>Dublin</v>
          </cell>
          <cell r="U111" t="str">
            <v>Dublin</v>
          </cell>
          <cell r="V111" t="str">
            <v>Dublino</v>
          </cell>
          <cell r="W111" t="str">
            <v>더블린</v>
          </cell>
          <cell r="X111" t="str">
            <v>Dublinas</v>
          </cell>
          <cell r="Y111" t="str">
            <v>Даблин</v>
          </cell>
          <cell r="Z111" t="str">
            <v>Dublin</v>
          </cell>
          <cell r="AA111" t="str">
            <v>Dublin</v>
          </cell>
          <cell r="AB111" t="str">
            <v>دوبلین</v>
          </cell>
          <cell r="AC111" t="str">
            <v>Dublin</v>
          </cell>
          <cell r="AD111" t="str">
            <v>Dublin</v>
          </cell>
          <cell r="AE111" t="str">
            <v>Dublin</v>
          </cell>
          <cell r="AF111" t="str">
            <v>Даблин</v>
          </cell>
          <cell r="AG111" t="str">
            <v>Dublin</v>
          </cell>
          <cell r="AH111" t="str">
            <v>Dublin</v>
          </cell>
          <cell r="AI111" t="str">
            <v>Dublín</v>
          </cell>
          <cell r="AJ111" t="str">
            <v>Dublin</v>
          </cell>
          <cell r="AK111" t="str">
            <v>ดับลิน</v>
          </cell>
          <cell r="AL111" t="str">
            <v>Dublin</v>
          </cell>
          <cell r="AM111" t="str">
            <v>Dublin</v>
          </cell>
          <cell r="AN111" t="str">
            <v>Дублін</v>
          </cell>
          <cell r="AO111" t="str">
            <v>ڈبلن</v>
          </cell>
        </row>
        <row r="112">
          <cell r="A112" t="str">
            <v>Bilbao</v>
          </cell>
          <cell r="B112" t="str">
            <v>Bilbao</v>
          </cell>
          <cell r="C112" t="str">
            <v>بلباو</v>
          </cell>
          <cell r="D112" t="str">
            <v>Bilbao</v>
          </cell>
          <cell r="E112" t="str">
            <v>Bilbao</v>
          </cell>
          <cell r="F112" t="str">
            <v>Билбао</v>
          </cell>
          <cell r="G112" t="str">
            <v>Bilbao</v>
          </cell>
          <cell r="H112" t="str">
            <v>毕尔巴鄂</v>
          </cell>
          <cell r="I112" t="str">
            <v>畢爾巴鄂</v>
          </cell>
          <cell r="J112" t="str">
            <v>Bilbao</v>
          </cell>
          <cell r="K112" t="str">
            <v>Bilbao</v>
          </cell>
          <cell r="L112" t="str">
            <v>Bilbao</v>
          </cell>
          <cell r="M112" t="str">
            <v>Bilbao</v>
          </cell>
          <cell r="N112" t="str">
            <v>Bilbao</v>
          </cell>
          <cell r="O112" t="str">
            <v>ბილბაო</v>
          </cell>
          <cell r="P112" t="str">
            <v>Bilbao</v>
          </cell>
          <cell r="Q112" t="str">
            <v>Μπιλμπάο</v>
          </cell>
          <cell r="R112" t="str">
            <v>בילבאו</v>
          </cell>
          <cell r="S112" t="str">
            <v>Bilbao</v>
          </cell>
          <cell r="T112" t="str">
            <v>Bilbao</v>
          </cell>
          <cell r="U112" t="str">
            <v>Bilbao</v>
          </cell>
          <cell r="V112" t="str">
            <v>Bilbao</v>
          </cell>
          <cell r="W112" t="str">
            <v>빌바오</v>
          </cell>
          <cell r="X112" t="str">
            <v>Bilbao</v>
          </cell>
          <cell r="Y112" t="str">
            <v>Билбао</v>
          </cell>
          <cell r="Z112" t="str">
            <v>Bilbao</v>
          </cell>
          <cell r="AA112" t="str">
            <v>Bilbao</v>
          </cell>
          <cell r="AB112" t="str">
            <v>بیلبائو</v>
          </cell>
          <cell r="AC112" t="str">
            <v>Bilbao</v>
          </cell>
          <cell r="AD112" t="str">
            <v>Bilbao</v>
          </cell>
          <cell r="AE112" t="str">
            <v>Bilbao</v>
          </cell>
          <cell r="AF112" t="str">
            <v>Билбао</v>
          </cell>
          <cell r="AG112" t="str">
            <v>Bilbao</v>
          </cell>
          <cell r="AH112" t="str">
            <v>Bilbao</v>
          </cell>
          <cell r="AI112" t="str">
            <v>Bilbao</v>
          </cell>
          <cell r="AJ112" t="str">
            <v>Bilbao</v>
          </cell>
          <cell r="AK112" t="str">
            <v>บิลเบา</v>
          </cell>
          <cell r="AL112" t="str">
            <v>Bilbao</v>
          </cell>
          <cell r="AM112" t="str">
            <v>Bilbao</v>
          </cell>
          <cell r="AN112" t="str">
            <v>Більбао</v>
          </cell>
          <cell r="AO112" t="str">
            <v>بلباؤ</v>
          </cell>
        </row>
        <row r="113">
          <cell r="A113" t="str">
            <v>Budapest</v>
          </cell>
          <cell r="B113" t="str">
            <v>Budapest</v>
          </cell>
          <cell r="C113" t="str">
            <v>بودابست</v>
          </cell>
          <cell r="D113" t="str">
            <v>Budapest</v>
          </cell>
          <cell r="E113" t="str">
            <v>Budapeşt</v>
          </cell>
          <cell r="F113" t="str">
            <v>Будапеща</v>
          </cell>
          <cell r="G113" t="str">
            <v>Budapest</v>
          </cell>
          <cell r="H113" t="str">
            <v>布达佩斯</v>
          </cell>
          <cell r="I113" t="str">
            <v>布達佩斯</v>
          </cell>
          <cell r="J113" t="str">
            <v>Budimpešta</v>
          </cell>
          <cell r="K113" t="str">
            <v>Budapest</v>
          </cell>
          <cell r="L113" t="str">
            <v>Budapest</v>
          </cell>
          <cell r="M113" t="str">
            <v>Boedapest</v>
          </cell>
          <cell r="N113" t="str">
            <v>Budapest</v>
          </cell>
          <cell r="O113" t="str">
            <v>ბუდაპეშტი</v>
          </cell>
          <cell r="P113" t="str">
            <v>Budapest</v>
          </cell>
          <cell r="Q113" t="str">
            <v>Βουδαπέστη</v>
          </cell>
          <cell r="R113" t="str">
            <v>בודפשט</v>
          </cell>
          <cell r="S113" t="str">
            <v>Budapest</v>
          </cell>
          <cell r="T113" t="str">
            <v>Budapest</v>
          </cell>
          <cell r="U113" t="str">
            <v>Búdapest</v>
          </cell>
          <cell r="V113" t="str">
            <v>Budapest</v>
          </cell>
          <cell r="W113" t="str">
            <v>부다페스트</v>
          </cell>
          <cell r="X113" t="str">
            <v>Budapeštas</v>
          </cell>
          <cell r="Y113" t="str">
            <v>Будимпешта</v>
          </cell>
          <cell r="Z113" t="str">
            <v>Budapest</v>
          </cell>
          <cell r="AA113" t="str">
            <v>Budapest</v>
          </cell>
          <cell r="AB113" t="str">
            <v>بوداپست</v>
          </cell>
          <cell r="AC113" t="str">
            <v>Budapeszt</v>
          </cell>
          <cell r="AD113" t="str">
            <v>Budapeste</v>
          </cell>
          <cell r="AE113" t="str">
            <v>Budapesta</v>
          </cell>
          <cell r="AF113" t="str">
            <v>Будимпешта</v>
          </cell>
          <cell r="AG113" t="str">
            <v>Budapest</v>
          </cell>
          <cell r="AH113" t="str">
            <v>Budimpešta</v>
          </cell>
          <cell r="AI113" t="str">
            <v>Budapest</v>
          </cell>
          <cell r="AJ113" t="str">
            <v>Budapest</v>
          </cell>
          <cell r="AK113" t="str">
            <v>บูดาเปสต์</v>
          </cell>
          <cell r="AL113" t="str">
            <v>Budapeşte</v>
          </cell>
          <cell r="AM113" t="str">
            <v>Budapest</v>
          </cell>
          <cell r="AN113" t="str">
            <v>Будапешт</v>
          </cell>
          <cell r="AO113" t="str">
            <v>بوڈاپیسٹ</v>
          </cell>
        </row>
        <row r="114">
          <cell r="A114" t="str">
            <v>Munich</v>
          </cell>
          <cell r="B114" t="str">
            <v>Mynih</v>
          </cell>
          <cell r="C114" t="str">
            <v>ميونيخ</v>
          </cell>
          <cell r="D114" t="str">
            <v>Մյունխենի</v>
          </cell>
          <cell r="E114" t="str">
            <v>Munich</v>
          </cell>
          <cell r="F114" t="str">
            <v>Мюнхен</v>
          </cell>
          <cell r="G114" t="str">
            <v>Munic</v>
          </cell>
          <cell r="H114" t="str">
            <v>慕尼黑</v>
          </cell>
          <cell r="I114" t="str">
            <v>慕尼黑</v>
          </cell>
          <cell r="J114" t="str">
            <v>Minhen</v>
          </cell>
          <cell r="K114" t="str">
            <v>Mnichov</v>
          </cell>
          <cell r="L114" t="str">
            <v>München</v>
          </cell>
          <cell r="M114" t="str">
            <v>München</v>
          </cell>
          <cell r="N114" t="str">
            <v>Munich</v>
          </cell>
          <cell r="O114" t="str">
            <v>მიუნხენი</v>
          </cell>
          <cell r="P114" t="str">
            <v>München</v>
          </cell>
          <cell r="Q114" t="str">
            <v>Μόναχο</v>
          </cell>
          <cell r="R114" t="str">
            <v>מינכן</v>
          </cell>
          <cell r="S114" t="str">
            <v>München</v>
          </cell>
          <cell r="T114" t="str">
            <v>Munich</v>
          </cell>
          <cell r="U114" t="str">
            <v>Munich</v>
          </cell>
          <cell r="V114" t="str">
            <v>Monaco</v>
          </cell>
          <cell r="W114" t="str">
            <v>뮌헨</v>
          </cell>
          <cell r="X114" t="str">
            <v>Miunchenas</v>
          </cell>
          <cell r="Y114" t="str">
            <v>Минхен</v>
          </cell>
          <cell r="Z114" t="str">
            <v>Munich</v>
          </cell>
          <cell r="AA114" t="str">
            <v>München</v>
          </cell>
          <cell r="AB114" t="str">
            <v>مونیخ</v>
          </cell>
          <cell r="AC114" t="str">
            <v>Monachium</v>
          </cell>
          <cell r="AD114" t="str">
            <v>Munique</v>
          </cell>
          <cell r="AE114" t="str">
            <v>Munchen</v>
          </cell>
          <cell r="AF114" t="str">
            <v>Минхен</v>
          </cell>
          <cell r="AG114" t="str">
            <v>Mníchov</v>
          </cell>
          <cell r="AH114" t="str">
            <v>München</v>
          </cell>
          <cell r="AI114" t="str">
            <v>Munich</v>
          </cell>
          <cell r="AJ114" t="str">
            <v>Munich</v>
          </cell>
          <cell r="AK114" t="str">
            <v>มิวนิค</v>
          </cell>
          <cell r="AL114" t="str">
            <v>Münih</v>
          </cell>
          <cell r="AM114" t="str">
            <v>Munich</v>
          </cell>
          <cell r="AN114" t="str">
            <v>Мюнхен</v>
          </cell>
          <cell r="AO114" t="str">
            <v>میونخ</v>
          </cell>
        </row>
        <row r="115">
          <cell r="A115" t="str">
            <v>en</v>
          </cell>
          <cell r="B115" t="str">
            <v>sq</v>
          </cell>
          <cell r="C115" t="str">
            <v>ar</v>
          </cell>
          <cell r="D115" t="str">
            <v>hy</v>
          </cell>
          <cell r="E115" t="str">
            <v>az</v>
          </cell>
          <cell r="F115" t="str">
            <v>bg</v>
          </cell>
          <cell r="G115" t="str">
            <v>ca</v>
          </cell>
          <cell r="H115" t="str">
            <v>zh-CN</v>
          </cell>
          <cell r="I115" t="str">
            <v>zh-TW</v>
          </cell>
          <cell r="J115" t="str">
            <v>hr</v>
          </cell>
          <cell r="K115" t="str">
            <v>cs</v>
          </cell>
          <cell r="L115" t="str">
            <v>da</v>
          </cell>
          <cell r="M115" t="str">
            <v>nl</v>
          </cell>
          <cell r="N115" t="str">
            <v>fr</v>
          </cell>
          <cell r="O115" t="str">
            <v>ka</v>
          </cell>
          <cell r="P115" t="str">
            <v>de</v>
          </cell>
          <cell r="Q115" t="str">
            <v>el</v>
          </cell>
          <cell r="R115" t="str">
            <v>iw</v>
          </cell>
          <cell r="S115" t="str">
            <v>hu</v>
          </cell>
          <cell r="T115" t="str">
            <v>id</v>
          </cell>
          <cell r="U115" t="str">
            <v>is</v>
          </cell>
          <cell r="V115" t="str">
            <v>it</v>
          </cell>
          <cell r="W115" t="str">
            <v>ko</v>
          </cell>
          <cell r="X115" t="str">
            <v>lt</v>
          </cell>
          <cell r="Y115" t="str">
            <v>mk</v>
          </cell>
          <cell r="Z115" t="str">
            <v>mt</v>
          </cell>
          <cell r="AA115" t="str">
            <v>no</v>
          </cell>
          <cell r="AB115" t="str">
            <v>fa</v>
          </cell>
          <cell r="AC115" t="str">
            <v>pl</v>
          </cell>
          <cell r="AD115" t="str">
            <v>pt</v>
          </cell>
          <cell r="AE115" t="str">
            <v>ro</v>
          </cell>
          <cell r="AF115" t="str">
            <v>sr</v>
          </cell>
          <cell r="AG115" t="str">
            <v>sk</v>
          </cell>
          <cell r="AH115" t="str">
            <v>sl</v>
          </cell>
          <cell r="AI115" t="str">
            <v>es</v>
          </cell>
          <cell r="AJ115" t="str">
            <v>sv</v>
          </cell>
          <cell r="AK115" t="str">
            <v>th</v>
          </cell>
          <cell r="AL115" t="str">
            <v>tr</v>
          </cell>
          <cell r="AM115" t="str">
            <v>vi</v>
          </cell>
          <cell r="AN115" t="str">
            <v>uk</v>
          </cell>
          <cell r="AO115" t="str">
            <v>ur</v>
          </cell>
        </row>
      </sheetData>
      <sheetData sheetId="1">
        <row r="13">
          <cell r="G13">
            <v>27</v>
          </cell>
        </row>
        <row r="14">
          <cell r="G14">
            <v>0.54166666666666663</v>
          </cell>
        </row>
        <row r="15">
          <cell r="B15" t="str">
            <v>Tyskland</v>
          </cell>
          <cell r="C15">
            <v>4</v>
          </cell>
        </row>
        <row r="16">
          <cell r="B16" t="str">
            <v>Portugal</v>
          </cell>
          <cell r="C16">
            <v>13</v>
          </cell>
        </row>
        <row r="17">
          <cell r="B17" t="str">
            <v>Belgia</v>
          </cell>
          <cell r="C17">
            <v>1</v>
          </cell>
        </row>
        <row r="18">
          <cell r="B18" t="str">
            <v>Spania</v>
          </cell>
          <cell r="C18">
            <v>5</v>
          </cell>
        </row>
        <row r="19">
          <cell r="B19" t="str">
            <v>Frankrike</v>
          </cell>
          <cell r="C19">
            <v>7</v>
          </cell>
        </row>
        <row r="20">
          <cell r="B20" t="str">
            <v>England</v>
          </cell>
          <cell r="C20">
            <v>3</v>
          </cell>
        </row>
        <row r="21">
          <cell r="B21" t="str">
            <v>Sveits</v>
          </cell>
          <cell r="C21">
            <v>9</v>
          </cell>
        </row>
        <row r="22">
          <cell r="B22" t="str">
            <v>Italia</v>
          </cell>
          <cell r="C22">
            <v>2</v>
          </cell>
        </row>
        <row r="23">
          <cell r="B23" t="str">
            <v>Polen</v>
          </cell>
          <cell r="C23">
            <v>8</v>
          </cell>
        </row>
        <row r="24">
          <cell r="B24" t="str">
            <v>Kroatia</v>
          </cell>
          <cell r="C24">
            <v>10</v>
          </cell>
        </row>
        <row r="25">
          <cell r="B25" t="str">
            <v>Nederland</v>
          </cell>
          <cell r="C25">
            <v>11</v>
          </cell>
        </row>
        <row r="26">
          <cell r="B26" t="str">
            <v>Østerrike</v>
          </cell>
          <cell r="C26">
            <v>16</v>
          </cell>
        </row>
        <row r="27">
          <cell r="B27" t="str">
            <v>Wales</v>
          </cell>
          <cell r="C27">
            <v>19</v>
          </cell>
        </row>
        <row r="28">
          <cell r="B28" t="str">
            <v>Russland</v>
          </cell>
          <cell r="C28">
            <v>12</v>
          </cell>
        </row>
        <row r="29">
          <cell r="B29" t="str">
            <v>Slovakia</v>
          </cell>
          <cell r="C29">
            <v>22</v>
          </cell>
        </row>
        <row r="30">
          <cell r="B30" t="str">
            <v>Sverige</v>
          </cell>
          <cell r="C30">
            <v>17</v>
          </cell>
        </row>
        <row r="31">
          <cell r="B31" t="str">
            <v>Ukraina</v>
          </cell>
          <cell r="C31">
            <v>6</v>
          </cell>
        </row>
        <row r="32">
          <cell r="B32" t="str">
            <v>Danmark</v>
          </cell>
          <cell r="C32">
            <v>5</v>
          </cell>
        </row>
        <row r="33">
          <cell r="B33" t="str">
            <v>Tsjekkia</v>
          </cell>
          <cell r="C33">
            <v>18</v>
          </cell>
        </row>
        <row r="34">
          <cell r="B34" t="str">
            <v>Tyrkia</v>
          </cell>
          <cell r="C34">
            <v>14</v>
          </cell>
        </row>
        <row r="35">
          <cell r="B35" t="str">
            <v>Ungarn</v>
          </cell>
          <cell r="C35">
            <v>31</v>
          </cell>
        </row>
        <row r="36">
          <cell r="B36" t="str">
            <v>Skottland</v>
          </cell>
          <cell r="C36">
            <v>29</v>
          </cell>
        </row>
        <row r="37">
          <cell r="B37" t="str">
            <v>Finland</v>
          </cell>
          <cell r="C37">
            <v>20</v>
          </cell>
        </row>
        <row r="38">
          <cell r="B38" t="str">
            <v>Nord-Makedonia</v>
          </cell>
          <cell r="C38">
            <v>30</v>
          </cell>
        </row>
      </sheetData>
      <sheetData sheetId="2"/>
      <sheetData sheetId="3">
        <row r="50">
          <cell r="BB50" t="str">
            <v>ABCD</v>
          </cell>
        </row>
        <row r="53">
          <cell r="BD53" t="str">
            <v>ABCD</v>
          </cell>
          <cell r="BE53" t="str">
            <v>3A</v>
          </cell>
          <cell r="BF53" t="str">
            <v>3D</v>
          </cell>
          <cell r="BG53" t="str">
            <v>3B</v>
          </cell>
          <cell r="BH53" t="str">
            <v>3C</v>
          </cell>
        </row>
        <row r="54">
          <cell r="BD54" t="str">
            <v>ABCE</v>
          </cell>
          <cell r="BE54" t="str">
            <v>3A</v>
          </cell>
          <cell r="BF54" t="str">
            <v>3E</v>
          </cell>
          <cell r="BG54" t="str">
            <v>3B</v>
          </cell>
          <cell r="BH54" t="str">
            <v>3C</v>
          </cell>
        </row>
        <row r="55">
          <cell r="BD55" t="str">
            <v>ABCF</v>
          </cell>
          <cell r="BE55" t="str">
            <v>3A</v>
          </cell>
          <cell r="BF55" t="str">
            <v>3F</v>
          </cell>
          <cell r="BG55" t="str">
            <v>3B</v>
          </cell>
          <cell r="BH55" t="str">
            <v>3C</v>
          </cell>
        </row>
        <row r="56">
          <cell r="BD56" t="str">
            <v>ABDE</v>
          </cell>
          <cell r="BE56" t="str">
            <v>3D</v>
          </cell>
          <cell r="BF56" t="str">
            <v>3E</v>
          </cell>
          <cell r="BG56" t="str">
            <v>3A</v>
          </cell>
          <cell r="BH56" t="str">
            <v>3B</v>
          </cell>
        </row>
        <row r="57">
          <cell r="BD57" t="str">
            <v>ABDF</v>
          </cell>
          <cell r="BE57" t="str">
            <v>3D</v>
          </cell>
          <cell r="BF57" t="str">
            <v>3F</v>
          </cell>
          <cell r="BG57" t="str">
            <v>3A</v>
          </cell>
          <cell r="BH57" t="str">
            <v>3B</v>
          </cell>
        </row>
        <row r="58">
          <cell r="BD58" t="str">
            <v>ABEF</v>
          </cell>
          <cell r="BE58" t="str">
            <v>3E</v>
          </cell>
          <cell r="BF58" t="str">
            <v>3F</v>
          </cell>
          <cell r="BG58" t="str">
            <v>3B</v>
          </cell>
          <cell r="BH58" t="str">
            <v>3A</v>
          </cell>
        </row>
        <row r="59">
          <cell r="BD59" t="str">
            <v>ACDE</v>
          </cell>
          <cell r="BE59" t="str">
            <v>3E</v>
          </cell>
          <cell r="BF59" t="str">
            <v>3D</v>
          </cell>
          <cell r="BG59" t="str">
            <v>3C</v>
          </cell>
          <cell r="BH59" t="str">
            <v>3A</v>
          </cell>
        </row>
        <row r="60">
          <cell r="BD60" t="str">
            <v>ACDF</v>
          </cell>
          <cell r="BE60" t="str">
            <v>3F</v>
          </cell>
          <cell r="BF60" t="str">
            <v>3D</v>
          </cell>
          <cell r="BG60" t="str">
            <v>3C</v>
          </cell>
          <cell r="BH60" t="str">
            <v>3A</v>
          </cell>
        </row>
        <row r="61">
          <cell r="BD61" t="str">
            <v>ACEF</v>
          </cell>
          <cell r="BE61" t="str">
            <v>3E</v>
          </cell>
          <cell r="BF61" t="str">
            <v>3F</v>
          </cell>
          <cell r="BG61" t="str">
            <v>3C</v>
          </cell>
          <cell r="BH61" t="str">
            <v>3A</v>
          </cell>
        </row>
        <row r="62">
          <cell r="BD62" t="str">
            <v>ADEF</v>
          </cell>
          <cell r="BE62" t="str">
            <v>3E</v>
          </cell>
          <cell r="BF62" t="str">
            <v>3F</v>
          </cell>
          <cell r="BG62" t="str">
            <v>3D</v>
          </cell>
          <cell r="BH62" t="str">
            <v>3A</v>
          </cell>
        </row>
        <row r="63">
          <cell r="BD63" t="str">
            <v>BCDE</v>
          </cell>
          <cell r="BE63" t="str">
            <v>3E</v>
          </cell>
          <cell r="BF63" t="str">
            <v>3D</v>
          </cell>
          <cell r="BG63" t="str">
            <v>3B</v>
          </cell>
          <cell r="BH63" t="str">
            <v>3C</v>
          </cell>
        </row>
        <row r="64">
          <cell r="BD64" t="str">
            <v>BCDF</v>
          </cell>
          <cell r="BE64" t="str">
            <v>3F</v>
          </cell>
          <cell r="BF64" t="str">
            <v>3D</v>
          </cell>
          <cell r="BG64" t="str">
            <v>3C</v>
          </cell>
          <cell r="BH64" t="str">
            <v>3B</v>
          </cell>
        </row>
        <row r="65">
          <cell r="BD65" t="str">
            <v>BCEF</v>
          </cell>
          <cell r="BE65" t="str">
            <v>3F</v>
          </cell>
          <cell r="BF65" t="str">
            <v>3E</v>
          </cell>
          <cell r="BG65" t="str">
            <v>3C</v>
          </cell>
          <cell r="BH65" t="str">
            <v>3B</v>
          </cell>
        </row>
        <row r="66">
          <cell r="BD66" t="str">
            <v>BDEF</v>
          </cell>
          <cell r="BE66" t="str">
            <v>3F</v>
          </cell>
          <cell r="BF66" t="str">
            <v>3E</v>
          </cell>
          <cell r="BG66" t="str">
            <v>3D</v>
          </cell>
          <cell r="BH66" t="str">
            <v>3B</v>
          </cell>
        </row>
        <row r="67">
          <cell r="BD67" t="str">
            <v>CDEF</v>
          </cell>
          <cell r="BE67" t="str">
            <v>3F</v>
          </cell>
          <cell r="BF67" t="str">
            <v>3E</v>
          </cell>
          <cell r="BG67" t="str">
            <v>3D</v>
          </cell>
          <cell r="BH67" t="str">
            <v>3C</v>
          </cell>
        </row>
      </sheetData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"/>
      <sheetName val="Settings"/>
      <sheetName val="INPUT-&gt;"/>
      <sheetName val="2022 World Cup"/>
      <sheetName val="OUTPUT-&gt;"/>
      <sheetName val="Resultater"/>
    </sheetNames>
    <sheetDataSet>
      <sheetData sheetId="0"/>
      <sheetData sheetId="1">
        <row r="15">
          <cell r="I15" t="str">
            <v>Argentina</v>
          </cell>
        </row>
        <row r="17">
          <cell r="I17" t="str">
            <v>Argentina</v>
          </cell>
        </row>
        <row r="18">
          <cell r="I18" t="str">
            <v>Australia</v>
          </cell>
        </row>
        <row r="19">
          <cell r="I19" t="str">
            <v>Belgium</v>
          </cell>
        </row>
        <row r="20">
          <cell r="I20" t="str">
            <v>Brazil</v>
          </cell>
        </row>
        <row r="21">
          <cell r="I21" t="str">
            <v>Cameroon</v>
          </cell>
        </row>
        <row r="22">
          <cell r="I22" t="str">
            <v>Canada</v>
          </cell>
        </row>
        <row r="23">
          <cell r="I23" t="str">
            <v>Costa Rica</v>
          </cell>
        </row>
        <row r="24">
          <cell r="I24" t="str">
            <v>Croatia</v>
          </cell>
        </row>
        <row r="25">
          <cell r="I25" t="str">
            <v>Denmark</v>
          </cell>
        </row>
        <row r="26">
          <cell r="I26" t="str">
            <v>Ecuador</v>
          </cell>
        </row>
        <row r="27">
          <cell r="I27" t="str">
            <v>England</v>
          </cell>
        </row>
        <row r="28">
          <cell r="I28" t="str">
            <v>France</v>
          </cell>
        </row>
        <row r="29">
          <cell r="I29" t="str">
            <v>Germany</v>
          </cell>
        </row>
        <row r="30">
          <cell r="I30" t="str">
            <v>Ghana</v>
          </cell>
        </row>
        <row r="31">
          <cell r="I31" t="str">
            <v>Iran</v>
          </cell>
        </row>
        <row r="32">
          <cell r="I32" t="str">
            <v>Japan</v>
          </cell>
        </row>
        <row r="33">
          <cell r="I33" t="str">
            <v>Korea Republic</v>
          </cell>
        </row>
        <row r="34">
          <cell r="I34" t="str">
            <v>Mexico</v>
          </cell>
        </row>
        <row r="35">
          <cell r="I35" t="str">
            <v>Morocco</v>
          </cell>
        </row>
        <row r="36">
          <cell r="I36" t="str">
            <v>Netherlands</v>
          </cell>
        </row>
        <row r="37">
          <cell r="I37" t="str">
            <v>Poland</v>
          </cell>
        </row>
        <row r="38">
          <cell r="I38" t="str">
            <v>Portugal</v>
          </cell>
        </row>
        <row r="39">
          <cell r="I39" t="str">
            <v>Qatar</v>
          </cell>
        </row>
        <row r="40">
          <cell r="I40" t="str">
            <v>Saudi Arabia</v>
          </cell>
        </row>
        <row r="41">
          <cell r="I41" t="str">
            <v>Senegal</v>
          </cell>
        </row>
        <row r="42">
          <cell r="I42" t="str">
            <v>Serbia</v>
          </cell>
        </row>
        <row r="43">
          <cell r="I43" t="str">
            <v>Spain</v>
          </cell>
        </row>
        <row r="44">
          <cell r="I44" t="str">
            <v>Switzerland</v>
          </cell>
        </row>
        <row r="45">
          <cell r="I45" t="str">
            <v>Tunisia</v>
          </cell>
        </row>
        <row r="46">
          <cell r="I46" t="str">
            <v>United States</v>
          </cell>
        </row>
        <row r="47">
          <cell r="I47" t="str">
            <v>Uruguay</v>
          </cell>
        </row>
        <row r="48">
          <cell r="I48" t="str">
            <v>Wales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wallchart.io/football/world-cup-2026.html" TargetMode="External"/><Relationship Id="rId1" Type="http://schemas.openxmlformats.org/officeDocument/2006/relationships/hyperlink" Target="http://www.excely.com/football/2026-fifa-world-cup-schedule.html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</row>
    <row r="2" spans="1:42" x14ac:dyDescent="0.25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86</v>
      </c>
      <c r="O2" t="s">
        <v>87</v>
      </c>
      <c r="P2" t="s">
        <v>88</v>
      </c>
      <c r="Q2" t="s">
        <v>89</v>
      </c>
      <c r="R2" t="s">
        <v>90</v>
      </c>
      <c r="S2" t="s">
        <v>91</v>
      </c>
      <c r="T2" t="s">
        <v>92</v>
      </c>
      <c r="U2" t="s">
        <v>93</v>
      </c>
      <c r="V2" t="s">
        <v>94</v>
      </c>
      <c r="W2" t="s">
        <v>95</v>
      </c>
      <c r="X2" t="s">
        <v>96</v>
      </c>
      <c r="Y2" t="s">
        <v>97</v>
      </c>
      <c r="Z2" t="s">
        <v>98</v>
      </c>
      <c r="AA2" t="s">
        <v>99</v>
      </c>
      <c r="AB2" t="s">
        <v>100</v>
      </c>
      <c r="AC2" t="s">
        <v>101</v>
      </c>
      <c r="AD2" t="s">
        <v>102</v>
      </c>
      <c r="AE2" t="s">
        <v>103</v>
      </c>
      <c r="AF2" t="s">
        <v>104</v>
      </c>
      <c r="AG2" t="s">
        <v>105</v>
      </c>
      <c r="AH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s="1" t="s">
        <v>113</v>
      </c>
      <c r="AP2" t="s">
        <v>114</v>
      </c>
    </row>
    <row r="3" spans="1:42" x14ac:dyDescent="0.25">
      <c r="A3" t="s">
        <v>115</v>
      </c>
      <c r="B3" t="s">
        <v>116</v>
      </c>
      <c r="C3" t="s">
        <v>117</v>
      </c>
      <c r="D3" t="s">
        <v>118</v>
      </c>
      <c r="E3" t="s">
        <v>119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128</v>
      </c>
      <c r="O3" t="s">
        <v>129</v>
      </c>
      <c r="P3" t="s">
        <v>130</v>
      </c>
      <c r="Q3" t="s">
        <v>131</v>
      </c>
      <c r="R3" t="s">
        <v>132</v>
      </c>
      <c r="S3" t="s">
        <v>133</v>
      </c>
      <c r="T3" t="s">
        <v>134</v>
      </c>
      <c r="U3" t="s">
        <v>135</v>
      </c>
      <c r="V3" t="s">
        <v>136</v>
      </c>
      <c r="W3" t="s">
        <v>137</v>
      </c>
      <c r="X3" t="s">
        <v>138</v>
      </c>
      <c r="Y3" t="s">
        <v>139</v>
      </c>
      <c r="Z3" t="s">
        <v>140</v>
      </c>
      <c r="AA3" t="s">
        <v>141</v>
      </c>
      <c r="AB3" t="s">
        <v>142</v>
      </c>
      <c r="AC3" t="s">
        <v>143</v>
      </c>
      <c r="AD3" t="s">
        <v>144</v>
      </c>
      <c r="AE3" t="s">
        <v>145</v>
      </c>
      <c r="AF3" t="s">
        <v>146</v>
      </c>
      <c r="AG3" t="s">
        <v>147</v>
      </c>
      <c r="AH3" t="s">
        <v>148</v>
      </c>
      <c r="AI3" t="s">
        <v>149</v>
      </c>
      <c r="AJ3" t="s">
        <v>145</v>
      </c>
      <c r="AK3" t="s">
        <v>150</v>
      </c>
      <c r="AL3" t="s">
        <v>151</v>
      </c>
      <c r="AM3" t="s">
        <v>152</v>
      </c>
      <c r="AN3" t="s">
        <v>153</v>
      </c>
      <c r="AO3" t="s">
        <v>154</v>
      </c>
      <c r="AP3" t="s">
        <v>155</v>
      </c>
    </row>
    <row r="4" spans="1:42" x14ac:dyDescent="0.25">
      <c r="A4" t="s">
        <v>156</v>
      </c>
      <c r="B4" t="s">
        <v>157</v>
      </c>
      <c r="C4" t="s">
        <v>158</v>
      </c>
      <c r="D4" t="s">
        <v>159</v>
      </c>
      <c r="E4" t="s">
        <v>160</v>
      </c>
      <c r="F4" t="s">
        <v>161</v>
      </c>
      <c r="G4" t="s">
        <v>162</v>
      </c>
      <c r="H4" t="s">
        <v>163</v>
      </c>
      <c r="I4" t="s">
        <v>164</v>
      </c>
      <c r="J4" t="s">
        <v>165</v>
      </c>
      <c r="K4" t="s">
        <v>166</v>
      </c>
      <c r="L4" t="s">
        <v>167</v>
      </c>
      <c r="M4" t="s">
        <v>168</v>
      </c>
      <c r="N4" t="s">
        <v>169</v>
      </c>
      <c r="O4" t="s">
        <v>170</v>
      </c>
      <c r="P4" t="s">
        <v>171</v>
      </c>
      <c r="Q4" t="s">
        <v>172</v>
      </c>
      <c r="R4" t="s">
        <v>173</v>
      </c>
      <c r="S4" t="s">
        <v>174</v>
      </c>
      <c r="T4" t="s">
        <v>175</v>
      </c>
      <c r="U4" t="s">
        <v>176</v>
      </c>
      <c r="V4" t="s">
        <v>177</v>
      </c>
      <c r="W4" t="s">
        <v>178</v>
      </c>
      <c r="X4" t="s">
        <v>179</v>
      </c>
      <c r="Y4" t="s">
        <v>180</v>
      </c>
      <c r="Z4" t="s">
        <v>181</v>
      </c>
      <c r="AA4" t="s">
        <v>182</v>
      </c>
      <c r="AB4" t="s">
        <v>183</v>
      </c>
      <c r="AC4" t="s">
        <v>184</v>
      </c>
      <c r="AD4" t="s">
        <v>185</v>
      </c>
      <c r="AE4" t="s">
        <v>186</v>
      </c>
      <c r="AF4" t="s">
        <v>187</v>
      </c>
      <c r="AG4" t="s">
        <v>188</v>
      </c>
      <c r="AH4" t="s">
        <v>189</v>
      </c>
      <c r="AI4" t="s">
        <v>190</v>
      </c>
      <c r="AJ4" t="s">
        <v>191</v>
      </c>
      <c r="AK4" t="s">
        <v>192</v>
      </c>
      <c r="AL4" t="s">
        <v>193</v>
      </c>
      <c r="AM4" t="s">
        <v>194</v>
      </c>
      <c r="AN4" t="s">
        <v>195</v>
      </c>
      <c r="AO4" t="s">
        <v>196</v>
      </c>
      <c r="AP4" t="s">
        <v>197</v>
      </c>
    </row>
    <row r="5" spans="1:42" x14ac:dyDescent="0.25">
      <c r="A5" t="s">
        <v>198</v>
      </c>
      <c r="B5" t="s">
        <v>199</v>
      </c>
      <c r="C5" t="s">
        <v>200</v>
      </c>
      <c r="D5" t="s">
        <v>201</v>
      </c>
      <c r="E5" t="s">
        <v>202</v>
      </c>
      <c r="F5" t="s">
        <v>203</v>
      </c>
      <c r="G5" t="s">
        <v>204</v>
      </c>
      <c r="H5" t="s">
        <v>205</v>
      </c>
      <c r="I5" t="s">
        <v>206</v>
      </c>
      <c r="J5" t="s">
        <v>207</v>
      </c>
      <c r="K5" t="s">
        <v>208</v>
      </c>
      <c r="L5" t="s">
        <v>209</v>
      </c>
      <c r="M5" t="s">
        <v>210</v>
      </c>
      <c r="N5" t="s">
        <v>211</v>
      </c>
      <c r="O5" t="s">
        <v>212</v>
      </c>
      <c r="P5" t="s">
        <v>213</v>
      </c>
      <c r="Q5" t="s">
        <v>214</v>
      </c>
      <c r="R5" t="s">
        <v>215</v>
      </c>
      <c r="S5" t="s">
        <v>216</v>
      </c>
      <c r="T5" t="s">
        <v>217</v>
      </c>
      <c r="U5" t="s">
        <v>218</v>
      </c>
      <c r="V5" t="s">
        <v>219</v>
      </c>
      <c r="W5" t="s">
        <v>220</v>
      </c>
      <c r="X5" t="s">
        <v>221</v>
      </c>
      <c r="Y5" t="s">
        <v>222</v>
      </c>
      <c r="Z5" t="s">
        <v>223</v>
      </c>
      <c r="AA5" t="s">
        <v>224</v>
      </c>
      <c r="AB5" t="s">
        <v>209</v>
      </c>
      <c r="AC5" t="s">
        <v>225</v>
      </c>
      <c r="AD5" t="s">
        <v>226</v>
      </c>
      <c r="AE5" t="s">
        <v>227</v>
      </c>
      <c r="AF5" t="s">
        <v>228</v>
      </c>
      <c r="AG5" t="s">
        <v>207</v>
      </c>
      <c r="AH5" t="s">
        <v>229</v>
      </c>
      <c r="AI5" t="s">
        <v>230</v>
      </c>
      <c r="AJ5" t="s">
        <v>231</v>
      </c>
      <c r="AK5" t="s">
        <v>232</v>
      </c>
      <c r="AL5" t="s">
        <v>233</v>
      </c>
      <c r="AM5" t="s">
        <v>234</v>
      </c>
      <c r="AN5" t="s">
        <v>235</v>
      </c>
      <c r="AO5" t="s">
        <v>236</v>
      </c>
      <c r="AP5" t="s">
        <v>237</v>
      </c>
    </row>
    <row r="6" spans="1:42" x14ac:dyDescent="0.25">
      <c r="A6" t="s">
        <v>238</v>
      </c>
      <c r="B6" t="s">
        <v>239</v>
      </c>
      <c r="C6" t="s">
        <v>240</v>
      </c>
      <c r="D6" t="s">
        <v>241</v>
      </c>
      <c r="E6" t="s">
        <v>242</v>
      </c>
      <c r="F6" t="s">
        <v>243</v>
      </c>
      <c r="G6" t="s">
        <v>244</v>
      </c>
      <c r="H6" t="s">
        <v>245</v>
      </c>
      <c r="I6" t="s">
        <v>246</v>
      </c>
      <c r="J6" t="s">
        <v>247</v>
      </c>
      <c r="K6" t="s">
        <v>248</v>
      </c>
      <c r="L6" t="s">
        <v>249</v>
      </c>
      <c r="M6" t="s">
        <v>250</v>
      </c>
      <c r="N6" t="s">
        <v>251</v>
      </c>
      <c r="O6" t="s">
        <v>252</v>
      </c>
      <c r="P6" t="s">
        <v>253</v>
      </c>
      <c r="Q6" t="s">
        <v>254</v>
      </c>
      <c r="R6" t="s">
        <v>255</v>
      </c>
      <c r="S6" t="s">
        <v>256</v>
      </c>
      <c r="T6" t="s">
        <v>257</v>
      </c>
      <c r="U6" t="s">
        <v>258</v>
      </c>
      <c r="V6" t="s">
        <v>259</v>
      </c>
      <c r="W6" t="s">
        <v>260</v>
      </c>
      <c r="X6" t="s">
        <v>261</v>
      </c>
      <c r="Y6" t="s">
        <v>262</v>
      </c>
      <c r="Z6" t="s">
        <v>263</v>
      </c>
      <c r="AA6" t="s">
        <v>264</v>
      </c>
      <c r="AB6" t="s">
        <v>249</v>
      </c>
      <c r="AC6" t="s">
        <v>265</v>
      </c>
      <c r="AD6" t="s">
        <v>266</v>
      </c>
      <c r="AE6" t="s">
        <v>267</v>
      </c>
      <c r="AF6" t="s">
        <v>249</v>
      </c>
      <c r="AG6" t="s">
        <v>247</v>
      </c>
      <c r="AH6" t="s">
        <v>248</v>
      </c>
      <c r="AI6" t="s">
        <v>268</v>
      </c>
      <c r="AJ6" t="s">
        <v>269</v>
      </c>
      <c r="AK6" t="s">
        <v>270</v>
      </c>
      <c r="AL6" t="s">
        <v>271</v>
      </c>
      <c r="AM6" t="s">
        <v>272</v>
      </c>
      <c r="AN6" t="s">
        <v>273</v>
      </c>
      <c r="AO6" t="s">
        <v>274</v>
      </c>
      <c r="AP6" t="s">
        <v>275</v>
      </c>
    </row>
    <row r="7" spans="1:42" x14ac:dyDescent="0.25">
      <c r="A7" t="s">
        <v>276</v>
      </c>
      <c r="B7" t="s">
        <v>277</v>
      </c>
      <c r="C7" t="s">
        <v>278</v>
      </c>
      <c r="D7" t="s">
        <v>279</v>
      </c>
      <c r="E7" t="s">
        <v>280</v>
      </c>
      <c r="F7" t="s">
        <v>281</v>
      </c>
      <c r="G7" t="s">
        <v>282</v>
      </c>
      <c r="H7" t="s">
        <v>283</v>
      </c>
      <c r="I7" t="s">
        <v>284</v>
      </c>
      <c r="J7" t="s">
        <v>285</v>
      </c>
      <c r="K7" t="s">
        <v>286</v>
      </c>
      <c r="L7" t="s">
        <v>287</v>
      </c>
      <c r="M7" t="s">
        <v>288</v>
      </c>
      <c r="N7" t="s">
        <v>289</v>
      </c>
      <c r="O7" t="s">
        <v>290</v>
      </c>
      <c r="P7" t="s">
        <v>291</v>
      </c>
      <c r="Q7" t="s">
        <v>292</v>
      </c>
      <c r="R7" t="s">
        <v>293</v>
      </c>
      <c r="S7" t="s">
        <v>294</v>
      </c>
      <c r="T7" t="s">
        <v>295</v>
      </c>
      <c r="U7" t="s">
        <v>296</v>
      </c>
      <c r="V7" t="s">
        <v>297</v>
      </c>
      <c r="W7" t="s">
        <v>298</v>
      </c>
      <c r="X7" t="s">
        <v>299</v>
      </c>
      <c r="Y7" t="s">
        <v>300</v>
      </c>
      <c r="Z7" t="s">
        <v>301</v>
      </c>
      <c r="AA7" t="s">
        <v>302</v>
      </c>
      <c r="AB7" t="s">
        <v>303</v>
      </c>
      <c r="AC7" t="s">
        <v>304</v>
      </c>
      <c r="AD7" t="s">
        <v>305</v>
      </c>
      <c r="AE7" t="s">
        <v>306</v>
      </c>
      <c r="AF7" t="s">
        <v>307</v>
      </c>
      <c r="AG7" t="s">
        <v>285</v>
      </c>
      <c r="AH7" t="s">
        <v>308</v>
      </c>
      <c r="AI7" t="s">
        <v>309</v>
      </c>
      <c r="AJ7" t="s">
        <v>310</v>
      </c>
      <c r="AK7" t="s">
        <v>311</v>
      </c>
      <c r="AL7" t="s">
        <v>312</v>
      </c>
      <c r="AM7" t="s">
        <v>313</v>
      </c>
      <c r="AN7" t="s">
        <v>314</v>
      </c>
      <c r="AO7" t="s">
        <v>315</v>
      </c>
      <c r="AP7" t="s">
        <v>316</v>
      </c>
    </row>
    <row r="8" spans="1:42" x14ac:dyDescent="0.25">
      <c r="A8" t="s">
        <v>317</v>
      </c>
      <c r="B8" t="s">
        <v>318</v>
      </c>
      <c r="C8" t="s">
        <v>319</v>
      </c>
      <c r="D8" t="s">
        <v>320</v>
      </c>
      <c r="E8" t="s">
        <v>317</v>
      </c>
      <c r="F8" t="s">
        <v>321</v>
      </c>
      <c r="G8" t="s">
        <v>317</v>
      </c>
      <c r="H8" t="s">
        <v>322</v>
      </c>
      <c r="I8" t="s">
        <v>323</v>
      </c>
      <c r="J8" t="s">
        <v>324</v>
      </c>
      <c r="K8" t="s">
        <v>325</v>
      </c>
      <c r="L8" t="s">
        <v>324</v>
      </c>
      <c r="M8" t="s">
        <v>324</v>
      </c>
      <c r="N8" t="s">
        <v>326</v>
      </c>
      <c r="O8" t="s">
        <v>324</v>
      </c>
      <c r="P8" t="s">
        <v>327</v>
      </c>
      <c r="Q8" t="s">
        <v>324</v>
      </c>
      <c r="R8" t="s">
        <v>328</v>
      </c>
      <c r="S8" t="s">
        <v>329</v>
      </c>
      <c r="T8" t="s">
        <v>330</v>
      </c>
      <c r="U8" t="s">
        <v>317</v>
      </c>
      <c r="V8" t="s">
        <v>331</v>
      </c>
      <c r="W8" t="s">
        <v>324</v>
      </c>
      <c r="X8" t="s">
        <v>332</v>
      </c>
      <c r="Y8" t="s">
        <v>333</v>
      </c>
      <c r="Z8" t="s">
        <v>334</v>
      </c>
      <c r="AA8" t="s">
        <v>335</v>
      </c>
      <c r="AB8" t="s">
        <v>324</v>
      </c>
      <c r="AC8" t="s">
        <v>336</v>
      </c>
      <c r="AD8" t="s">
        <v>337</v>
      </c>
      <c r="AE8" t="s">
        <v>317</v>
      </c>
      <c r="AF8" t="s">
        <v>338</v>
      </c>
      <c r="AG8" t="s">
        <v>324</v>
      </c>
      <c r="AH8" t="s">
        <v>325</v>
      </c>
      <c r="AI8" t="s">
        <v>324</v>
      </c>
      <c r="AJ8" t="s">
        <v>317</v>
      </c>
      <c r="AK8" t="s">
        <v>317</v>
      </c>
      <c r="AL8" t="s">
        <v>339</v>
      </c>
      <c r="AM8" t="s">
        <v>317</v>
      </c>
      <c r="AN8" t="s">
        <v>340</v>
      </c>
      <c r="AO8" t="s">
        <v>341</v>
      </c>
      <c r="AP8" t="s">
        <v>342</v>
      </c>
    </row>
    <row r="9" spans="1:42" x14ac:dyDescent="0.25">
      <c r="A9" t="s">
        <v>343</v>
      </c>
      <c r="B9" t="s">
        <v>344</v>
      </c>
      <c r="C9" t="s">
        <v>345</v>
      </c>
      <c r="D9" t="s">
        <v>346</v>
      </c>
      <c r="E9" t="s">
        <v>347</v>
      </c>
      <c r="F9" t="s">
        <v>348</v>
      </c>
      <c r="G9" t="s">
        <v>349</v>
      </c>
      <c r="H9" t="s">
        <v>350</v>
      </c>
      <c r="I9" t="s">
        <v>351</v>
      </c>
      <c r="J9" t="s">
        <v>352</v>
      </c>
      <c r="K9" t="s">
        <v>353</v>
      </c>
      <c r="L9" t="s">
        <v>354</v>
      </c>
      <c r="M9" t="s">
        <v>355</v>
      </c>
      <c r="N9" t="s">
        <v>356</v>
      </c>
      <c r="O9" t="s">
        <v>357</v>
      </c>
      <c r="P9" t="s">
        <v>358</v>
      </c>
      <c r="Q9" t="s">
        <v>354</v>
      </c>
      <c r="R9" t="s">
        <v>359</v>
      </c>
      <c r="S9" t="s">
        <v>360</v>
      </c>
      <c r="T9" t="s">
        <v>361</v>
      </c>
      <c r="U9" t="s">
        <v>362</v>
      </c>
      <c r="V9" t="s">
        <v>363</v>
      </c>
      <c r="W9" t="s">
        <v>364</v>
      </c>
      <c r="X9" t="s">
        <v>365</v>
      </c>
      <c r="Y9" t="s">
        <v>366</v>
      </c>
      <c r="Z9" t="s">
        <v>348</v>
      </c>
      <c r="AA9" t="s">
        <v>367</v>
      </c>
      <c r="AB9" t="s">
        <v>354</v>
      </c>
      <c r="AC9" t="s">
        <v>368</v>
      </c>
      <c r="AD9" t="s">
        <v>352</v>
      </c>
      <c r="AE9" t="s">
        <v>369</v>
      </c>
      <c r="AF9" t="s">
        <v>352</v>
      </c>
      <c r="AG9" t="s">
        <v>352</v>
      </c>
      <c r="AH9" t="s">
        <v>353</v>
      </c>
      <c r="AI9" t="s">
        <v>353</v>
      </c>
      <c r="AJ9" t="s">
        <v>369</v>
      </c>
      <c r="AK9" t="s">
        <v>367</v>
      </c>
      <c r="AL9" t="s">
        <v>370</v>
      </c>
      <c r="AM9" t="s">
        <v>349</v>
      </c>
      <c r="AN9" t="s">
        <v>371</v>
      </c>
      <c r="AO9" t="s">
        <v>348</v>
      </c>
      <c r="AP9" t="s">
        <v>155</v>
      </c>
    </row>
    <row r="10" spans="1:42" x14ac:dyDescent="0.25">
      <c r="A10" t="s">
        <v>372</v>
      </c>
      <c r="B10" t="s">
        <v>8</v>
      </c>
      <c r="C10" t="s">
        <v>373</v>
      </c>
      <c r="D10" t="s">
        <v>374</v>
      </c>
      <c r="E10" t="s">
        <v>375</v>
      </c>
      <c r="F10" t="s">
        <v>376</v>
      </c>
      <c r="G10" t="s">
        <v>377</v>
      </c>
      <c r="H10" t="s">
        <v>378</v>
      </c>
      <c r="I10" t="s">
        <v>379</v>
      </c>
      <c r="J10" t="s">
        <v>372</v>
      </c>
      <c r="K10" t="s">
        <v>380</v>
      </c>
      <c r="L10" t="s">
        <v>381</v>
      </c>
      <c r="M10" t="s">
        <v>382</v>
      </c>
      <c r="N10" t="s">
        <v>381</v>
      </c>
      <c r="O10" t="s">
        <v>377</v>
      </c>
      <c r="P10" t="s">
        <v>383</v>
      </c>
      <c r="Q10" t="s">
        <v>381</v>
      </c>
      <c r="R10" t="s">
        <v>384</v>
      </c>
      <c r="S10" t="s">
        <v>385</v>
      </c>
      <c r="T10" t="s">
        <v>386</v>
      </c>
      <c r="U10" t="s">
        <v>387</v>
      </c>
      <c r="V10" t="s">
        <v>8</v>
      </c>
      <c r="W10" t="s">
        <v>388</v>
      </c>
      <c r="X10" t="s">
        <v>389</v>
      </c>
      <c r="Y10" t="s">
        <v>390</v>
      </c>
      <c r="Z10" t="s">
        <v>391</v>
      </c>
      <c r="AA10" t="s">
        <v>8</v>
      </c>
      <c r="AB10" t="s">
        <v>392</v>
      </c>
      <c r="AC10" t="s">
        <v>393</v>
      </c>
      <c r="AD10" t="s">
        <v>386</v>
      </c>
      <c r="AE10" t="s">
        <v>377</v>
      </c>
      <c r="AF10" t="s">
        <v>377</v>
      </c>
      <c r="AG10" t="s">
        <v>394</v>
      </c>
      <c r="AH10" t="s">
        <v>380</v>
      </c>
      <c r="AI10" t="s">
        <v>372</v>
      </c>
      <c r="AJ10" t="s">
        <v>377</v>
      </c>
      <c r="AK10" t="s">
        <v>395</v>
      </c>
      <c r="AL10" t="s">
        <v>396</v>
      </c>
      <c r="AM10" t="s">
        <v>375</v>
      </c>
      <c r="AN10" t="s">
        <v>397</v>
      </c>
      <c r="AO10" t="s">
        <v>398</v>
      </c>
      <c r="AP10" t="s">
        <v>399</v>
      </c>
    </row>
    <row r="11" spans="1:42" x14ac:dyDescent="0.25">
      <c r="A11" t="s">
        <v>6</v>
      </c>
      <c r="B11" t="s">
        <v>400</v>
      </c>
      <c r="C11" t="s">
        <v>401</v>
      </c>
      <c r="D11" t="s">
        <v>402</v>
      </c>
      <c r="E11" t="s">
        <v>403</v>
      </c>
      <c r="F11" t="s">
        <v>404</v>
      </c>
      <c r="G11" t="s">
        <v>388</v>
      </c>
      <c r="H11" t="s">
        <v>405</v>
      </c>
      <c r="I11" t="s">
        <v>406</v>
      </c>
      <c r="J11" t="s">
        <v>6</v>
      </c>
      <c r="K11" t="s">
        <v>407</v>
      </c>
      <c r="L11" t="s">
        <v>407</v>
      </c>
      <c r="M11" t="s">
        <v>6</v>
      </c>
      <c r="N11" t="s">
        <v>407</v>
      </c>
      <c r="O11" t="s">
        <v>407</v>
      </c>
      <c r="P11" t="s">
        <v>408</v>
      </c>
      <c r="Q11" t="s">
        <v>392</v>
      </c>
      <c r="R11" t="s">
        <v>409</v>
      </c>
      <c r="S11" t="s">
        <v>410</v>
      </c>
      <c r="T11" t="s">
        <v>411</v>
      </c>
      <c r="U11" t="s">
        <v>412</v>
      </c>
      <c r="V11" t="s">
        <v>413</v>
      </c>
      <c r="W11" t="s">
        <v>407</v>
      </c>
      <c r="X11" t="s">
        <v>414</v>
      </c>
      <c r="Y11" t="s">
        <v>8</v>
      </c>
      <c r="Z11" t="s">
        <v>404</v>
      </c>
      <c r="AA11" t="s">
        <v>415</v>
      </c>
      <c r="AB11" t="s">
        <v>407</v>
      </c>
      <c r="AC11" t="s">
        <v>416</v>
      </c>
      <c r="AD11" t="s">
        <v>380</v>
      </c>
      <c r="AE11" t="s">
        <v>407</v>
      </c>
      <c r="AF11" t="s">
        <v>407</v>
      </c>
      <c r="AG11" t="s">
        <v>417</v>
      </c>
      <c r="AH11" t="s">
        <v>407</v>
      </c>
      <c r="AI11" t="s">
        <v>6</v>
      </c>
      <c r="AJ11" t="s">
        <v>388</v>
      </c>
      <c r="AK11" t="s">
        <v>407</v>
      </c>
      <c r="AL11" t="s">
        <v>418</v>
      </c>
      <c r="AM11" t="s">
        <v>388</v>
      </c>
      <c r="AN11" t="s">
        <v>419</v>
      </c>
      <c r="AO11" t="s">
        <v>420</v>
      </c>
      <c r="AP11" t="s">
        <v>421</v>
      </c>
    </row>
    <row r="12" spans="1:42" x14ac:dyDescent="0.25">
      <c r="A12" t="s">
        <v>422</v>
      </c>
      <c r="B12" t="s">
        <v>423</v>
      </c>
      <c r="C12" t="s">
        <v>424</v>
      </c>
      <c r="D12" t="s">
        <v>425</v>
      </c>
      <c r="E12" t="s">
        <v>426</v>
      </c>
      <c r="F12" t="s">
        <v>427</v>
      </c>
      <c r="G12" t="s">
        <v>428</v>
      </c>
      <c r="H12" t="s">
        <v>429</v>
      </c>
      <c r="I12" t="s">
        <v>430</v>
      </c>
      <c r="J12" t="s">
        <v>422</v>
      </c>
      <c r="K12" t="s">
        <v>415</v>
      </c>
      <c r="L12" t="s">
        <v>431</v>
      </c>
      <c r="M12" t="s">
        <v>388</v>
      </c>
      <c r="N12" t="s">
        <v>377</v>
      </c>
      <c r="O12" t="s">
        <v>422</v>
      </c>
      <c r="P12" t="s">
        <v>432</v>
      </c>
      <c r="Q12" t="s">
        <v>422</v>
      </c>
      <c r="R12" t="s">
        <v>433</v>
      </c>
      <c r="S12" t="s">
        <v>434</v>
      </c>
      <c r="T12" t="s">
        <v>7</v>
      </c>
      <c r="U12" t="s">
        <v>435</v>
      </c>
      <c r="V12" t="s">
        <v>436</v>
      </c>
      <c r="W12" t="s">
        <v>417</v>
      </c>
      <c r="X12" t="s">
        <v>437</v>
      </c>
      <c r="Y12" t="s">
        <v>438</v>
      </c>
      <c r="Z12" t="s">
        <v>439</v>
      </c>
      <c r="AA12" t="s">
        <v>440</v>
      </c>
      <c r="AB12" t="s">
        <v>419</v>
      </c>
      <c r="AC12" t="s">
        <v>441</v>
      </c>
      <c r="AD12" t="s">
        <v>415</v>
      </c>
      <c r="AE12" t="s">
        <v>428</v>
      </c>
      <c r="AF12" t="s">
        <v>428</v>
      </c>
      <c r="AG12" t="s">
        <v>442</v>
      </c>
      <c r="AH12" t="s">
        <v>415</v>
      </c>
      <c r="AI12" t="s">
        <v>422</v>
      </c>
      <c r="AJ12" t="s">
        <v>422</v>
      </c>
      <c r="AK12" t="s">
        <v>375</v>
      </c>
      <c r="AL12" t="s">
        <v>443</v>
      </c>
      <c r="AM12" t="s">
        <v>444</v>
      </c>
      <c r="AN12" t="s">
        <v>426</v>
      </c>
      <c r="AO12" t="s">
        <v>439</v>
      </c>
      <c r="AP12" t="s">
        <v>445</v>
      </c>
    </row>
    <row r="13" spans="1:42" x14ac:dyDescent="0.25">
      <c r="A13" t="s">
        <v>8</v>
      </c>
      <c r="B13" t="s">
        <v>426</v>
      </c>
      <c r="C13" t="s">
        <v>446</v>
      </c>
      <c r="D13" t="s">
        <v>447</v>
      </c>
      <c r="E13" t="s">
        <v>386</v>
      </c>
      <c r="F13" t="s">
        <v>448</v>
      </c>
      <c r="G13" t="s">
        <v>417</v>
      </c>
      <c r="H13" t="s">
        <v>449</v>
      </c>
      <c r="I13" t="s">
        <v>450</v>
      </c>
      <c r="J13" t="s">
        <v>8</v>
      </c>
      <c r="K13" t="s">
        <v>417</v>
      </c>
      <c r="L13" t="s">
        <v>419</v>
      </c>
      <c r="M13" t="s">
        <v>407</v>
      </c>
      <c r="N13" t="s">
        <v>419</v>
      </c>
      <c r="O13" t="s">
        <v>7</v>
      </c>
      <c r="P13" t="s">
        <v>451</v>
      </c>
      <c r="Q13" t="s">
        <v>452</v>
      </c>
      <c r="R13" t="s">
        <v>453</v>
      </c>
      <c r="S13" t="s">
        <v>454</v>
      </c>
      <c r="T13" t="s">
        <v>407</v>
      </c>
      <c r="U13" t="s">
        <v>455</v>
      </c>
      <c r="V13" t="s">
        <v>419</v>
      </c>
      <c r="W13" t="s">
        <v>392</v>
      </c>
      <c r="X13" t="s">
        <v>456</v>
      </c>
      <c r="Y13" t="s">
        <v>417</v>
      </c>
      <c r="Z13" t="s">
        <v>457</v>
      </c>
      <c r="AA13" t="s">
        <v>419</v>
      </c>
      <c r="AB13" t="s">
        <v>413</v>
      </c>
      <c r="AC13" t="s">
        <v>458</v>
      </c>
      <c r="AD13" t="s">
        <v>417</v>
      </c>
      <c r="AE13" t="s">
        <v>7</v>
      </c>
      <c r="AF13" t="s">
        <v>440</v>
      </c>
      <c r="AG13" t="s">
        <v>440</v>
      </c>
      <c r="AH13" t="s">
        <v>417</v>
      </c>
      <c r="AI13" t="s">
        <v>8</v>
      </c>
      <c r="AJ13" t="s">
        <v>417</v>
      </c>
      <c r="AK13" t="s">
        <v>400</v>
      </c>
      <c r="AL13" t="s">
        <v>459</v>
      </c>
      <c r="AM13" t="s">
        <v>386</v>
      </c>
      <c r="AN13" t="s">
        <v>444</v>
      </c>
      <c r="AO13" t="s">
        <v>404</v>
      </c>
      <c r="AP13" t="s">
        <v>460</v>
      </c>
    </row>
    <row r="14" spans="1:42" x14ac:dyDescent="0.25">
      <c r="A14" t="s">
        <v>461</v>
      </c>
      <c r="B14" t="s">
        <v>462</v>
      </c>
      <c r="C14" t="s">
        <v>463</v>
      </c>
      <c r="D14" t="s">
        <v>464</v>
      </c>
      <c r="E14" t="s">
        <v>465</v>
      </c>
      <c r="F14" t="s">
        <v>466</v>
      </c>
      <c r="G14" t="s">
        <v>467</v>
      </c>
      <c r="H14" t="s">
        <v>468</v>
      </c>
      <c r="I14" t="s">
        <v>469</v>
      </c>
      <c r="J14" t="s">
        <v>461</v>
      </c>
      <c r="K14" t="s">
        <v>470</v>
      </c>
      <c r="L14" t="s">
        <v>471</v>
      </c>
      <c r="M14" t="s">
        <v>472</v>
      </c>
      <c r="N14" t="s">
        <v>471</v>
      </c>
      <c r="O14" t="s">
        <v>473</v>
      </c>
      <c r="P14" t="s">
        <v>474</v>
      </c>
      <c r="Q14" t="s">
        <v>475</v>
      </c>
      <c r="R14" t="s">
        <v>476</v>
      </c>
      <c r="S14" t="s">
        <v>477</v>
      </c>
      <c r="T14" t="s">
        <v>478</v>
      </c>
      <c r="U14" t="s">
        <v>479</v>
      </c>
      <c r="V14" t="s">
        <v>480</v>
      </c>
      <c r="W14" t="s">
        <v>481</v>
      </c>
      <c r="X14" t="s">
        <v>482</v>
      </c>
      <c r="Y14" t="s">
        <v>483</v>
      </c>
      <c r="Z14" t="s">
        <v>484</v>
      </c>
      <c r="AA14" t="s">
        <v>485</v>
      </c>
      <c r="AB14" t="s">
        <v>486</v>
      </c>
      <c r="AC14" t="s">
        <v>487</v>
      </c>
      <c r="AD14" t="s">
        <v>488</v>
      </c>
      <c r="AE14" t="s">
        <v>489</v>
      </c>
      <c r="AF14" t="s">
        <v>490</v>
      </c>
      <c r="AG14" t="s">
        <v>491</v>
      </c>
      <c r="AH14" t="s">
        <v>492</v>
      </c>
      <c r="AI14" t="s">
        <v>461</v>
      </c>
      <c r="AJ14" t="s">
        <v>467</v>
      </c>
      <c r="AK14" t="s">
        <v>493</v>
      </c>
      <c r="AL14" t="s">
        <v>494</v>
      </c>
      <c r="AM14" t="s">
        <v>495</v>
      </c>
      <c r="AN14" t="s">
        <v>496</v>
      </c>
      <c r="AO14" t="s">
        <v>497</v>
      </c>
      <c r="AP14" t="s">
        <v>498</v>
      </c>
    </row>
    <row r="15" spans="1:42" x14ac:dyDescent="0.25">
      <c r="A15" t="s">
        <v>499</v>
      </c>
      <c r="B15" t="s">
        <v>500</v>
      </c>
      <c r="C15" t="s">
        <v>501</v>
      </c>
      <c r="D15" t="s">
        <v>502</v>
      </c>
      <c r="E15" t="s">
        <v>503</v>
      </c>
      <c r="F15" t="s">
        <v>504</v>
      </c>
      <c r="G15" t="s">
        <v>505</v>
      </c>
      <c r="H15" t="s">
        <v>506</v>
      </c>
      <c r="I15" t="s">
        <v>507</v>
      </c>
      <c r="J15" t="s">
        <v>499</v>
      </c>
      <c r="K15" t="s">
        <v>508</v>
      </c>
      <c r="L15" t="s">
        <v>499</v>
      </c>
      <c r="M15" t="s">
        <v>499</v>
      </c>
      <c r="N15" t="s">
        <v>509</v>
      </c>
      <c r="O15" t="s">
        <v>510</v>
      </c>
      <c r="P15" t="s">
        <v>511</v>
      </c>
      <c r="Q15" t="s">
        <v>512</v>
      </c>
      <c r="R15" t="s">
        <v>513</v>
      </c>
      <c r="S15" t="s">
        <v>514</v>
      </c>
      <c r="T15" t="s">
        <v>499</v>
      </c>
      <c r="U15" t="s">
        <v>515</v>
      </c>
      <c r="V15" t="s">
        <v>509</v>
      </c>
      <c r="W15" t="s">
        <v>516</v>
      </c>
      <c r="X15" t="s">
        <v>517</v>
      </c>
      <c r="Y15" t="s">
        <v>518</v>
      </c>
      <c r="Z15" t="s">
        <v>519</v>
      </c>
      <c r="AA15" t="s">
        <v>417</v>
      </c>
      <c r="AB15" t="s">
        <v>417</v>
      </c>
      <c r="AC15" t="s">
        <v>520</v>
      </c>
      <c r="AD15" t="s">
        <v>521</v>
      </c>
      <c r="AE15" t="s">
        <v>417</v>
      </c>
      <c r="AF15" t="s">
        <v>417</v>
      </c>
      <c r="AG15" t="s">
        <v>522</v>
      </c>
      <c r="AH15" t="s">
        <v>508</v>
      </c>
      <c r="AI15" t="s">
        <v>499</v>
      </c>
      <c r="AJ15" t="s">
        <v>510</v>
      </c>
      <c r="AK15" t="s">
        <v>417</v>
      </c>
      <c r="AL15" t="s">
        <v>523</v>
      </c>
      <c r="AM15" t="s">
        <v>417</v>
      </c>
      <c r="AN15" t="s">
        <v>524</v>
      </c>
      <c r="AO15" t="s">
        <v>391</v>
      </c>
      <c r="AP15" t="s">
        <v>525</v>
      </c>
    </row>
    <row r="18" spans="1:42" x14ac:dyDescent="0.25">
      <c r="A18" t="s">
        <v>526</v>
      </c>
      <c r="B18" t="s">
        <v>527</v>
      </c>
      <c r="C18" t="s">
        <v>528</v>
      </c>
      <c r="D18" t="s">
        <v>529</v>
      </c>
      <c r="E18" t="s">
        <v>444</v>
      </c>
      <c r="F18" t="s">
        <v>530</v>
      </c>
      <c r="G18" t="s">
        <v>531</v>
      </c>
      <c r="H18" t="s">
        <v>532</v>
      </c>
      <c r="I18" t="s">
        <v>526</v>
      </c>
      <c r="J18" t="s">
        <v>533</v>
      </c>
      <c r="K18" t="s">
        <v>534</v>
      </c>
      <c r="L18" t="s">
        <v>535</v>
      </c>
      <c r="M18" t="s">
        <v>536</v>
      </c>
      <c r="N18" t="s">
        <v>526</v>
      </c>
      <c r="O18" t="s">
        <v>526</v>
      </c>
      <c r="P18" t="s">
        <v>537</v>
      </c>
      <c r="Q18" t="s">
        <v>526</v>
      </c>
      <c r="R18" t="s">
        <v>538</v>
      </c>
      <c r="S18" t="s">
        <v>539</v>
      </c>
      <c r="T18" t="s">
        <v>540</v>
      </c>
      <c r="U18" t="s">
        <v>541</v>
      </c>
      <c r="V18" t="s">
        <v>526</v>
      </c>
      <c r="W18" t="s">
        <v>542</v>
      </c>
      <c r="X18" t="s">
        <v>543</v>
      </c>
      <c r="Y18" t="s">
        <v>544</v>
      </c>
      <c r="Z18" t="s">
        <v>530</v>
      </c>
      <c r="AA18" t="s">
        <v>545</v>
      </c>
      <c r="AB18" t="s">
        <v>535</v>
      </c>
      <c r="AC18" t="s">
        <v>546</v>
      </c>
      <c r="AD18" t="s">
        <v>547</v>
      </c>
      <c r="AE18" t="s">
        <v>542</v>
      </c>
      <c r="AF18" t="s">
        <v>548</v>
      </c>
      <c r="AG18" t="s">
        <v>533</v>
      </c>
      <c r="AH18" t="s">
        <v>534</v>
      </c>
      <c r="AI18" t="s">
        <v>533</v>
      </c>
      <c r="AJ18" t="s">
        <v>526</v>
      </c>
      <c r="AK18" t="s">
        <v>549</v>
      </c>
      <c r="AL18" t="s">
        <v>550</v>
      </c>
      <c r="AM18" t="s">
        <v>551</v>
      </c>
      <c r="AN18" t="s">
        <v>552</v>
      </c>
      <c r="AO18" t="s">
        <v>553</v>
      </c>
      <c r="AP18" t="s">
        <v>554</v>
      </c>
    </row>
    <row r="19" spans="1:42" x14ac:dyDescent="0.25">
      <c r="A19" t="s">
        <v>555</v>
      </c>
      <c r="B19" t="s">
        <v>556</v>
      </c>
      <c r="C19" t="s">
        <v>557</v>
      </c>
      <c r="D19" t="s">
        <v>558</v>
      </c>
      <c r="E19" t="s">
        <v>559</v>
      </c>
      <c r="F19" t="s">
        <v>560</v>
      </c>
      <c r="G19" t="s">
        <v>561</v>
      </c>
      <c r="H19" t="s">
        <v>562</v>
      </c>
      <c r="I19" t="s">
        <v>555</v>
      </c>
      <c r="J19" t="s">
        <v>563</v>
      </c>
      <c r="K19" t="s">
        <v>564</v>
      </c>
      <c r="L19" t="s">
        <v>565</v>
      </c>
      <c r="M19" t="s">
        <v>566</v>
      </c>
      <c r="N19" t="s">
        <v>567</v>
      </c>
      <c r="O19" t="s">
        <v>555</v>
      </c>
      <c r="P19" t="s">
        <v>568</v>
      </c>
      <c r="Q19" t="s">
        <v>555</v>
      </c>
      <c r="R19" t="s">
        <v>569</v>
      </c>
      <c r="S19" t="s">
        <v>570</v>
      </c>
      <c r="T19" t="s">
        <v>571</v>
      </c>
      <c r="U19" t="s">
        <v>572</v>
      </c>
      <c r="V19" t="s">
        <v>567</v>
      </c>
      <c r="W19" t="s">
        <v>573</v>
      </c>
      <c r="X19" t="s">
        <v>574</v>
      </c>
      <c r="Y19" t="s">
        <v>575</v>
      </c>
      <c r="Z19" t="s">
        <v>560</v>
      </c>
      <c r="AA19" t="s">
        <v>576</v>
      </c>
      <c r="AB19" t="s">
        <v>565</v>
      </c>
      <c r="AC19" t="s">
        <v>577</v>
      </c>
      <c r="AD19" t="s">
        <v>578</v>
      </c>
      <c r="AE19" t="s">
        <v>579</v>
      </c>
      <c r="AF19" t="s">
        <v>573</v>
      </c>
      <c r="AG19" t="s">
        <v>563</v>
      </c>
      <c r="AH19" t="s">
        <v>564</v>
      </c>
      <c r="AI19" t="s">
        <v>563</v>
      </c>
      <c r="AJ19" t="s">
        <v>555</v>
      </c>
      <c r="AK19" t="s">
        <v>580</v>
      </c>
      <c r="AL19" t="s">
        <v>581</v>
      </c>
      <c r="AM19" t="s">
        <v>582</v>
      </c>
      <c r="AN19" t="s">
        <v>583</v>
      </c>
      <c r="AO19" t="s">
        <v>584</v>
      </c>
      <c r="AP19" t="s">
        <v>585</v>
      </c>
    </row>
    <row r="20" spans="1:42" x14ac:dyDescent="0.25">
      <c r="A20" t="s">
        <v>586</v>
      </c>
      <c r="B20" t="s">
        <v>587</v>
      </c>
      <c r="C20" t="s">
        <v>588</v>
      </c>
      <c r="D20" t="s">
        <v>589</v>
      </c>
      <c r="E20" t="s">
        <v>590</v>
      </c>
      <c r="F20" t="s">
        <v>591</v>
      </c>
      <c r="G20" t="s">
        <v>592</v>
      </c>
      <c r="H20" t="s">
        <v>593</v>
      </c>
      <c r="I20" t="s">
        <v>586</v>
      </c>
      <c r="J20" t="s">
        <v>594</v>
      </c>
      <c r="K20" t="s">
        <v>595</v>
      </c>
      <c r="L20" t="s">
        <v>596</v>
      </c>
      <c r="M20" t="s">
        <v>597</v>
      </c>
      <c r="N20" t="s">
        <v>598</v>
      </c>
      <c r="O20" t="s">
        <v>586</v>
      </c>
      <c r="P20" t="s">
        <v>599</v>
      </c>
      <c r="Q20" t="s">
        <v>586</v>
      </c>
      <c r="R20" t="s">
        <v>600</v>
      </c>
      <c r="S20" t="s">
        <v>601</v>
      </c>
      <c r="T20" t="s">
        <v>602</v>
      </c>
      <c r="U20" t="s">
        <v>603</v>
      </c>
      <c r="V20" t="s">
        <v>604</v>
      </c>
      <c r="W20" t="s">
        <v>587</v>
      </c>
      <c r="X20" t="s">
        <v>605</v>
      </c>
      <c r="Y20" t="s">
        <v>606</v>
      </c>
      <c r="Z20" t="s">
        <v>607</v>
      </c>
      <c r="AA20" t="s">
        <v>608</v>
      </c>
      <c r="AB20" t="s">
        <v>609</v>
      </c>
      <c r="AC20" t="s">
        <v>610</v>
      </c>
      <c r="AD20" t="s">
        <v>611</v>
      </c>
      <c r="AE20" t="s">
        <v>612</v>
      </c>
      <c r="AF20" t="s">
        <v>587</v>
      </c>
      <c r="AG20" t="s">
        <v>594</v>
      </c>
      <c r="AH20" t="s">
        <v>613</v>
      </c>
      <c r="AI20" t="s">
        <v>614</v>
      </c>
      <c r="AJ20" t="s">
        <v>586</v>
      </c>
      <c r="AK20" t="s">
        <v>615</v>
      </c>
      <c r="AL20" t="s">
        <v>616</v>
      </c>
      <c r="AM20" t="s">
        <v>617</v>
      </c>
      <c r="AN20" t="s">
        <v>618</v>
      </c>
      <c r="AO20" t="s">
        <v>591</v>
      </c>
      <c r="AP20" t="s">
        <v>619</v>
      </c>
    </row>
    <row r="21" spans="1:42" x14ac:dyDescent="0.25">
      <c r="A21" t="s">
        <v>620</v>
      </c>
      <c r="B21" t="s">
        <v>621</v>
      </c>
      <c r="C21" t="s">
        <v>622</v>
      </c>
      <c r="D21" t="s">
        <v>623</v>
      </c>
      <c r="E21" t="s">
        <v>624</v>
      </c>
      <c r="F21" t="s">
        <v>625</v>
      </c>
      <c r="G21" t="s">
        <v>626</v>
      </c>
      <c r="H21" t="s">
        <v>627</v>
      </c>
      <c r="I21" t="s">
        <v>620</v>
      </c>
      <c r="J21" t="s">
        <v>628</v>
      </c>
      <c r="K21" t="s">
        <v>629</v>
      </c>
      <c r="L21" t="s">
        <v>630</v>
      </c>
      <c r="M21" t="s">
        <v>631</v>
      </c>
      <c r="N21" t="s">
        <v>632</v>
      </c>
      <c r="O21" t="s">
        <v>620</v>
      </c>
      <c r="P21" t="s">
        <v>633</v>
      </c>
      <c r="Q21" t="s">
        <v>620</v>
      </c>
      <c r="R21" t="s">
        <v>634</v>
      </c>
      <c r="S21" t="s">
        <v>635</v>
      </c>
      <c r="T21" t="s">
        <v>636</v>
      </c>
      <c r="U21" t="s">
        <v>637</v>
      </c>
      <c r="V21" t="s">
        <v>638</v>
      </c>
      <c r="W21" t="s">
        <v>639</v>
      </c>
      <c r="X21" t="s">
        <v>640</v>
      </c>
      <c r="Y21" t="s">
        <v>641</v>
      </c>
      <c r="Z21" t="s">
        <v>642</v>
      </c>
      <c r="AA21" t="s">
        <v>643</v>
      </c>
      <c r="AB21" t="s">
        <v>630</v>
      </c>
      <c r="AC21" t="s">
        <v>644</v>
      </c>
      <c r="AD21" t="s">
        <v>645</v>
      </c>
      <c r="AE21" t="s">
        <v>646</v>
      </c>
      <c r="AF21" t="s">
        <v>647</v>
      </c>
      <c r="AG21" t="s">
        <v>648</v>
      </c>
      <c r="AH21" t="s">
        <v>629</v>
      </c>
      <c r="AI21" t="s">
        <v>648</v>
      </c>
      <c r="AJ21" t="s">
        <v>620</v>
      </c>
      <c r="AK21" t="s">
        <v>630</v>
      </c>
      <c r="AL21" t="s">
        <v>649</v>
      </c>
      <c r="AM21" t="s">
        <v>650</v>
      </c>
      <c r="AN21" t="s">
        <v>651</v>
      </c>
      <c r="AO21" t="s">
        <v>652</v>
      </c>
      <c r="AP21" t="s">
        <v>653</v>
      </c>
    </row>
    <row r="22" spans="1:42" x14ac:dyDescent="0.25">
      <c r="A22" t="s">
        <v>654</v>
      </c>
      <c r="B22" t="s">
        <v>655</v>
      </c>
      <c r="C22" t="s">
        <v>656</v>
      </c>
      <c r="D22" t="s">
        <v>657</v>
      </c>
      <c r="E22" t="s">
        <v>658</v>
      </c>
      <c r="F22" t="s">
        <v>659</v>
      </c>
      <c r="G22" t="s">
        <v>660</v>
      </c>
      <c r="H22" t="s">
        <v>661</v>
      </c>
      <c r="I22" t="s">
        <v>654</v>
      </c>
      <c r="J22" t="s">
        <v>662</v>
      </c>
      <c r="K22" t="s">
        <v>663</v>
      </c>
      <c r="L22" t="s">
        <v>614</v>
      </c>
      <c r="M22" t="s">
        <v>664</v>
      </c>
      <c r="N22" t="s">
        <v>665</v>
      </c>
      <c r="O22" t="s">
        <v>654</v>
      </c>
      <c r="P22" t="s">
        <v>666</v>
      </c>
      <c r="Q22" t="s">
        <v>654</v>
      </c>
      <c r="R22" t="s">
        <v>667</v>
      </c>
      <c r="S22" t="s">
        <v>668</v>
      </c>
      <c r="T22" t="s">
        <v>669</v>
      </c>
      <c r="U22" t="s">
        <v>670</v>
      </c>
      <c r="V22" t="s">
        <v>671</v>
      </c>
      <c r="W22" t="s">
        <v>672</v>
      </c>
      <c r="X22" t="s">
        <v>673</v>
      </c>
      <c r="Y22" t="s">
        <v>674</v>
      </c>
      <c r="Z22" t="s">
        <v>675</v>
      </c>
      <c r="AA22" t="s">
        <v>676</v>
      </c>
      <c r="AB22" t="s">
        <v>677</v>
      </c>
      <c r="AC22" t="s">
        <v>678</v>
      </c>
      <c r="AD22" t="s">
        <v>679</v>
      </c>
      <c r="AE22" t="s">
        <v>680</v>
      </c>
      <c r="AF22" t="s">
        <v>681</v>
      </c>
      <c r="AG22" t="s">
        <v>662</v>
      </c>
      <c r="AH22" t="s">
        <v>682</v>
      </c>
      <c r="AI22" t="s">
        <v>662</v>
      </c>
      <c r="AJ22" t="s">
        <v>654</v>
      </c>
      <c r="AK22" t="s">
        <v>614</v>
      </c>
      <c r="AL22" t="s">
        <v>683</v>
      </c>
      <c r="AM22" t="s">
        <v>684</v>
      </c>
      <c r="AN22" t="s">
        <v>685</v>
      </c>
      <c r="AO22" t="s">
        <v>686</v>
      </c>
      <c r="AP22" t="s">
        <v>687</v>
      </c>
    </row>
    <row r="23" spans="1:42" x14ac:dyDescent="0.25">
      <c r="A23" t="s">
        <v>688</v>
      </c>
      <c r="B23" t="s">
        <v>689</v>
      </c>
      <c r="C23" t="s">
        <v>690</v>
      </c>
      <c r="D23" t="s">
        <v>691</v>
      </c>
      <c r="E23" t="s">
        <v>692</v>
      </c>
      <c r="F23" t="s">
        <v>693</v>
      </c>
      <c r="G23" t="s">
        <v>694</v>
      </c>
      <c r="H23" t="s">
        <v>695</v>
      </c>
      <c r="I23" t="s">
        <v>688</v>
      </c>
      <c r="J23" t="s">
        <v>696</v>
      </c>
      <c r="K23" t="s">
        <v>697</v>
      </c>
      <c r="L23" t="s">
        <v>698</v>
      </c>
      <c r="M23" t="s">
        <v>699</v>
      </c>
      <c r="N23" t="s">
        <v>700</v>
      </c>
      <c r="O23" t="s">
        <v>688</v>
      </c>
      <c r="P23" t="s">
        <v>701</v>
      </c>
      <c r="Q23" t="s">
        <v>688</v>
      </c>
      <c r="R23" t="s">
        <v>702</v>
      </c>
      <c r="S23" t="s">
        <v>703</v>
      </c>
      <c r="T23" t="s">
        <v>704</v>
      </c>
      <c r="U23" t="s">
        <v>705</v>
      </c>
      <c r="V23" t="s">
        <v>706</v>
      </c>
      <c r="W23" t="s">
        <v>707</v>
      </c>
      <c r="X23" t="s">
        <v>708</v>
      </c>
      <c r="Y23" t="s">
        <v>709</v>
      </c>
      <c r="Z23" t="s">
        <v>693</v>
      </c>
      <c r="AA23" t="s">
        <v>710</v>
      </c>
      <c r="AB23" t="s">
        <v>698</v>
      </c>
      <c r="AC23" t="s">
        <v>711</v>
      </c>
      <c r="AD23" t="s">
        <v>712</v>
      </c>
      <c r="AE23" t="s">
        <v>713</v>
      </c>
      <c r="AF23" t="s">
        <v>714</v>
      </c>
      <c r="AG23" t="s">
        <v>696</v>
      </c>
      <c r="AH23" t="s">
        <v>715</v>
      </c>
      <c r="AI23" t="s">
        <v>696</v>
      </c>
      <c r="AJ23" t="s">
        <v>688</v>
      </c>
      <c r="AK23" t="s">
        <v>698</v>
      </c>
      <c r="AL23" t="s">
        <v>716</v>
      </c>
      <c r="AM23" t="s">
        <v>717</v>
      </c>
      <c r="AN23" t="s">
        <v>718</v>
      </c>
      <c r="AO23" t="s">
        <v>719</v>
      </c>
      <c r="AP23" t="s">
        <v>720</v>
      </c>
    </row>
    <row r="24" spans="1:42" x14ac:dyDescent="0.25">
      <c r="A24" t="s">
        <v>721</v>
      </c>
      <c r="B24" t="s">
        <v>722</v>
      </c>
      <c r="C24" t="s">
        <v>723</v>
      </c>
      <c r="D24" t="s">
        <v>724</v>
      </c>
      <c r="E24" t="s">
        <v>725</v>
      </c>
      <c r="F24" t="s">
        <v>726</v>
      </c>
      <c r="G24" t="s">
        <v>727</v>
      </c>
      <c r="H24" t="s">
        <v>728</v>
      </c>
      <c r="I24" t="s">
        <v>721</v>
      </c>
      <c r="J24" t="s">
        <v>729</v>
      </c>
      <c r="K24" t="s">
        <v>730</v>
      </c>
      <c r="L24" t="s">
        <v>731</v>
      </c>
      <c r="M24" t="s">
        <v>732</v>
      </c>
      <c r="N24" t="s">
        <v>733</v>
      </c>
      <c r="O24" t="s">
        <v>721</v>
      </c>
      <c r="P24" t="s">
        <v>734</v>
      </c>
      <c r="Q24" t="s">
        <v>721</v>
      </c>
      <c r="R24" t="s">
        <v>735</v>
      </c>
      <c r="S24" t="s">
        <v>736</v>
      </c>
      <c r="T24" t="s">
        <v>737</v>
      </c>
      <c r="U24" t="s">
        <v>738</v>
      </c>
      <c r="V24" t="s">
        <v>739</v>
      </c>
      <c r="W24" t="s">
        <v>738</v>
      </c>
      <c r="X24" t="s">
        <v>740</v>
      </c>
      <c r="Y24" t="s">
        <v>741</v>
      </c>
      <c r="Z24" t="s">
        <v>742</v>
      </c>
      <c r="AA24" t="s">
        <v>743</v>
      </c>
      <c r="AB24" t="s">
        <v>731</v>
      </c>
      <c r="AC24" t="s">
        <v>744</v>
      </c>
      <c r="AD24" t="s">
        <v>730</v>
      </c>
      <c r="AE24" t="s">
        <v>738</v>
      </c>
      <c r="AF24" t="s">
        <v>745</v>
      </c>
      <c r="AG24" t="s">
        <v>729</v>
      </c>
      <c r="AH24" t="s">
        <v>730</v>
      </c>
      <c r="AI24" t="s">
        <v>746</v>
      </c>
      <c r="AJ24" t="s">
        <v>721</v>
      </c>
      <c r="AK24" t="s">
        <v>747</v>
      </c>
      <c r="AL24" t="s">
        <v>748</v>
      </c>
      <c r="AM24" t="s">
        <v>749</v>
      </c>
      <c r="AN24" t="s">
        <v>750</v>
      </c>
      <c r="AO24" t="s">
        <v>751</v>
      </c>
      <c r="AP24" t="s">
        <v>752</v>
      </c>
    </row>
    <row r="25" spans="1:42" x14ac:dyDescent="0.25">
      <c r="A25" t="s">
        <v>753</v>
      </c>
      <c r="B25" t="s">
        <v>753</v>
      </c>
      <c r="C25" t="s">
        <v>754</v>
      </c>
      <c r="D25" t="s">
        <v>755</v>
      </c>
      <c r="E25" t="s">
        <v>756</v>
      </c>
      <c r="F25" t="s">
        <v>757</v>
      </c>
      <c r="G25" t="s">
        <v>758</v>
      </c>
      <c r="H25" t="s">
        <v>759</v>
      </c>
      <c r="I25" t="s">
        <v>753</v>
      </c>
      <c r="J25" t="s">
        <v>760</v>
      </c>
      <c r="K25" t="s">
        <v>753</v>
      </c>
      <c r="L25" t="s">
        <v>753</v>
      </c>
      <c r="M25" t="s">
        <v>753</v>
      </c>
      <c r="N25" t="s">
        <v>753</v>
      </c>
      <c r="O25" t="s">
        <v>761</v>
      </c>
      <c r="P25" t="s">
        <v>762</v>
      </c>
      <c r="Q25" t="s">
        <v>753</v>
      </c>
      <c r="R25" t="s">
        <v>763</v>
      </c>
      <c r="S25" t="s">
        <v>764</v>
      </c>
      <c r="T25" t="s">
        <v>753</v>
      </c>
      <c r="U25" t="s">
        <v>753</v>
      </c>
      <c r="V25" t="s">
        <v>753</v>
      </c>
      <c r="W25" t="s">
        <v>758</v>
      </c>
      <c r="X25" t="s">
        <v>765</v>
      </c>
      <c r="Y25" t="s">
        <v>766</v>
      </c>
      <c r="Z25" t="s">
        <v>767</v>
      </c>
      <c r="AA25" t="s">
        <v>753</v>
      </c>
      <c r="AB25" t="s">
        <v>753</v>
      </c>
      <c r="AC25" t="s">
        <v>768</v>
      </c>
      <c r="AD25" t="s">
        <v>769</v>
      </c>
      <c r="AE25" t="s">
        <v>753</v>
      </c>
      <c r="AF25" t="s">
        <v>770</v>
      </c>
      <c r="AG25" t="s">
        <v>753</v>
      </c>
      <c r="AH25" t="s">
        <v>753</v>
      </c>
      <c r="AI25" t="s">
        <v>753</v>
      </c>
      <c r="AJ25" t="s">
        <v>771</v>
      </c>
      <c r="AK25" t="s">
        <v>772</v>
      </c>
      <c r="AL25" t="s">
        <v>773</v>
      </c>
      <c r="AM25" t="s">
        <v>774</v>
      </c>
      <c r="AN25" t="s">
        <v>775</v>
      </c>
      <c r="AO25" t="s">
        <v>776</v>
      </c>
      <c r="AP25" t="s">
        <v>777</v>
      </c>
    </row>
    <row r="26" spans="1:42" x14ac:dyDescent="0.25">
      <c r="A26" t="s">
        <v>778</v>
      </c>
      <c r="B26" t="s">
        <v>779</v>
      </c>
      <c r="C26" t="s">
        <v>780</v>
      </c>
      <c r="D26" t="s">
        <v>781</v>
      </c>
      <c r="E26" t="s">
        <v>782</v>
      </c>
      <c r="F26" t="s">
        <v>783</v>
      </c>
      <c r="G26" t="s">
        <v>778</v>
      </c>
      <c r="H26" t="s">
        <v>784</v>
      </c>
      <c r="I26" t="s">
        <v>778</v>
      </c>
      <c r="J26" t="s">
        <v>785</v>
      </c>
      <c r="K26" t="s">
        <v>778</v>
      </c>
      <c r="L26" t="s">
        <v>778</v>
      </c>
      <c r="M26" t="s">
        <v>778</v>
      </c>
      <c r="N26" t="s">
        <v>778</v>
      </c>
      <c r="O26" t="s">
        <v>786</v>
      </c>
      <c r="P26" t="s">
        <v>787</v>
      </c>
      <c r="Q26" t="s">
        <v>778</v>
      </c>
      <c r="R26" t="s">
        <v>788</v>
      </c>
      <c r="S26" t="s">
        <v>789</v>
      </c>
      <c r="T26" t="s">
        <v>778</v>
      </c>
      <c r="U26" t="s">
        <v>790</v>
      </c>
      <c r="V26" t="s">
        <v>778</v>
      </c>
      <c r="W26" t="s">
        <v>778</v>
      </c>
      <c r="X26" t="s">
        <v>791</v>
      </c>
      <c r="Y26" t="s">
        <v>540</v>
      </c>
      <c r="Z26" t="s">
        <v>792</v>
      </c>
      <c r="AA26" t="s">
        <v>793</v>
      </c>
      <c r="AB26" t="s">
        <v>778</v>
      </c>
      <c r="AC26" t="s">
        <v>794</v>
      </c>
      <c r="AD26" t="s">
        <v>795</v>
      </c>
      <c r="AE26" t="s">
        <v>782</v>
      </c>
      <c r="AF26" t="s">
        <v>778</v>
      </c>
      <c r="AG26" t="s">
        <v>778</v>
      </c>
      <c r="AH26" t="s">
        <v>778</v>
      </c>
      <c r="AI26" t="s">
        <v>778</v>
      </c>
      <c r="AJ26" t="s">
        <v>778</v>
      </c>
      <c r="AK26" t="s">
        <v>778</v>
      </c>
      <c r="AL26" t="s">
        <v>796</v>
      </c>
      <c r="AM26" t="s">
        <v>797</v>
      </c>
      <c r="AN26" t="s">
        <v>798</v>
      </c>
      <c r="AO26" t="s">
        <v>799</v>
      </c>
      <c r="AP26" t="s">
        <v>800</v>
      </c>
    </row>
    <row r="27" spans="1:42" x14ac:dyDescent="0.25">
      <c r="A27" t="s">
        <v>587</v>
      </c>
      <c r="B27" t="s">
        <v>587</v>
      </c>
      <c r="C27" t="s">
        <v>801</v>
      </c>
      <c r="D27" t="s">
        <v>802</v>
      </c>
      <c r="E27" t="s">
        <v>587</v>
      </c>
      <c r="F27" t="s">
        <v>803</v>
      </c>
      <c r="G27" t="s">
        <v>587</v>
      </c>
      <c r="H27" t="s">
        <v>804</v>
      </c>
      <c r="I27" t="s">
        <v>587</v>
      </c>
      <c r="J27" t="s">
        <v>805</v>
      </c>
      <c r="K27" t="s">
        <v>587</v>
      </c>
      <c r="L27" t="s">
        <v>587</v>
      </c>
      <c r="M27" t="s">
        <v>806</v>
      </c>
      <c r="N27" t="s">
        <v>587</v>
      </c>
      <c r="O27" t="s">
        <v>807</v>
      </c>
      <c r="P27" t="s">
        <v>808</v>
      </c>
      <c r="Q27" t="s">
        <v>809</v>
      </c>
      <c r="R27" t="s">
        <v>810</v>
      </c>
      <c r="S27" t="s">
        <v>811</v>
      </c>
      <c r="T27" t="s">
        <v>812</v>
      </c>
      <c r="U27" t="s">
        <v>587</v>
      </c>
      <c r="V27" t="s">
        <v>587</v>
      </c>
      <c r="W27" t="s">
        <v>587</v>
      </c>
      <c r="X27" t="s">
        <v>813</v>
      </c>
      <c r="Y27" t="s">
        <v>814</v>
      </c>
      <c r="Z27" t="s">
        <v>815</v>
      </c>
      <c r="AA27" t="s">
        <v>587</v>
      </c>
      <c r="AB27" t="s">
        <v>587</v>
      </c>
      <c r="AC27" t="s">
        <v>816</v>
      </c>
      <c r="AD27" t="s">
        <v>587</v>
      </c>
      <c r="AE27" t="s">
        <v>587</v>
      </c>
      <c r="AF27" t="s">
        <v>587</v>
      </c>
      <c r="AG27" t="s">
        <v>587</v>
      </c>
      <c r="AH27" t="s">
        <v>587</v>
      </c>
      <c r="AI27" t="s">
        <v>587</v>
      </c>
      <c r="AJ27" t="s">
        <v>587</v>
      </c>
      <c r="AK27" t="s">
        <v>817</v>
      </c>
      <c r="AL27" t="s">
        <v>818</v>
      </c>
      <c r="AM27" t="s">
        <v>587</v>
      </c>
      <c r="AN27" t="s">
        <v>819</v>
      </c>
      <c r="AO27" t="s">
        <v>820</v>
      </c>
      <c r="AP27" t="s">
        <v>821</v>
      </c>
    </row>
    <row r="28" spans="1:42" x14ac:dyDescent="0.25">
      <c r="A28" t="s">
        <v>822</v>
      </c>
      <c r="B28" t="s">
        <v>823</v>
      </c>
      <c r="C28" t="s">
        <v>824</v>
      </c>
      <c r="D28" t="s">
        <v>825</v>
      </c>
      <c r="E28" t="s">
        <v>822</v>
      </c>
      <c r="F28" t="s">
        <v>826</v>
      </c>
      <c r="G28" t="s">
        <v>827</v>
      </c>
      <c r="H28" t="s">
        <v>828</v>
      </c>
      <c r="I28" t="s">
        <v>822</v>
      </c>
      <c r="J28" t="s">
        <v>829</v>
      </c>
      <c r="K28" t="s">
        <v>822</v>
      </c>
      <c r="L28" t="s">
        <v>822</v>
      </c>
      <c r="M28" t="s">
        <v>822</v>
      </c>
      <c r="N28" t="s">
        <v>822</v>
      </c>
      <c r="O28" t="s">
        <v>830</v>
      </c>
      <c r="P28" t="s">
        <v>831</v>
      </c>
      <c r="Q28" t="s">
        <v>822</v>
      </c>
      <c r="R28" t="s">
        <v>832</v>
      </c>
      <c r="S28" t="s">
        <v>833</v>
      </c>
      <c r="T28" t="s">
        <v>834</v>
      </c>
      <c r="U28" t="s">
        <v>822</v>
      </c>
      <c r="V28" t="s">
        <v>822</v>
      </c>
      <c r="W28" t="s">
        <v>822</v>
      </c>
      <c r="X28" t="s">
        <v>835</v>
      </c>
      <c r="Y28" t="s">
        <v>836</v>
      </c>
      <c r="Z28" t="s">
        <v>837</v>
      </c>
      <c r="AA28" t="s">
        <v>822</v>
      </c>
      <c r="AB28" t="s">
        <v>822</v>
      </c>
      <c r="AC28" t="s">
        <v>838</v>
      </c>
      <c r="AD28" t="s">
        <v>839</v>
      </c>
      <c r="AE28" t="s">
        <v>827</v>
      </c>
      <c r="AF28" t="s">
        <v>822</v>
      </c>
      <c r="AG28" t="s">
        <v>822</v>
      </c>
      <c r="AH28" t="s">
        <v>822</v>
      </c>
      <c r="AI28" t="s">
        <v>822</v>
      </c>
      <c r="AJ28" t="s">
        <v>827</v>
      </c>
      <c r="AK28" t="s">
        <v>840</v>
      </c>
      <c r="AL28" t="s">
        <v>841</v>
      </c>
      <c r="AM28" t="s">
        <v>842</v>
      </c>
      <c r="AN28" t="s">
        <v>843</v>
      </c>
      <c r="AO28" t="s">
        <v>844</v>
      </c>
      <c r="AP28" t="s">
        <v>845</v>
      </c>
    </row>
    <row r="29" spans="1:42" x14ac:dyDescent="0.25">
      <c r="A29" t="s">
        <v>846</v>
      </c>
      <c r="B29" t="s">
        <v>847</v>
      </c>
      <c r="C29" t="s">
        <v>848</v>
      </c>
      <c r="D29" t="s">
        <v>849</v>
      </c>
      <c r="E29" t="s">
        <v>846</v>
      </c>
      <c r="F29" t="s">
        <v>850</v>
      </c>
      <c r="G29" t="s">
        <v>851</v>
      </c>
      <c r="H29" t="s">
        <v>852</v>
      </c>
      <c r="I29" t="s">
        <v>846</v>
      </c>
      <c r="J29" t="s">
        <v>853</v>
      </c>
      <c r="K29" t="s">
        <v>846</v>
      </c>
      <c r="L29" t="s">
        <v>847</v>
      </c>
      <c r="M29" t="s">
        <v>854</v>
      </c>
      <c r="N29" t="s">
        <v>851</v>
      </c>
      <c r="O29" t="s">
        <v>851</v>
      </c>
      <c r="P29" t="s">
        <v>855</v>
      </c>
      <c r="Q29" t="s">
        <v>851</v>
      </c>
      <c r="R29" t="s">
        <v>856</v>
      </c>
      <c r="S29" t="s">
        <v>857</v>
      </c>
      <c r="T29" t="s">
        <v>858</v>
      </c>
      <c r="U29" t="s">
        <v>854</v>
      </c>
      <c r="V29" t="s">
        <v>859</v>
      </c>
      <c r="W29" t="s">
        <v>860</v>
      </c>
      <c r="X29" t="s">
        <v>861</v>
      </c>
      <c r="Y29" t="s">
        <v>862</v>
      </c>
      <c r="Z29" t="s">
        <v>863</v>
      </c>
      <c r="AA29" t="s">
        <v>864</v>
      </c>
      <c r="AB29" t="s">
        <v>851</v>
      </c>
      <c r="AC29" t="s">
        <v>865</v>
      </c>
      <c r="AD29" t="s">
        <v>847</v>
      </c>
      <c r="AE29" t="s">
        <v>851</v>
      </c>
      <c r="AF29" t="s">
        <v>851</v>
      </c>
      <c r="AG29" t="s">
        <v>847</v>
      </c>
      <c r="AH29" t="s">
        <v>858</v>
      </c>
      <c r="AI29" t="s">
        <v>847</v>
      </c>
      <c r="AJ29" t="s">
        <v>846</v>
      </c>
      <c r="AK29" t="s">
        <v>866</v>
      </c>
      <c r="AL29" t="s">
        <v>867</v>
      </c>
      <c r="AM29" t="s">
        <v>846</v>
      </c>
      <c r="AN29" t="s">
        <v>868</v>
      </c>
      <c r="AO29" t="s">
        <v>869</v>
      </c>
      <c r="AP29" t="s">
        <v>870</v>
      </c>
    </row>
    <row r="30" spans="1:42" x14ac:dyDescent="0.25">
      <c r="A30" t="s">
        <v>871</v>
      </c>
      <c r="B30" t="s">
        <v>872</v>
      </c>
      <c r="C30" t="s">
        <v>873</v>
      </c>
      <c r="D30" t="s">
        <v>874</v>
      </c>
      <c r="E30" t="s">
        <v>875</v>
      </c>
      <c r="F30" t="s">
        <v>876</v>
      </c>
      <c r="G30" t="s">
        <v>871</v>
      </c>
      <c r="H30" t="s">
        <v>877</v>
      </c>
      <c r="I30" t="s">
        <v>871</v>
      </c>
      <c r="J30" t="s">
        <v>878</v>
      </c>
      <c r="K30" t="s">
        <v>879</v>
      </c>
      <c r="L30" t="s">
        <v>871</v>
      </c>
      <c r="M30" t="s">
        <v>871</v>
      </c>
      <c r="N30" t="s">
        <v>871</v>
      </c>
      <c r="O30" t="s">
        <v>880</v>
      </c>
      <c r="P30" t="s">
        <v>881</v>
      </c>
      <c r="Q30" t="s">
        <v>871</v>
      </c>
      <c r="R30" t="s">
        <v>882</v>
      </c>
      <c r="S30" t="s">
        <v>883</v>
      </c>
      <c r="T30" t="s">
        <v>884</v>
      </c>
      <c r="U30" t="s">
        <v>871</v>
      </c>
      <c r="V30" t="s">
        <v>884</v>
      </c>
      <c r="W30" t="s">
        <v>885</v>
      </c>
      <c r="X30" t="s">
        <v>886</v>
      </c>
      <c r="Y30" t="s">
        <v>887</v>
      </c>
      <c r="Z30" t="s">
        <v>888</v>
      </c>
      <c r="AA30" t="s">
        <v>889</v>
      </c>
      <c r="AB30" t="s">
        <v>871</v>
      </c>
      <c r="AC30" t="s">
        <v>890</v>
      </c>
      <c r="AD30" t="s">
        <v>891</v>
      </c>
      <c r="AE30" t="s">
        <v>871</v>
      </c>
      <c r="AF30" t="s">
        <v>892</v>
      </c>
      <c r="AG30" t="s">
        <v>871</v>
      </c>
      <c r="AH30" t="s">
        <v>884</v>
      </c>
      <c r="AI30" t="s">
        <v>871</v>
      </c>
      <c r="AJ30" t="s">
        <v>871</v>
      </c>
      <c r="AK30" t="s">
        <v>893</v>
      </c>
      <c r="AL30" t="s">
        <v>894</v>
      </c>
      <c r="AM30" t="s">
        <v>895</v>
      </c>
      <c r="AN30" t="s">
        <v>896</v>
      </c>
      <c r="AO30" t="s">
        <v>897</v>
      </c>
      <c r="AP30" t="s">
        <v>898</v>
      </c>
    </row>
    <row r="31" spans="1:42" x14ac:dyDescent="0.25">
      <c r="A31" t="s">
        <v>899</v>
      </c>
      <c r="B31" t="s">
        <v>900</v>
      </c>
      <c r="C31" t="s">
        <v>901</v>
      </c>
      <c r="D31" t="s">
        <v>902</v>
      </c>
      <c r="E31" t="s">
        <v>903</v>
      </c>
      <c r="F31" t="s">
        <v>904</v>
      </c>
      <c r="G31" t="s">
        <v>899</v>
      </c>
      <c r="H31" t="s">
        <v>905</v>
      </c>
      <c r="I31" t="s">
        <v>899</v>
      </c>
      <c r="J31" t="s">
        <v>906</v>
      </c>
      <c r="K31" t="s">
        <v>907</v>
      </c>
      <c r="L31" t="s">
        <v>899</v>
      </c>
      <c r="M31" t="s">
        <v>899</v>
      </c>
      <c r="N31" t="s">
        <v>899</v>
      </c>
      <c r="O31" t="s">
        <v>908</v>
      </c>
      <c r="P31" t="s">
        <v>909</v>
      </c>
      <c r="Q31" t="s">
        <v>899</v>
      </c>
      <c r="R31" t="s">
        <v>910</v>
      </c>
      <c r="S31" t="s">
        <v>911</v>
      </c>
      <c r="T31" t="s">
        <v>912</v>
      </c>
      <c r="U31" t="s">
        <v>899</v>
      </c>
      <c r="V31" t="s">
        <v>912</v>
      </c>
      <c r="W31" t="s">
        <v>913</v>
      </c>
      <c r="X31" t="s">
        <v>914</v>
      </c>
      <c r="Y31" t="s">
        <v>915</v>
      </c>
      <c r="Z31" t="s">
        <v>916</v>
      </c>
      <c r="AA31" t="s">
        <v>917</v>
      </c>
      <c r="AB31" t="s">
        <v>899</v>
      </c>
      <c r="AC31" t="s">
        <v>918</v>
      </c>
      <c r="AD31" t="s">
        <v>878</v>
      </c>
      <c r="AE31" t="s">
        <v>899</v>
      </c>
      <c r="AF31" t="s">
        <v>919</v>
      </c>
      <c r="AG31" t="s">
        <v>899</v>
      </c>
      <c r="AH31" t="s">
        <v>912</v>
      </c>
      <c r="AI31" t="s">
        <v>899</v>
      </c>
      <c r="AJ31" t="s">
        <v>899</v>
      </c>
      <c r="AK31" t="s">
        <v>920</v>
      </c>
      <c r="AL31" t="s">
        <v>921</v>
      </c>
      <c r="AM31" t="s">
        <v>922</v>
      </c>
      <c r="AN31" t="s">
        <v>923</v>
      </c>
      <c r="AO31" t="s">
        <v>924</v>
      </c>
      <c r="AP31" t="s">
        <v>925</v>
      </c>
    </row>
    <row r="32" spans="1:42" x14ac:dyDescent="0.25">
      <c r="A32" t="s">
        <v>926</v>
      </c>
      <c r="B32" t="s">
        <v>927</v>
      </c>
      <c r="C32" t="s">
        <v>928</v>
      </c>
      <c r="D32" t="s">
        <v>929</v>
      </c>
      <c r="E32" t="s">
        <v>930</v>
      </c>
      <c r="F32" t="s">
        <v>931</v>
      </c>
      <c r="G32" t="s">
        <v>932</v>
      </c>
      <c r="H32" t="s">
        <v>933</v>
      </c>
      <c r="I32" t="s">
        <v>926</v>
      </c>
      <c r="J32" t="s">
        <v>934</v>
      </c>
      <c r="K32" t="s">
        <v>926</v>
      </c>
      <c r="L32" t="s">
        <v>926</v>
      </c>
      <c r="M32" t="s">
        <v>926</v>
      </c>
      <c r="N32" t="s">
        <v>926</v>
      </c>
      <c r="O32" t="s">
        <v>935</v>
      </c>
      <c r="P32" t="s">
        <v>936</v>
      </c>
      <c r="Q32" t="s">
        <v>926</v>
      </c>
      <c r="R32" t="s">
        <v>937</v>
      </c>
      <c r="S32" t="s">
        <v>938</v>
      </c>
      <c r="T32" t="s">
        <v>926</v>
      </c>
      <c r="U32" t="s">
        <v>939</v>
      </c>
      <c r="V32" t="s">
        <v>940</v>
      </c>
      <c r="W32" t="s">
        <v>932</v>
      </c>
      <c r="X32" t="s">
        <v>941</v>
      </c>
      <c r="Y32" t="s">
        <v>942</v>
      </c>
      <c r="Z32" t="s">
        <v>943</v>
      </c>
      <c r="AA32" t="s">
        <v>944</v>
      </c>
      <c r="AB32" t="s">
        <v>926</v>
      </c>
      <c r="AC32" t="s">
        <v>945</v>
      </c>
      <c r="AD32" t="s">
        <v>946</v>
      </c>
      <c r="AE32" t="s">
        <v>932</v>
      </c>
      <c r="AF32" t="s">
        <v>926</v>
      </c>
      <c r="AG32" t="s">
        <v>947</v>
      </c>
      <c r="AH32" t="s">
        <v>926</v>
      </c>
      <c r="AI32" t="s">
        <v>947</v>
      </c>
      <c r="AJ32" t="s">
        <v>932</v>
      </c>
      <c r="AK32" t="s">
        <v>926</v>
      </c>
      <c r="AL32" t="s">
        <v>948</v>
      </c>
      <c r="AM32" t="s">
        <v>949</v>
      </c>
      <c r="AN32" t="s">
        <v>950</v>
      </c>
      <c r="AO32" t="s">
        <v>951</v>
      </c>
      <c r="AP32" t="s">
        <v>952</v>
      </c>
    </row>
    <row r="33" spans="1:42" x14ac:dyDescent="0.25">
      <c r="A33" t="s">
        <v>953</v>
      </c>
      <c r="B33" t="s">
        <v>954</v>
      </c>
      <c r="C33" t="s">
        <v>955</v>
      </c>
      <c r="D33" t="s">
        <v>956</v>
      </c>
      <c r="E33" t="s">
        <v>572</v>
      </c>
      <c r="F33" t="s">
        <v>957</v>
      </c>
      <c r="G33" t="s">
        <v>958</v>
      </c>
      <c r="H33" t="s">
        <v>959</v>
      </c>
      <c r="I33" t="s">
        <v>953</v>
      </c>
      <c r="J33" t="s">
        <v>960</v>
      </c>
      <c r="K33" t="s">
        <v>953</v>
      </c>
      <c r="L33" t="s">
        <v>953</v>
      </c>
      <c r="M33" t="s">
        <v>953</v>
      </c>
      <c r="N33" t="s">
        <v>953</v>
      </c>
      <c r="O33" t="s">
        <v>961</v>
      </c>
      <c r="P33" t="s">
        <v>962</v>
      </c>
      <c r="Q33" t="s">
        <v>953</v>
      </c>
      <c r="R33" t="s">
        <v>963</v>
      </c>
      <c r="S33" t="s">
        <v>964</v>
      </c>
      <c r="T33" t="s">
        <v>965</v>
      </c>
      <c r="U33" t="s">
        <v>953</v>
      </c>
      <c r="V33" t="s">
        <v>953</v>
      </c>
      <c r="W33" t="s">
        <v>958</v>
      </c>
      <c r="X33" t="s">
        <v>966</v>
      </c>
      <c r="Y33" t="s">
        <v>967</v>
      </c>
      <c r="Z33" t="s">
        <v>968</v>
      </c>
      <c r="AA33" t="s">
        <v>958</v>
      </c>
      <c r="AB33" t="s">
        <v>953</v>
      </c>
      <c r="AC33" t="s">
        <v>969</v>
      </c>
      <c r="AD33" t="s">
        <v>970</v>
      </c>
      <c r="AE33" t="s">
        <v>958</v>
      </c>
      <c r="AF33" t="s">
        <v>953</v>
      </c>
      <c r="AG33" t="s">
        <v>953</v>
      </c>
      <c r="AH33" t="s">
        <v>953</v>
      </c>
      <c r="AI33" t="s">
        <v>953</v>
      </c>
      <c r="AJ33" t="s">
        <v>953</v>
      </c>
      <c r="AK33" t="s">
        <v>971</v>
      </c>
      <c r="AL33" t="s">
        <v>972</v>
      </c>
      <c r="AM33" t="s">
        <v>973</v>
      </c>
      <c r="AN33" t="s">
        <v>974</v>
      </c>
      <c r="AO33" t="s">
        <v>975</v>
      </c>
      <c r="AP33" t="s">
        <v>976</v>
      </c>
    </row>
    <row r="34" spans="1:42" x14ac:dyDescent="0.25">
      <c r="A34" t="s">
        <v>977</v>
      </c>
      <c r="B34" t="s">
        <v>978</v>
      </c>
      <c r="C34" t="s">
        <v>979</v>
      </c>
      <c r="D34" t="s">
        <v>980</v>
      </c>
      <c r="E34" t="s">
        <v>981</v>
      </c>
      <c r="F34" t="s">
        <v>982</v>
      </c>
      <c r="G34" t="s">
        <v>977</v>
      </c>
      <c r="H34" t="s">
        <v>983</v>
      </c>
      <c r="I34" t="s">
        <v>977</v>
      </c>
      <c r="J34" t="s">
        <v>984</v>
      </c>
      <c r="K34" t="s">
        <v>977</v>
      </c>
      <c r="L34" t="s">
        <v>981</v>
      </c>
      <c r="M34" t="s">
        <v>981</v>
      </c>
      <c r="N34" t="s">
        <v>981</v>
      </c>
      <c r="O34" t="s">
        <v>977</v>
      </c>
      <c r="P34" t="s">
        <v>985</v>
      </c>
      <c r="Q34" t="s">
        <v>981</v>
      </c>
      <c r="R34" t="s">
        <v>986</v>
      </c>
      <c r="S34" t="s">
        <v>987</v>
      </c>
      <c r="T34" t="s">
        <v>981</v>
      </c>
      <c r="U34" t="s">
        <v>981</v>
      </c>
      <c r="V34" t="s">
        <v>981</v>
      </c>
      <c r="W34" t="s">
        <v>988</v>
      </c>
      <c r="X34" t="s">
        <v>989</v>
      </c>
      <c r="Y34" t="s">
        <v>990</v>
      </c>
      <c r="Z34" t="s">
        <v>991</v>
      </c>
      <c r="AA34" t="s">
        <v>988</v>
      </c>
      <c r="AB34" t="s">
        <v>981</v>
      </c>
      <c r="AC34" t="s">
        <v>992</v>
      </c>
      <c r="AD34" t="s">
        <v>993</v>
      </c>
      <c r="AE34" t="s">
        <v>994</v>
      </c>
      <c r="AF34" t="s">
        <v>977</v>
      </c>
      <c r="AG34" t="s">
        <v>981</v>
      </c>
      <c r="AH34" t="s">
        <v>981</v>
      </c>
      <c r="AI34" t="s">
        <v>977</v>
      </c>
      <c r="AJ34" t="s">
        <v>977</v>
      </c>
      <c r="AK34" t="s">
        <v>995</v>
      </c>
      <c r="AL34" t="s">
        <v>996</v>
      </c>
      <c r="AM34" t="s">
        <v>997</v>
      </c>
      <c r="AN34" t="s">
        <v>998</v>
      </c>
      <c r="AO34" t="s">
        <v>999</v>
      </c>
      <c r="AP34" t="s">
        <v>1000</v>
      </c>
    </row>
    <row r="35" spans="1:42" x14ac:dyDescent="0.25">
      <c r="A35" t="s">
        <v>1001</v>
      </c>
      <c r="B35" t="s">
        <v>1002</v>
      </c>
      <c r="C35" t="s">
        <v>1003</v>
      </c>
      <c r="D35" t="s">
        <v>1004</v>
      </c>
      <c r="E35" t="s">
        <v>1005</v>
      </c>
      <c r="F35" t="s">
        <v>1006</v>
      </c>
      <c r="G35" t="s">
        <v>1001</v>
      </c>
      <c r="H35" t="s">
        <v>1007</v>
      </c>
      <c r="I35" t="s">
        <v>1001</v>
      </c>
      <c r="J35" t="s">
        <v>1008</v>
      </c>
      <c r="K35" t="s">
        <v>1001</v>
      </c>
      <c r="L35" t="s">
        <v>1001</v>
      </c>
      <c r="M35" t="s">
        <v>1001</v>
      </c>
      <c r="N35" t="s">
        <v>1001</v>
      </c>
      <c r="O35" t="s">
        <v>1001</v>
      </c>
      <c r="P35" t="s">
        <v>1009</v>
      </c>
      <c r="Q35" t="s">
        <v>1001</v>
      </c>
      <c r="R35" t="s">
        <v>1010</v>
      </c>
      <c r="S35" t="s">
        <v>1011</v>
      </c>
      <c r="T35" t="s">
        <v>1001</v>
      </c>
      <c r="U35" t="s">
        <v>1012</v>
      </c>
      <c r="V35" t="s">
        <v>1013</v>
      </c>
      <c r="W35" t="s">
        <v>1001</v>
      </c>
      <c r="X35" t="s">
        <v>1014</v>
      </c>
      <c r="Y35" t="s">
        <v>1015</v>
      </c>
      <c r="Z35" t="s">
        <v>1016</v>
      </c>
      <c r="AA35" t="s">
        <v>1001</v>
      </c>
      <c r="AB35" t="s">
        <v>1001</v>
      </c>
      <c r="AC35" t="s">
        <v>1017</v>
      </c>
      <c r="AD35" t="s">
        <v>984</v>
      </c>
      <c r="AE35" t="s">
        <v>1001</v>
      </c>
      <c r="AF35" t="s">
        <v>1018</v>
      </c>
      <c r="AG35" t="s">
        <v>1001</v>
      </c>
      <c r="AH35" t="s">
        <v>1001</v>
      </c>
      <c r="AI35" t="s">
        <v>1001</v>
      </c>
      <c r="AJ35" t="s">
        <v>1001</v>
      </c>
      <c r="AK35" t="s">
        <v>1019</v>
      </c>
      <c r="AL35" t="s">
        <v>1020</v>
      </c>
      <c r="AM35" t="s">
        <v>1021</v>
      </c>
      <c r="AN35" t="s">
        <v>1022</v>
      </c>
      <c r="AO35" t="s">
        <v>1023</v>
      </c>
      <c r="AP35" t="s">
        <v>1024</v>
      </c>
    </row>
    <row r="36" spans="1:42" x14ac:dyDescent="0.25">
      <c r="A36" t="s">
        <v>1025</v>
      </c>
      <c r="B36" t="s">
        <v>1026</v>
      </c>
      <c r="C36" t="s">
        <v>1027</v>
      </c>
      <c r="D36" t="s">
        <v>1028</v>
      </c>
      <c r="E36" t="s">
        <v>1029</v>
      </c>
      <c r="F36" t="s">
        <v>1030</v>
      </c>
      <c r="G36" t="s">
        <v>1031</v>
      </c>
      <c r="H36" t="s">
        <v>1032</v>
      </c>
      <c r="I36" t="s">
        <v>1025</v>
      </c>
      <c r="J36" t="s">
        <v>1033</v>
      </c>
      <c r="K36" t="s">
        <v>1025</v>
      </c>
      <c r="L36" t="s">
        <v>1025</v>
      </c>
      <c r="M36" t="s">
        <v>1025</v>
      </c>
      <c r="N36" t="s">
        <v>1031</v>
      </c>
      <c r="O36" t="s">
        <v>1034</v>
      </c>
      <c r="P36" t="s">
        <v>1035</v>
      </c>
      <c r="Q36" t="s">
        <v>1036</v>
      </c>
      <c r="R36" t="s">
        <v>1037</v>
      </c>
      <c r="S36" t="s">
        <v>1038</v>
      </c>
      <c r="T36" t="s">
        <v>1025</v>
      </c>
      <c r="U36" t="s">
        <v>1031</v>
      </c>
      <c r="V36" t="s">
        <v>1031</v>
      </c>
      <c r="W36" t="s">
        <v>1039</v>
      </c>
      <c r="X36" t="s">
        <v>1040</v>
      </c>
      <c r="Y36" t="s">
        <v>1041</v>
      </c>
      <c r="Z36" t="s">
        <v>1042</v>
      </c>
      <c r="AA36" t="s">
        <v>1043</v>
      </c>
      <c r="AB36" t="s">
        <v>1031</v>
      </c>
      <c r="AC36" t="s">
        <v>1044</v>
      </c>
      <c r="AD36" t="s">
        <v>1045</v>
      </c>
      <c r="AE36" t="s">
        <v>1036</v>
      </c>
      <c r="AF36" t="s">
        <v>1025</v>
      </c>
      <c r="AG36" t="s">
        <v>1025</v>
      </c>
      <c r="AH36" t="s">
        <v>1025</v>
      </c>
      <c r="AI36" t="s">
        <v>1025</v>
      </c>
      <c r="AJ36" t="s">
        <v>1039</v>
      </c>
      <c r="AK36" t="s">
        <v>1046</v>
      </c>
      <c r="AL36" t="s">
        <v>1047</v>
      </c>
      <c r="AM36" t="s">
        <v>1048</v>
      </c>
      <c r="AN36" t="s">
        <v>1049</v>
      </c>
      <c r="AO36" t="s">
        <v>1050</v>
      </c>
      <c r="AP36" t="s">
        <v>1051</v>
      </c>
    </row>
    <row r="37" spans="1:42" x14ac:dyDescent="0.25">
      <c r="A37" t="s">
        <v>5</v>
      </c>
      <c r="B37" t="s">
        <v>1052</v>
      </c>
      <c r="C37" t="s">
        <v>1053</v>
      </c>
      <c r="D37" t="s">
        <v>1054</v>
      </c>
      <c r="E37" t="s">
        <v>1055</v>
      </c>
      <c r="F37" t="s">
        <v>1056</v>
      </c>
      <c r="G37" t="s">
        <v>1057</v>
      </c>
      <c r="H37" t="s">
        <v>1058</v>
      </c>
      <c r="I37" t="s">
        <v>1059</v>
      </c>
      <c r="J37" t="s">
        <v>5</v>
      </c>
      <c r="K37" t="s">
        <v>5</v>
      </c>
      <c r="L37" t="s">
        <v>1060</v>
      </c>
      <c r="M37" t="s">
        <v>5</v>
      </c>
      <c r="N37" t="s">
        <v>1061</v>
      </c>
      <c r="O37" t="s">
        <v>1062</v>
      </c>
      <c r="P37" t="s">
        <v>1063</v>
      </c>
      <c r="Q37" t="s">
        <v>5</v>
      </c>
      <c r="R37" t="s">
        <v>1064</v>
      </c>
      <c r="S37" t="s">
        <v>1065</v>
      </c>
      <c r="T37" t="s">
        <v>1066</v>
      </c>
      <c r="U37" t="s">
        <v>1067</v>
      </c>
      <c r="V37" t="s">
        <v>1061</v>
      </c>
      <c r="W37" t="s">
        <v>1068</v>
      </c>
      <c r="X37" t="s">
        <v>1069</v>
      </c>
      <c r="Y37" t="s">
        <v>1055</v>
      </c>
      <c r="Z37" t="s">
        <v>1070</v>
      </c>
      <c r="AA37" t="s">
        <v>1067</v>
      </c>
      <c r="AB37" t="s">
        <v>1071</v>
      </c>
      <c r="AC37" t="s">
        <v>1072</v>
      </c>
      <c r="AD37" t="s">
        <v>1073</v>
      </c>
      <c r="AE37" t="s">
        <v>1074</v>
      </c>
      <c r="AF37" t="s">
        <v>1075</v>
      </c>
      <c r="AG37" t="s">
        <v>1076</v>
      </c>
      <c r="AH37" t="s">
        <v>1077</v>
      </c>
      <c r="AI37" t="s">
        <v>1078</v>
      </c>
      <c r="AJ37" t="s">
        <v>1079</v>
      </c>
      <c r="AK37" t="s">
        <v>1071</v>
      </c>
      <c r="AL37" t="s">
        <v>1080</v>
      </c>
      <c r="AM37" t="s">
        <v>1081</v>
      </c>
      <c r="AN37" t="s">
        <v>1082</v>
      </c>
      <c r="AO37" t="s">
        <v>1083</v>
      </c>
      <c r="AP37" t="s">
        <v>1084</v>
      </c>
    </row>
    <row r="38" spans="1:42" x14ac:dyDescent="0.25">
      <c r="A38" t="s">
        <v>1085</v>
      </c>
      <c r="B38" t="s">
        <v>1085</v>
      </c>
      <c r="C38" t="s">
        <v>1086</v>
      </c>
      <c r="D38" t="s">
        <v>1087</v>
      </c>
      <c r="E38" t="s">
        <v>1088</v>
      </c>
      <c r="F38" t="s">
        <v>1089</v>
      </c>
      <c r="G38" t="s">
        <v>1085</v>
      </c>
      <c r="H38" t="s">
        <v>1090</v>
      </c>
      <c r="I38" t="s">
        <v>1091</v>
      </c>
      <c r="J38" t="s">
        <v>1085</v>
      </c>
      <c r="K38" t="s">
        <v>1085</v>
      </c>
      <c r="L38" t="s">
        <v>1085</v>
      </c>
      <c r="M38" t="s">
        <v>1085</v>
      </c>
      <c r="N38" t="s">
        <v>1085</v>
      </c>
      <c r="O38" t="s">
        <v>1092</v>
      </c>
      <c r="P38" t="s">
        <v>1093</v>
      </c>
      <c r="Q38" t="s">
        <v>1085</v>
      </c>
      <c r="R38" t="s">
        <v>1094</v>
      </c>
      <c r="S38" t="s">
        <v>1095</v>
      </c>
      <c r="T38" t="s">
        <v>1096</v>
      </c>
      <c r="U38" t="s">
        <v>1097</v>
      </c>
      <c r="V38" t="s">
        <v>1085</v>
      </c>
      <c r="W38" t="s">
        <v>1085</v>
      </c>
      <c r="X38" t="s">
        <v>1098</v>
      </c>
      <c r="Y38" t="s">
        <v>1099</v>
      </c>
      <c r="Z38" t="s">
        <v>1089</v>
      </c>
      <c r="AA38" t="s">
        <v>1097</v>
      </c>
      <c r="AB38" t="s">
        <v>1085</v>
      </c>
      <c r="AC38" t="s">
        <v>1100</v>
      </c>
      <c r="AD38" t="s">
        <v>1085</v>
      </c>
      <c r="AE38" t="s">
        <v>1085</v>
      </c>
      <c r="AF38" t="s">
        <v>1085</v>
      </c>
      <c r="AG38" t="s">
        <v>1101</v>
      </c>
      <c r="AH38" t="s">
        <v>1085</v>
      </c>
      <c r="AI38" t="s">
        <v>1085</v>
      </c>
      <c r="AJ38" t="s">
        <v>1085</v>
      </c>
      <c r="AK38" t="s">
        <v>1085</v>
      </c>
      <c r="AL38" t="s">
        <v>1102</v>
      </c>
      <c r="AM38" t="s">
        <v>1085</v>
      </c>
      <c r="AN38" t="s">
        <v>1085</v>
      </c>
      <c r="AO38" t="s">
        <v>1089</v>
      </c>
      <c r="AP38" t="s">
        <v>1103</v>
      </c>
    </row>
    <row r="39" spans="1:42" x14ac:dyDescent="0.25">
      <c r="A39" t="s">
        <v>1104</v>
      </c>
      <c r="B39" t="s">
        <v>1105</v>
      </c>
      <c r="C39" t="s">
        <v>1106</v>
      </c>
      <c r="D39" t="s">
        <v>1107</v>
      </c>
      <c r="E39" t="s">
        <v>1104</v>
      </c>
      <c r="F39" t="s">
        <v>1108</v>
      </c>
      <c r="G39" t="s">
        <v>1104</v>
      </c>
      <c r="H39" t="s">
        <v>1109</v>
      </c>
      <c r="I39" t="s">
        <v>1110</v>
      </c>
      <c r="J39" t="s">
        <v>1111</v>
      </c>
      <c r="K39" t="s">
        <v>1111</v>
      </c>
      <c r="L39" t="s">
        <v>1104</v>
      </c>
      <c r="M39" t="s">
        <v>1104</v>
      </c>
      <c r="N39" t="s">
        <v>1104</v>
      </c>
      <c r="O39" t="s">
        <v>1104</v>
      </c>
      <c r="P39" t="s">
        <v>1112</v>
      </c>
      <c r="Q39" t="s">
        <v>1111</v>
      </c>
      <c r="R39" t="s">
        <v>1113</v>
      </c>
      <c r="S39" t="s">
        <v>1114</v>
      </c>
      <c r="T39" t="s">
        <v>1111</v>
      </c>
      <c r="U39" t="s">
        <v>1104</v>
      </c>
      <c r="V39" t="s">
        <v>1111</v>
      </c>
      <c r="W39" t="s">
        <v>1104</v>
      </c>
      <c r="X39" t="s">
        <v>1115</v>
      </c>
      <c r="Y39" t="s">
        <v>1116</v>
      </c>
      <c r="Z39" t="s">
        <v>1108</v>
      </c>
      <c r="AA39" t="s">
        <v>1104</v>
      </c>
      <c r="AB39" t="s">
        <v>1104</v>
      </c>
      <c r="AC39" t="s">
        <v>1117</v>
      </c>
      <c r="AD39" t="s">
        <v>1111</v>
      </c>
      <c r="AE39" t="s">
        <v>1118</v>
      </c>
      <c r="AF39" t="s">
        <v>1104</v>
      </c>
      <c r="AG39" t="s">
        <v>1108</v>
      </c>
      <c r="AH39" t="s">
        <v>1111</v>
      </c>
      <c r="AI39" t="s">
        <v>1111</v>
      </c>
      <c r="AJ39" t="s">
        <v>1111</v>
      </c>
      <c r="AK39" t="s">
        <v>1104</v>
      </c>
      <c r="AL39" t="s">
        <v>1119</v>
      </c>
      <c r="AM39" t="s">
        <v>1111</v>
      </c>
      <c r="AN39" t="s">
        <v>1104</v>
      </c>
      <c r="AO39" t="s">
        <v>1108</v>
      </c>
      <c r="AP39" t="s">
        <v>1117</v>
      </c>
    </row>
    <row r="40" spans="1:42" x14ac:dyDescent="0.25">
      <c r="A40" t="s">
        <v>1120</v>
      </c>
      <c r="B40" t="s">
        <v>1121</v>
      </c>
      <c r="C40" t="s">
        <v>1122</v>
      </c>
      <c r="D40" t="s">
        <v>1123</v>
      </c>
      <c r="E40" t="s">
        <v>1124</v>
      </c>
      <c r="F40" t="s">
        <v>1125</v>
      </c>
      <c r="G40" t="s">
        <v>1120</v>
      </c>
      <c r="H40" t="s">
        <v>1126</v>
      </c>
      <c r="I40" t="s">
        <v>1127</v>
      </c>
      <c r="J40" t="s">
        <v>1124</v>
      </c>
      <c r="K40" t="s">
        <v>1128</v>
      </c>
      <c r="L40" t="s">
        <v>1120</v>
      </c>
      <c r="M40" t="s">
        <v>1120</v>
      </c>
      <c r="N40" t="s">
        <v>1129</v>
      </c>
      <c r="O40" t="s">
        <v>1129</v>
      </c>
      <c r="P40" t="s">
        <v>1130</v>
      </c>
      <c r="Q40" t="s">
        <v>1120</v>
      </c>
      <c r="R40" t="s">
        <v>1131</v>
      </c>
      <c r="S40" t="s">
        <v>1132</v>
      </c>
      <c r="T40" t="s">
        <v>1120</v>
      </c>
      <c r="U40" t="s">
        <v>1121</v>
      </c>
      <c r="V40" t="s">
        <v>1124</v>
      </c>
      <c r="W40" t="s">
        <v>1120</v>
      </c>
      <c r="X40" t="s">
        <v>1133</v>
      </c>
      <c r="Y40" t="s">
        <v>1134</v>
      </c>
      <c r="Z40" t="s">
        <v>1125</v>
      </c>
      <c r="AA40" t="s">
        <v>1135</v>
      </c>
      <c r="AB40" t="s">
        <v>1120</v>
      </c>
      <c r="AC40" t="s">
        <v>1136</v>
      </c>
      <c r="AD40" t="s">
        <v>1135</v>
      </c>
      <c r="AE40" t="s">
        <v>1137</v>
      </c>
      <c r="AF40" t="s">
        <v>1120</v>
      </c>
      <c r="AG40" t="s">
        <v>1125</v>
      </c>
      <c r="AH40" t="s">
        <v>1128</v>
      </c>
      <c r="AI40" t="s">
        <v>1124</v>
      </c>
      <c r="AJ40" t="s">
        <v>1120</v>
      </c>
      <c r="AK40" t="s">
        <v>1120</v>
      </c>
      <c r="AL40" t="s">
        <v>1138</v>
      </c>
      <c r="AM40" t="s">
        <v>1124</v>
      </c>
      <c r="AN40" t="s">
        <v>1120</v>
      </c>
      <c r="AO40" t="s">
        <v>1125</v>
      </c>
      <c r="AP40" t="s">
        <v>1139</v>
      </c>
    </row>
    <row r="41" spans="1:42" x14ac:dyDescent="0.25">
      <c r="A41" t="s">
        <v>1140</v>
      </c>
      <c r="B41" t="s">
        <v>1141</v>
      </c>
      <c r="C41" t="s">
        <v>1142</v>
      </c>
      <c r="D41" t="s">
        <v>1143</v>
      </c>
      <c r="E41" t="s">
        <v>1144</v>
      </c>
      <c r="F41" t="s">
        <v>1145</v>
      </c>
      <c r="G41" t="s">
        <v>1146</v>
      </c>
      <c r="H41" t="s">
        <v>1147</v>
      </c>
      <c r="I41" t="s">
        <v>1148</v>
      </c>
      <c r="J41" t="s">
        <v>1149</v>
      </c>
      <c r="K41" t="s">
        <v>1150</v>
      </c>
      <c r="L41" t="s">
        <v>1151</v>
      </c>
      <c r="M41" t="s">
        <v>1152</v>
      </c>
      <c r="N41" t="s">
        <v>1153</v>
      </c>
      <c r="O41" t="s">
        <v>1153</v>
      </c>
      <c r="P41" t="s">
        <v>1154</v>
      </c>
      <c r="Q41" t="s">
        <v>1155</v>
      </c>
      <c r="R41" t="s">
        <v>1156</v>
      </c>
      <c r="S41" t="s">
        <v>1157</v>
      </c>
      <c r="T41" t="s">
        <v>1158</v>
      </c>
      <c r="U41" t="s">
        <v>1159</v>
      </c>
      <c r="V41" t="s">
        <v>1151</v>
      </c>
      <c r="W41" t="s">
        <v>1160</v>
      </c>
      <c r="X41" t="s">
        <v>1161</v>
      </c>
      <c r="Y41" t="s">
        <v>1162</v>
      </c>
      <c r="Z41" t="s">
        <v>1163</v>
      </c>
      <c r="AA41" t="s">
        <v>1160</v>
      </c>
      <c r="AB41" t="s">
        <v>1152</v>
      </c>
      <c r="AC41" t="s">
        <v>1164</v>
      </c>
      <c r="AD41" t="s">
        <v>1165</v>
      </c>
      <c r="AE41" t="s">
        <v>1166</v>
      </c>
      <c r="AF41" t="s">
        <v>1160</v>
      </c>
      <c r="AG41" t="s">
        <v>1167</v>
      </c>
      <c r="AH41" t="s">
        <v>1150</v>
      </c>
      <c r="AI41" t="s">
        <v>1149</v>
      </c>
      <c r="AJ41" t="s">
        <v>1168</v>
      </c>
      <c r="AK41" t="s">
        <v>1169</v>
      </c>
      <c r="AL41" t="s">
        <v>1170</v>
      </c>
      <c r="AM41" t="s">
        <v>1171</v>
      </c>
      <c r="AN41" t="s">
        <v>1172</v>
      </c>
      <c r="AO41" t="s">
        <v>1173</v>
      </c>
      <c r="AP41" t="s">
        <v>1174</v>
      </c>
    </row>
    <row r="42" spans="1:42" x14ac:dyDescent="0.25">
      <c r="A42" t="s">
        <v>1175</v>
      </c>
      <c r="B42" t="s">
        <v>1176</v>
      </c>
      <c r="C42" t="s">
        <v>1177</v>
      </c>
      <c r="D42" t="s">
        <v>1178</v>
      </c>
      <c r="E42" t="s">
        <v>1179</v>
      </c>
      <c r="F42" t="s">
        <v>1180</v>
      </c>
      <c r="G42" t="s">
        <v>1181</v>
      </c>
      <c r="H42" t="s">
        <v>1182</v>
      </c>
      <c r="I42" t="s">
        <v>1183</v>
      </c>
      <c r="J42" t="s">
        <v>1184</v>
      </c>
      <c r="K42" t="s">
        <v>1185</v>
      </c>
      <c r="L42" t="s">
        <v>1175</v>
      </c>
      <c r="M42" t="s">
        <v>1186</v>
      </c>
      <c r="N42" t="s">
        <v>1175</v>
      </c>
      <c r="O42" t="s">
        <v>1187</v>
      </c>
      <c r="P42" t="s">
        <v>1188</v>
      </c>
      <c r="Q42" t="s">
        <v>1175</v>
      </c>
      <c r="R42" t="s">
        <v>1189</v>
      </c>
      <c r="S42" t="s">
        <v>1190</v>
      </c>
      <c r="T42" t="s">
        <v>1191</v>
      </c>
      <c r="U42" t="s">
        <v>1192</v>
      </c>
      <c r="V42" t="s">
        <v>1175</v>
      </c>
      <c r="W42" t="s">
        <v>1193</v>
      </c>
      <c r="X42" t="s">
        <v>1194</v>
      </c>
      <c r="Y42" t="s">
        <v>1195</v>
      </c>
      <c r="Z42" t="s">
        <v>1196</v>
      </c>
      <c r="AA42" t="s">
        <v>1197</v>
      </c>
      <c r="AB42" t="s">
        <v>1175</v>
      </c>
      <c r="AC42" t="s">
        <v>1198</v>
      </c>
      <c r="AD42" t="s">
        <v>1191</v>
      </c>
      <c r="AE42" t="s">
        <v>1199</v>
      </c>
      <c r="AF42" t="s">
        <v>1191</v>
      </c>
      <c r="AG42" t="s">
        <v>1200</v>
      </c>
      <c r="AH42" t="s">
        <v>1201</v>
      </c>
      <c r="AI42" t="s">
        <v>1195</v>
      </c>
      <c r="AJ42" t="s">
        <v>1199</v>
      </c>
      <c r="AK42" t="s">
        <v>1175</v>
      </c>
      <c r="AL42" t="s">
        <v>1202</v>
      </c>
      <c r="AM42" t="s">
        <v>1203</v>
      </c>
      <c r="AN42" t="s">
        <v>1204</v>
      </c>
      <c r="AO42" t="s">
        <v>1205</v>
      </c>
      <c r="AP42" t="s">
        <v>1206</v>
      </c>
    </row>
    <row r="43" spans="1:42" x14ac:dyDescent="0.25">
      <c r="A43" t="s">
        <v>1207</v>
      </c>
      <c r="B43" t="s">
        <v>1207</v>
      </c>
      <c r="C43" t="s">
        <v>1208</v>
      </c>
      <c r="D43" t="s">
        <v>1209</v>
      </c>
      <c r="E43" t="s">
        <v>1210</v>
      </c>
      <c r="F43" t="s">
        <v>1211</v>
      </c>
      <c r="G43" t="s">
        <v>1207</v>
      </c>
      <c r="H43" t="s">
        <v>1212</v>
      </c>
      <c r="I43" t="s">
        <v>1212</v>
      </c>
      <c r="J43" t="s">
        <v>1207</v>
      </c>
      <c r="K43" t="s">
        <v>1213</v>
      </c>
      <c r="L43" t="s">
        <v>1207</v>
      </c>
      <c r="M43" t="s">
        <v>1207</v>
      </c>
      <c r="N43" t="s">
        <v>1207</v>
      </c>
      <c r="O43" t="s">
        <v>1207</v>
      </c>
      <c r="P43" t="s">
        <v>1214</v>
      </c>
      <c r="Q43" t="s">
        <v>1207</v>
      </c>
      <c r="R43" t="s">
        <v>1215</v>
      </c>
      <c r="S43" t="s">
        <v>1216</v>
      </c>
      <c r="T43" t="s">
        <v>1217</v>
      </c>
      <c r="U43" t="s">
        <v>1207</v>
      </c>
      <c r="V43" t="s">
        <v>1218</v>
      </c>
      <c r="W43" t="s">
        <v>1207</v>
      </c>
      <c r="X43" t="s">
        <v>1219</v>
      </c>
      <c r="Y43" t="s">
        <v>1220</v>
      </c>
      <c r="Z43" t="s">
        <v>1211</v>
      </c>
      <c r="AA43" t="s">
        <v>1207</v>
      </c>
      <c r="AB43" t="s">
        <v>1207</v>
      </c>
      <c r="AC43" t="s">
        <v>1221</v>
      </c>
      <c r="AD43" t="s">
        <v>1207</v>
      </c>
      <c r="AE43" t="s">
        <v>1222</v>
      </c>
      <c r="AF43" t="s">
        <v>1207</v>
      </c>
      <c r="AG43" t="s">
        <v>1211</v>
      </c>
      <c r="AH43" t="s">
        <v>1217</v>
      </c>
      <c r="AI43" t="s">
        <v>1207</v>
      </c>
      <c r="AJ43" t="s">
        <v>1217</v>
      </c>
      <c r="AK43" t="s">
        <v>1207</v>
      </c>
      <c r="AL43" t="s">
        <v>1223</v>
      </c>
      <c r="AM43" t="s">
        <v>1210</v>
      </c>
      <c r="AN43" t="s">
        <v>1207</v>
      </c>
      <c r="AO43" t="s">
        <v>1224</v>
      </c>
      <c r="AP43" t="s">
        <v>1221</v>
      </c>
    </row>
    <row r="44" spans="1:42" x14ac:dyDescent="0.25">
      <c r="A44" t="s">
        <v>1225</v>
      </c>
      <c r="B44" t="s">
        <v>1226</v>
      </c>
      <c r="C44" t="s">
        <v>1227</v>
      </c>
      <c r="D44" t="s">
        <v>1228</v>
      </c>
      <c r="E44" t="s">
        <v>1229</v>
      </c>
      <c r="F44" t="s">
        <v>1230</v>
      </c>
      <c r="G44" t="s">
        <v>1231</v>
      </c>
      <c r="H44" t="s">
        <v>1232</v>
      </c>
      <c r="I44" t="s">
        <v>1233</v>
      </c>
      <c r="J44" t="s">
        <v>1234</v>
      </c>
      <c r="K44" t="s">
        <v>1235</v>
      </c>
      <c r="L44" t="s">
        <v>1236</v>
      </c>
      <c r="M44" t="s">
        <v>1237</v>
      </c>
      <c r="N44" t="s">
        <v>1238</v>
      </c>
      <c r="O44" t="s">
        <v>1238</v>
      </c>
      <c r="P44" t="s">
        <v>1239</v>
      </c>
      <c r="Q44" t="s">
        <v>1240</v>
      </c>
      <c r="R44" t="s">
        <v>1241</v>
      </c>
      <c r="S44" t="s">
        <v>1242</v>
      </c>
      <c r="T44" t="s">
        <v>1243</v>
      </c>
      <c r="U44" t="s">
        <v>1244</v>
      </c>
      <c r="V44" t="s">
        <v>1245</v>
      </c>
      <c r="W44" t="s">
        <v>1246</v>
      </c>
      <c r="X44" t="s">
        <v>1247</v>
      </c>
      <c r="Y44" t="s">
        <v>1248</v>
      </c>
      <c r="Z44" t="s">
        <v>1249</v>
      </c>
      <c r="AA44" t="s">
        <v>1246</v>
      </c>
      <c r="AB44" t="s">
        <v>1250</v>
      </c>
      <c r="AC44" t="s">
        <v>1251</v>
      </c>
      <c r="AD44" t="s">
        <v>1252</v>
      </c>
      <c r="AE44" t="s">
        <v>1253</v>
      </c>
      <c r="AF44" t="s">
        <v>1254</v>
      </c>
      <c r="AG44" t="s">
        <v>1255</v>
      </c>
      <c r="AH44" t="s">
        <v>1256</v>
      </c>
      <c r="AI44" t="s">
        <v>1257</v>
      </c>
      <c r="AJ44" t="s">
        <v>1253</v>
      </c>
      <c r="AK44" t="s">
        <v>1258</v>
      </c>
      <c r="AL44" t="s">
        <v>1259</v>
      </c>
      <c r="AM44" t="s">
        <v>1260</v>
      </c>
      <c r="AN44" t="s">
        <v>1261</v>
      </c>
      <c r="AO44" t="s">
        <v>1262</v>
      </c>
      <c r="AP44" t="s">
        <v>1263</v>
      </c>
    </row>
    <row r="45" spans="1:42" x14ac:dyDescent="0.25">
      <c r="A45" t="s">
        <v>1264</v>
      </c>
      <c r="B45" t="s">
        <v>1265</v>
      </c>
      <c r="C45" t="s">
        <v>1266</v>
      </c>
      <c r="D45" t="s">
        <v>1267</v>
      </c>
      <c r="E45" t="s">
        <v>1268</v>
      </c>
      <c r="F45" t="s">
        <v>1269</v>
      </c>
      <c r="G45" t="s">
        <v>1270</v>
      </c>
      <c r="H45" t="s">
        <v>1271</v>
      </c>
      <c r="I45" t="s">
        <v>1272</v>
      </c>
      <c r="J45" t="s">
        <v>1264</v>
      </c>
      <c r="K45" t="s">
        <v>1264</v>
      </c>
      <c r="L45" t="s">
        <v>1264</v>
      </c>
      <c r="M45" t="s">
        <v>1264</v>
      </c>
      <c r="N45" t="s">
        <v>1273</v>
      </c>
      <c r="O45" t="s">
        <v>1273</v>
      </c>
      <c r="P45" t="s">
        <v>1274</v>
      </c>
      <c r="Q45" t="s">
        <v>1264</v>
      </c>
      <c r="R45" t="s">
        <v>1275</v>
      </c>
      <c r="S45" t="s">
        <v>1276</v>
      </c>
      <c r="T45" t="s">
        <v>1264</v>
      </c>
      <c r="U45" t="s">
        <v>1264</v>
      </c>
      <c r="V45" t="s">
        <v>1264</v>
      </c>
      <c r="W45" t="s">
        <v>1277</v>
      </c>
      <c r="X45" t="s">
        <v>1278</v>
      </c>
      <c r="Y45" t="s">
        <v>1279</v>
      </c>
      <c r="Z45" t="s">
        <v>1280</v>
      </c>
      <c r="AA45" t="s">
        <v>1264</v>
      </c>
      <c r="AB45" t="s">
        <v>1264</v>
      </c>
      <c r="AC45" t="s">
        <v>1281</v>
      </c>
      <c r="AD45" t="s">
        <v>1282</v>
      </c>
      <c r="AE45" t="s">
        <v>1283</v>
      </c>
      <c r="AF45" t="s">
        <v>1284</v>
      </c>
      <c r="AG45" t="s">
        <v>1285</v>
      </c>
      <c r="AH45" t="s">
        <v>1264</v>
      </c>
      <c r="AI45" t="s">
        <v>1264</v>
      </c>
      <c r="AJ45" t="s">
        <v>1283</v>
      </c>
      <c r="AK45" t="s">
        <v>1264</v>
      </c>
      <c r="AL45" t="s">
        <v>1286</v>
      </c>
      <c r="AM45" t="s">
        <v>1287</v>
      </c>
      <c r="AN45" t="s">
        <v>1288</v>
      </c>
      <c r="AO45" t="s">
        <v>1289</v>
      </c>
      <c r="AP45" t="s">
        <v>1290</v>
      </c>
    </row>
    <row r="46" spans="1:42" x14ac:dyDescent="0.25">
      <c r="A46" t="s">
        <v>1291</v>
      </c>
      <c r="B46" t="s">
        <v>1292</v>
      </c>
      <c r="C46" t="s">
        <v>1293</v>
      </c>
      <c r="D46" t="s">
        <v>1294</v>
      </c>
      <c r="E46" t="s">
        <v>1291</v>
      </c>
      <c r="F46" t="s">
        <v>1295</v>
      </c>
      <c r="G46" t="s">
        <v>1291</v>
      </c>
      <c r="H46" t="s">
        <v>1296</v>
      </c>
      <c r="I46" t="s">
        <v>1296</v>
      </c>
      <c r="J46" t="s">
        <v>1291</v>
      </c>
      <c r="K46" t="s">
        <v>1291</v>
      </c>
      <c r="L46" t="s">
        <v>1291</v>
      </c>
      <c r="M46" t="s">
        <v>1297</v>
      </c>
      <c r="N46" t="s">
        <v>1291</v>
      </c>
      <c r="O46" t="s">
        <v>1298</v>
      </c>
      <c r="P46" t="s">
        <v>1299</v>
      </c>
      <c r="Q46" t="s">
        <v>1300</v>
      </c>
      <c r="R46" t="s">
        <v>1301</v>
      </c>
      <c r="S46" t="s">
        <v>1302</v>
      </c>
      <c r="T46" t="s">
        <v>1303</v>
      </c>
      <c r="U46" t="s">
        <v>1291</v>
      </c>
      <c r="V46" t="s">
        <v>1291</v>
      </c>
      <c r="W46" t="s">
        <v>1291</v>
      </c>
      <c r="X46" t="s">
        <v>1304</v>
      </c>
      <c r="Y46" t="s">
        <v>1291</v>
      </c>
      <c r="Z46" t="s">
        <v>1305</v>
      </c>
      <c r="AA46" t="s">
        <v>1306</v>
      </c>
      <c r="AB46" t="s">
        <v>1291</v>
      </c>
      <c r="AC46" t="s">
        <v>1307</v>
      </c>
      <c r="AD46" t="s">
        <v>1308</v>
      </c>
      <c r="AE46" t="s">
        <v>1291</v>
      </c>
      <c r="AF46" t="s">
        <v>1291</v>
      </c>
      <c r="AG46" t="s">
        <v>1305</v>
      </c>
      <c r="AH46" t="s">
        <v>1303</v>
      </c>
      <c r="AI46" t="s">
        <v>1291</v>
      </c>
      <c r="AJ46" t="s">
        <v>1291</v>
      </c>
      <c r="AK46" t="s">
        <v>1291</v>
      </c>
      <c r="AL46" t="s">
        <v>1309</v>
      </c>
      <c r="AM46" t="s">
        <v>1310</v>
      </c>
      <c r="AN46" t="s">
        <v>1291</v>
      </c>
      <c r="AO46" t="s">
        <v>1305</v>
      </c>
      <c r="AP46" t="s">
        <v>1311</v>
      </c>
    </row>
    <row r="47" spans="1:42" x14ac:dyDescent="0.25">
      <c r="A47" t="s">
        <v>1312</v>
      </c>
      <c r="B47" t="s">
        <v>1313</v>
      </c>
      <c r="C47" t="s">
        <v>1314</v>
      </c>
      <c r="D47" t="s">
        <v>1315</v>
      </c>
      <c r="E47" t="s">
        <v>1316</v>
      </c>
      <c r="F47" t="s">
        <v>1317</v>
      </c>
      <c r="G47" t="s">
        <v>1318</v>
      </c>
      <c r="H47" t="s">
        <v>1319</v>
      </c>
      <c r="I47" t="s">
        <v>1319</v>
      </c>
      <c r="J47" t="s">
        <v>1320</v>
      </c>
      <c r="K47" t="s">
        <v>1321</v>
      </c>
      <c r="L47" t="s">
        <v>1322</v>
      </c>
      <c r="M47" t="s">
        <v>1323</v>
      </c>
      <c r="N47" t="s">
        <v>1312</v>
      </c>
      <c r="O47" t="s">
        <v>1324</v>
      </c>
      <c r="P47" t="s">
        <v>1325</v>
      </c>
      <c r="Q47" t="s">
        <v>1322</v>
      </c>
      <c r="R47" t="s">
        <v>1326</v>
      </c>
      <c r="S47" t="s">
        <v>1327</v>
      </c>
      <c r="T47" t="s">
        <v>1328</v>
      </c>
      <c r="U47" t="s">
        <v>1329</v>
      </c>
      <c r="V47" t="s">
        <v>1330</v>
      </c>
      <c r="W47" t="s">
        <v>1331</v>
      </c>
      <c r="X47" t="s">
        <v>1332</v>
      </c>
      <c r="Y47" t="s">
        <v>1333</v>
      </c>
      <c r="Z47" t="s">
        <v>1334</v>
      </c>
      <c r="AA47" t="s">
        <v>1335</v>
      </c>
      <c r="AB47" t="s">
        <v>1336</v>
      </c>
      <c r="AC47" t="s">
        <v>1337</v>
      </c>
      <c r="AD47" t="s">
        <v>1338</v>
      </c>
      <c r="AE47" t="s">
        <v>1339</v>
      </c>
      <c r="AF47" t="s">
        <v>1340</v>
      </c>
      <c r="AG47" t="s">
        <v>1341</v>
      </c>
      <c r="AH47" t="s">
        <v>1342</v>
      </c>
      <c r="AI47" t="s">
        <v>1343</v>
      </c>
      <c r="AJ47" t="s">
        <v>1331</v>
      </c>
      <c r="AK47" t="s">
        <v>1344</v>
      </c>
      <c r="AL47" t="s">
        <v>1345</v>
      </c>
      <c r="AM47" t="s">
        <v>1346</v>
      </c>
      <c r="AN47" t="s">
        <v>1347</v>
      </c>
      <c r="AO47" t="s">
        <v>1348</v>
      </c>
      <c r="AP47" t="s">
        <v>1349</v>
      </c>
    </row>
    <row r="48" spans="1:42" x14ac:dyDescent="0.25">
      <c r="A48" t="s">
        <v>1350</v>
      </c>
      <c r="B48" t="s">
        <v>1351</v>
      </c>
      <c r="C48" t="s">
        <v>1352</v>
      </c>
      <c r="D48" t="s">
        <v>1353</v>
      </c>
      <c r="E48" t="s">
        <v>1354</v>
      </c>
      <c r="F48" t="s">
        <v>1355</v>
      </c>
      <c r="G48" t="s">
        <v>1356</v>
      </c>
      <c r="H48" t="s">
        <v>1357</v>
      </c>
      <c r="I48" t="s">
        <v>1357</v>
      </c>
      <c r="J48" t="s">
        <v>1358</v>
      </c>
      <c r="K48" t="s">
        <v>1359</v>
      </c>
      <c r="L48" t="s">
        <v>1350</v>
      </c>
      <c r="M48" t="s">
        <v>1350</v>
      </c>
      <c r="N48" t="s">
        <v>1358</v>
      </c>
      <c r="O48" t="s">
        <v>1360</v>
      </c>
      <c r="P48" t="s">
        <v>1361</v>
      </c>
      <c r="Q48" t="s">
        <v>1359</v>
      </c>
      <c r="R48" t="s">
        <v>1362</v>
      </c>
      <c r="S48" t="s">
        <v>1363</v>
      </c>
      <c r="T48" t="s">
        <v>1364</v>
      </c>
      <c r="U48" t="s">
        <v>1358</v>
      </c>
      <c r="V48" t="s">
        <v>1350</v>
      </c>
      <c r="W48" t="s">
        <v>1365</v>
      </c>
      <c r="X48" t="s">
        <v>1366</v>
      </c>
      <c r="Y48" t="s">
        <v>1354</v>
      </c>
      <c r="Z48" t="s">
        <v>1355</v>
      </c>
      <c r="AA48" t="s">
        <v>1367</v>
      </c>
      <c r="AB48" t="s">
        <v>1350</v>
      </c>
      <c r="AC48" t="s">
        <v>1368</v>
      </c>
      <c r="AD48" t="s">
        <v>1369</v>
      </c>
      <c r="AE48" t="s">
        <v>1370</v>
      </c>
      <c r="AF48" t="s">
        <v>1371</v>
      </c>
      <c r="AG48" t="s">
        <v>1355</v>
      </c>
      <c r="AH48" t="s">
        <v>1359</v>
      </c>
      <c r="AI48" t="s">
        <v>1372</v>
      </c>
      <c r="AJ48" t="s">
        <v>1370</v>
      </c>
      <c r="AK48" t="s">
        <v>1359</v>
      </c>
      <c r="AL48" t="s">
        <v>1373</v>
      </c>
      <c r="AM48" t="s">
        <v>1354</v>
      </c>
      <c r="AN48" t="s">
        <v>1350</v>
      </c>
      <c r="AO48" t="s">
        <v>1374</v>
      </c>
      <c r="AP48" t="s">
        <v>1375</v>
      </c>
    </row>
    <row r="49" spans="1:42" x14ac:dyDescent="0.25">
      <c r="A49" t="s">
        <v>1376</v>
      </c>
      <c r="B49" t="s">
        <v>1377</v>
      </c>
      <c r="C49" t="s">
        <v>1378</v>
      </c>
      <c r="D49" t="s">
        <v>1379</v>
      </c>
      <c r="E49" t="s">
        <v>1380</v>
      </c>
      <c r="F49" t="s">
        <v>1381</v>
      </c>
      <c r="G49" t="s">
        <v>1382</v>
      </c>
      <c r="H49" t="s">
        <v>1383</v>
      </c>
      <c r="I49" t="s">
        <v>1384</v>
      </c>
      <c r="J49" t="s">
        <v>1385</v>
      </c>
      <c r="K49" t="s">
        <v>1386</v>
      </c>
      <c r="L49" t="s">
        <v>1387</v>
      </c>
      <c r="M49" t="s">
        <v>1387</v>
      </c>
      <c r="N49" t="s">
        <v>1388</v>
      </c>
      <c r="O49" t="s">
        <v>1389</v>
      </c>
      <c r="P49" t="s">
        <v>1390</v>
      </c>
      <c r="Q49" t="s">
        <v>1387</v>
      </c>
      <c r="R49" t="s">
        <v>1391</v>
      </c>
      <c r="S49" t="s">
        <v>1392</v>
      </c>
      <c r="T49" t="s">
        <v>1393</v>
      </c>
      <c r="U49" t="s">
        <v>1394</v>
      </c>
      <c r="V49" t="s">
        <v>1376</v>
      </c>
      <c r="W49" t="s">
        <v>1395</v>
      </c>
      <c r="X49" t="s">
        <v>1396</v>
      </c>
      <c r="Y49" t="s">
        <v>1397</v>
      </c>
      <c r="Z49" t="s">
        <v>1398</v>
      </c>
      <c r="AA49" t="s">
        <v>1399</v>
      </c>
      <c r="AB49" t="s">
        <v>1387</v>
      </c>
      <c r="AC49" t="s">
        <v>1400</v>
      </c>
      <c r="AD49" t="s">
        <v>1401</v>
      </c>
      <c r="AE49" t="s">
        <v>1402</v>
      </c>
      <c r="AF49" t="s">
        <v>1395</v>
      </c>
      <c r="AG49" t="s">
        <v>1403</v>
      </c>
      <c r="AH49" t="s">
        <v>1404</v>
      </c>
      <c r="AI49" t="s">
        <v>1385</v>
      </c>
      <c r="AJ49" t="s">
        <v>1395</v>
      </c>
      <c r="AK49" t="s">
        <v>1405</v>
      </c>
      <c r="AL49" t="s">
        <v>1406</v>
      </c>
      <c r="AM49" t="s">
        <v>1407</v>
      </c>
      <c r="AN49" t="s">
        <v>1408</v>
      </c>
      <c r="AO49" t="s">
        <v>1409</v>
      </c>
      <c r="AP49" t="s">
        <v>1410</v>
      </c>
    </row>
    <row r="50" spans="1:42" x14ac:dyDescent="0.25">
      <c r="A50" t="s">
        <v>1411</v>
      </c>
      <c r="B50" t="s">
        <v>1412</v>
      </c>
      <c r="C50" t="s">
        <v>1413</v>
      </c>
      <c r="D50" t="s">
        <v>1414</v>
      </c>
      <c r="E50" t="s">
        <v>1415</v>
      </c>
      <c r="F50" t="s">
        <v>1416</v>
      </c>
      <c r="G50" t="s">
        <v>1417</v>
      </c>
      <c r="H50" t="s">
        <v>1418</v>
      </c>
      <c r="I50" t="s">
        <v>1419</v>
      </c>
      <c r="J50" t="s">
        <v>1420</v>
      </c>
      <c r="K50" t="s">
        <v>1421</v>
      </c>
      <c r="L50" t="s">
        <v>1422</v>
      </c>
      <c r="M50" t="s">
        <v>1423</v>
      </c>
      <c r="N50" t="s">
        <v>1424</v>
      </c>
      <c r="O50" t="s">
        <v>1411</v>
      </c>
      <c r="P50" t="s">
        <v>1425</v>
      </c>
      <c r="Q50" t="s">
        <v>1426</v>
      </c>
      <c r="R50" t="s">
        <v>1427</v>
      </c>
      <c r="S50" t="s">
        <v>1428</v>
      </c>
      <c r="T50" t="s">
        <v>1429</v>
      </c>
      <c r="U50" t="s">
        <v>1430</v>
      </c>
      <c r="V50" t="s">
        <v>1411</v>
      </c>
      <c r="W50" t="s">
        <v>1431</v>
      </c>
      <c r="X50" t="s">
        <v>1432</v>
      </c>
      <c r="Y50" t="s">
        <v>1433</v>
      </c>
      <c r="Z50" t="s">
        <v>1434</v>
      </c>
      <c r="AA50" t="s">
        <v>1435</v>
      </c>
      <c r="AB50" t="s">
        <v>1436</v>
      </c>
      <c r="AC50" t="s">
        <v>1437</v>
      </c>
      <c r="AD50" t="s">
        <v>1438</v>
      </c>
      <c r="AE50" t="s">
        <v>1417</v>
      </c>
      <c r="AF50" t="s">
        <v>1439</v>
      </c>
      <c r="AG50" t="s">
        <v>1440</v>
      </c>
      <c r="AH50" t="s">
        <v>1441</v>
      </c>
      <c r="AI50" t="s">
        <v>1411</v>
      </c>
      <c r="AJ50" t="s">
        <v>1431</v>
      </c>
      <c r="AK50" t="s">
        <v>1436</v>
      </c>
      <c r="AL50" t="s">
        <v>1442</v>
      </c>
      <c r="AM50" t="s">
        <v>1415</v>
      </c>
      <c r="AN50" t="s">
        <v>1443</v>
      </c>
      <c r="AO50" t="s">
        <v>1444</v>
      </c>
      <c r="AP50" t="s">
        <v>1445</v>
      </c>
    </row>
    <row r="51" spans="1:42" x14ac:dyDescent="0.25">
      <c r="A51" t="s">
        <v>1446</v>
      </c>
      <c r="B51" t="s">
        <v>1447</v>
      </c>
      <c r="C51" t="s">
        <v>1448</v>
      </c>
      <c r="D51" t="s">
        <v>1449</v>
      </c>
      <c r="E51" t="s">
        <v>1450</v>
      </c>
      <c r="F51" t="s">
        <v>1451</v>
      </c>
      <c r="G51" t="s">
        <v>1452</v>
      </c>
      <c r="H51" t="s">
        <v>1453</v>
      </c>
      <c r="I51" t="s">
        <v>1454</v>
      </c>
      <c r="J51" t="s">
        <v>1455</v>
      </c>
      <c r="K51" t="s">
        <v>1456</v>
      </c>
      <c r="L51" t="s">
        <v>1457</v>
      </c>
      <c r="M51" t="s">
        <v>1458</v>
      </c>
      <c r="N51" t="s">
        <v>1446</v>
      </c>
      <c r="O51" t="s">
        <v>1459</v>
      </c>
      <c r="P51" t="s">
        <v>1460</v>
      </c>
      <c r="Q51" t="s">
        <v>1457</v>
      </c>
      <c r="R51" t="s">
        <v>1461</v>
      </c>
      <c r="S51" t="s">
        <v>1462</v>
      </c>
      <c r="T51" t="s">
        <v>1463</v>
      </c>
      <c r="U51" t="s">
        <v>1446</v>
      </c>
      <c r="V51" t="s">
        <v>1446</v>
      </c>
      <c r="W51" t="s">
        <v>1446</v>
      </c>
      <c r="X51" t="s">
        <v>1464</v>
      </c>
      <c r="Y51" t="s">
        <v>1455</v>
      </c>
      <c r="Z51" t="s">
        <v>1465</v>
      </c>
      <c r="AA51" t="s">
        <v>1466</v>
      </c>
      <c r="AB51" t="s">
        <v>1446</v>
      </c>
      <c r="AC51" t="s">
        <v>1467</v>
      </c>
      <c r="AD51" t="s">
        <v>1446</v>
      </c>
      <c r="AE51" t="s">
        <v>1468</v>
      </c>
      <c r="AF51" t="s">
        <v>1446</v>
      </c>
      <c r="AG51" t="s">
        <v>1469</v>
      </c>
      <c r="AH51" t="s">
        <v>1468</v>
      </c>
      <c r="AI51" t="s">
        <v>1470</v>
      </c>
      <c r="AJ51" t="s">
        <v>1446</v>
      </c>
      <c r="AK51" t="s">
        <v>1457</v>
      </c>
      <c r="AL51" t="s">
        <v>1471</v>
      </c>
      <c r="AM51" t="s">
        <v>1472</v>
      </c>
      <c r="AN51" t="s">
        <v>1473</v>
      </c>
      <c r="AO51" t="s">
        <v>1474</v>
      </c>
      <c r="AP51" t="s">
        <v>1475</v>
      </c>
    </row>
    <row r="52" spans="1:42" x14ac:dyDescent="0.25">
      <c r="A52" t="s">
        <v>1476</v>
      </c>
      <c r="B52" t="s">
        <v>1477</v>
      </c>
      <c r="C52" t="s">
        <v>1478</v>
      </c>
      <c r="D52" t="s">
        <v>1479</v>
      </c>
      <c r="E52" t="s">
        <v>1480</v>
      </c>
      <c r="F52" t="s">
        <v>1481</v>
      </c>
      <c r="G52" t="s">
        <v>1482</v>
      </c>
      <c r="H52" t="s">
        <v>1483</v>
      </c>
      <c r="I52" t="s">
        <v>1484</v>
      </c>
      <c r="J52" t="s">
        <v>1485</v>
      </c>
      <c r="K52" t="s">
        <v>1486</v>
      </c>
      <c r="L52" t="s">
        <v>1487</v>
      </c>
      <c r="M52" t="s">
        <v>1488</v>
      </c>
      <c r="N52" t="s">
        <v>1487</v>
      </c>
      <c r="O52" t="s">
        <v>1489</v>
      </c>
      <c r="P52" t="s">
        <v>1490</v>
      </c>
      <c r="Q52" t="s">
        <v>1491</v>
      </c>
      <c r="R52" t="s">
        <v>1492</v>
      </c>
      <c r="S52" t="s">
        <v>1493</v>
      </c>
      <c r="T52" t="s">
        <v>1494</v>
      </c>
      <c r="U52" t="s">
        <v>1476</v>
      </c>
      <c r="V52" t="s">
        <v>1476</v>
      </c>
      <c r="W52" t="s">
        <v>1495</v>
      </c>
      <c r="X52" t="s">
        <v>1496</v>
      </c>
      <c r="Y52" t="s">
        <v>1497</v>
      </c>
      <c r="Z52" t="s">
        <v>1498</v>
      </c>
      <c r="AA52" t="s">
        <v>1480</v>
      </c>
      <c r="AB52" t="s">
        <v>1487</v>
      </c>
      <c r="AC52" t="s">
        <v>1499</v>
      </c>
      <c r="AD52" t="s">
        <v>1500</v>
      </c>
      <c r="AE52" t="s">
        <v>1482</v>
      </c>
      <c r="AF52" t="s">
        <v>1501</v>
      </c>
      <c r="AG52" t="s">
        <v>1498</v>
      </c>
      <c r="AH52" t="s">
        <v>1486</v>
      </c>
      <c r="AI52" t="s">
        <v>1485</v>
      </c>
      <c r="AJ52" t="s">
        <v>1482</v>
      </c>
      <c r="AK52" t="s">
        <v>1487</v>
      </c>
      <c r="AL52" t="s">
        <v>1502</v>
      </c>
      <c r="AM52" t="s">
        <v>1480</v>
      </c>
      <c r="AN52" t="s">
        <v>1503</v>
      </c>
      <c r="AO52" t="s">
        <v>1504</v>
      </c>
      <c r="AP52" t="s">
        <v>1505</v>
      </c>
    </row>
    <row r="53" spans="1:42" x14ac:dyDescent="0.25">
      <c r="A53" t="s">
        <v>1506</v>
      </c>
      <c r="B53" t="s">
        <v>1507</v>
      </c>
      <c r="C53" t="s">
        <v>1508</v>
      </c>
      <c r="D53" t="s">
        <v>1509</v>
      </c>
      <c r="E53" t="s">
        <v>1510</v>
      </c>
      <c r="F53" t="s">
        <v>1511</v>
      </c>
      <c r="G53" t="s">
        <v>1512</v>
      </c>
      <c r="H53" t="s">
        <v>1513</v>
      </c>
      <c r="I53" t="s">
        <v>1513</v>
      </c>
      <c r="J53" t="s">
        <v>1510</v>
      </c>
      <c r="K53" t="s">
        <v>1514</v>
      </c>
      <c r="L53" t="s">
        <v>1515</v>
      </c>
      <c r="M53" t="s">
        <v>1516</v>
      </c>
      <c r="N53" t="s">
        <v>1517</v>
      </c>
      <c r="O53" t="s">
        <v>1518</v>
      </c>
      <c r="P53" t="s">
        <v>1519</v>
      </c>
      <c r="Q53" t="s">
        <v>1515</v>
      </c>
      <c r="R53" t="s">
        <v>1520</v>
      </c>
      <c r="S53" t="s">
        <v>1521</v>
      </c>
      <c r="T53" t="s">
        <v>1522</v>
      </c>
      <c r="U53" t="s">
        <v>1506</v>
      </c>
      <c r="V53" t="s">
        <v>1523</v>
      </c>
      <c r="W53" t="s">
        <v>1506</v>
      </c>
      <c r="X53" t="s">
        <v>1524</v>
      </c>
      <c r="Y53" t="s">
        <v>1525</v>
      </c>
      <c r="Z53" t="s">
        <v>1511</v>
      </c>
      <c r="AA53" t="s">
        <v>1526</v>
      </c>
      <c r="AB53" t="s">
        <v>1506</v>
      </c>
      <c r="AC53" t="s">
        <v>1508</v>
      </c>
      <c r="AD53" t="s">
        <v>1527</v>
      </c>
      <c r="AE53" t="s">
        <v>1512</v>
      </c>
      <c r="AF53" t="s">
        <v>1506</v>
      </c>
      <c r="AG53" t="s">
        <v>1511</v>
      </c>
      <c r="AH53" t="s">
        <v>1514</v>
      </c>
      <c r="AI53" t="s">
        <v>1528</v>
      </c>
      <c r="AJ53" t="s">
        <v>1529</v>
      </c>
      <c r="AK53" t="s">
        <v>1530</v>
      </c>
      <c r="AL53" t="s">
        <v>1531</v>
      </c>
      <c r="AM53" t="s">
        <v>1532</v>
      </c>
      <c r="AN53" t="s">
        <v>1506</v>
      </c>
      <c r="AO53" t="s">
        <v>1533</v>
      </c>
      <c r="AP53" t="s">
        <v>1534</v>
      </c>
    </row>
    <row r="54" spans="1:42" x14ac:dyDescent="0.25">
      <c r="A54" t="s">
        <v>1535</v>
      </c>
      <c r="B54" t="s">
        <v>1536</v>
      </c>
      <c r="C54" t="s">
        <v>1537</v>
      </c>
      <c r="D54" t="s">
        <v>1538</v>
      </c>
      <c r="E54" t="s">
        <v>1539</v>
      </c>
      <c r="F54" t="s">
        <v>1540</v>
      </c>
      <c r="G54" t="s">
        <v>1541</v>
      </c>
      <c r="H54" t="s">
        <v>1542</v>
      </c>
      <c r="I54" t="s">
        <v>1542</v>
      </c>
      <c r="J54" t="s">
        <v>1543</v>
      </c>
      <c r="K54" t="s">
        <v>1544</v>
      </c>
      <c r="L54" t="s">
        <v>1545</v>
      </c>
      <c r="M54" t="s">
        <v>1546</v>
      </c>
      <c r="N54" t="s">
        <v>1545</v>
      </c>
      <c r="O54" t="s">
        <v>1547</v>
      </c>
      <c r="P54" t="s">
        <v>1548</v>
      </c>
      <c r="Q54" t="s">
        <v>1545</v>
      </c>
      <c r="R54" t="s">
        <v>1549</v>
      </c>
      <c r="S54" t="s">
        <v>1550</v>
      </c>
      <c r="T54" t="s">
        <v>1551</v>
      </c>
      <c r="U54" t="s">
        <v>1552</v>
      </c>
      <c r="V54" t="s">
        <v>1553</v>
      </c>
      <c r="W54" t="s">
        <v>1554</v>
      </c>
      <c r="X54" t="s">
        <v>1555</v>
      </c>
      <c r="Y54" t="s">
        <v>1556</v>
      </c>
      <c r="Z54" t="s">
        <v>1557</v>
      </c>
      <c r="AA54" t="s">
        <v>1558</v>
      </c>
      <c r="AB54" t="s">
        <v>1559</v>
      </c>
      <c r="AC54" t="s">
        <v>1560</v>
      </c>
      <c r="AD54" t="s">
        <v>1561</v>
      </c>
      <c r="AE54" t="s">
        <v>1562</v>
      </c>
      <c r="AF54" t="s">
        <v>1559</v>
      </c>
      <c r="AG54" t="s">
        <v>1557</v>
      </c>
      <c r="AH54" t="s">
        <v>1563</v>
      </c>
      <c r="AI54" t="s">
        <v>1564</v>
      </c>
      <c r="AJ54" t="s">
        <v>1565</v>
      </c>
      <c r="AK54" t="s">
        <v>1545</v>
      </c>
      <c r="AL54" t="s">
        <v>1566</v>
      </c>
      <c r="AM54" t="s">
        <v>1567</v>
      </c>
      <c r="AN54" t="s">
        <v>1568</v>
      </c>
      <c r="AO54" t="s">
        <v>1569</v>
      </c>
      <c r="AP54" t="s">
        <v>1570</v>
      </c>
    </row>
    <row r="55" spans="1:42" x14ac:dyDescent="0.25">
      <c r="A55" t="s">
        <v>1571</v>
      </c>
      <c r="B55" t="s">
        <v>1572</v>
      </c>
      <c r="C55" t="s">
        <v>1573</v>
      </c>
      <c r="D55" t="s">
        <v>1574</v>
      </c>
      <c r="E55" t="s">
        <v>1571</v>
      </c>
      <c r="F55" t="s">
        <v>1571</v>
      </c>
      <c r="G55" t="s">
        <v>1571</v>
      </c>
      <c r="H55" t="s">
        <v>1575</v>
      </c>
      <c r="I55" t="s">
        <v>1576</v>
      </c>
      <c r="J55" t="s">
        <v>1577</v>
      </c>
      <c r="K55" t="s">
        <v>1577</v>
      </c>
      <c r="L55" t="s">
        <v>1571</v>
      </c>
      <c r="M55" t="s">
        <v>1571</v>
      </c>
      <c r="N55" t="s">
        <v>1578</v>
      </c>
      <c r="O55" t="s">
        <v>1571</v>
      </c>
      <c r="P55" t="s">
        <v>1579</v>
      </c>
      <c r="Q55" t="s">
        <v>1571</v>
      </c>
      <c r="R55" t="s">
        <v>1580</v>
      </c>
      <c r="S55" t="s">
        <v>1581</v>
      </c>
      <c r="T55" t="s">
        <v>1571</v>
      </c>
      <c r="U55" t="s">
        <v>1578</v>
      </c>
      <c r="V55" t="s">
        <v>1571</v>
      </c>
      <c r="W55" t="s">
        <v>1582</v>
      </c>
      <c r="X55" t="s">
        <v>1583</v>
      </c>
      <c r="Y55" t="s">
        <v>1578</v>
      </c>
      <c r="Z55" t="s">
        <v>1584</v>
      </c>
      <c r="AA55" t="s">
        <v>1571</v>
      </c>
      <c r="AB55" t="s">
        <v>1571</v>
      </c>
      <c r="AC55" t="s">
        <v>1585</v>
      </c>
      <c r="AD55" t="s">
        <v>1586</v>
      </c>
      <c r="AE55" t="s">
        <v>1571</v>
      </c>
      <c r="AF55" t="s">
        <v>1571</v>
      </c>
      <c r="AG55" t="s">
        <v>1587</v>
      </c>
      <c r="AH55" t="s">
        <v>1577</v>
      </c>
      <c r="AI55" t="s">
        <v>1571</v>
      </c>
      <c r="AJ55" t="s">
        <v>1571</v>
      </c>
      <c r="AK55" t="s">
        <v>1588</v>
      </c>
      <c r="AL55" t="s">
        <v>1589</v>
      </c>
      <c r="AM55" t="s">
        <v>1577</v>
      </c>
      <c r="AN55" t="s">
        <v>1571</v>
      </c>
      <c r="AO55" t="s">
        <v>1590</v>
      </c>
      <c r="AP55" t="s">
        <v>1591</v>
      </c>
    </row>
    <row r="56" spans="1:42" x14ac:dyDescent="0.25">
      <c r="A56" t="s">
        <v>1592</v>
      </c>
      <c r="B56" t="s">
        <v>1593</v>
      </c>
      <c r="C56" t="s">
        <v>1594</v>
      </c>
      <c r="D56" t="s">
        <v>1595</v>
      </c>
      <c r="E56" t="s">
        <v>1596</v>
      </c>
      <c r="F56" t="s">
        <v>1597</v>
      </c>
      <c r="G56" t="s">
        <v>1598</v>
      </c>
      <c r="H56" t="s">
        <v>1599</v>
      </c>
      <c r="I56" t="s">
        <v>1600</v>
      </c>
      <c r="J56" t="s">
        <v>1601</v>
      </c>
      <c r="K56" t="s">
        <v>1602</v>
      </c>
      <c r="L56" t="s">
        <v>1603</v>
      </c>
      <c r="M56" t="s">
        <v>1604</v>
      </c>
      <c r="N56" t="s">
        <v>1605</v>
      </c>
      <c r="O56" t="s">
        <v>1606</v>
      </c>
      <c r="P56" t="s">
        <v>1607</v>
      </c>
      <c r="Q56" t="s">
        <v>1608</v>
      </c>
      <c r="R56" t="s">
        <v>1609</v>
      </c>
      <c r="S56" t="s">
        <v>1610</v>
      </c>
      <c r="T56" t="s">
        <v>1611</v>
      </c>
      <c r="U56" t="s">
        <v>1612</v>
      </c>
      <c r="V56" t="s">
        <v>1613</v>
      </c>
      <c r="W56" t="s">
        <v>1614</v>
      </c>
      <c r="X56" t="s">
        <v>1615</v>
      </c>
      <c r="Y56" t="s">
        <v>1616</v>
      </c>
      <c r="Z56" t="s">
        <v>1617</v>
      </c>
      <c r="AA56" t="s">
        <v>1618</v>
      </c>
      <c r="AB56" t="s">
        <v>1603</v>
      </c>
      <c r="AC56" t="s">
        <v>1619</v>
      </c>
      <c r="AD56" t="s">
        <v>1620</v>
      </c>
      <c r="AE56" t="s">
        <v>1621</v>
      </c>
      <c r="AF56" t="s">
        <v>1614</v>
      </c>
      <c r="AG56" t="s">
        <v>1622</v>
      </c>
      <c r="AH56" t="s">
        <v>1623</v>
      </c>
      <c r="AI56" t="s">
        <v>1624</v>
      </c>
      <c r="AJ56" t="s">
        <v>1625</v>
      </c>
      <c r="AK56" t="s">
        <v>1603</v>
      </c>
      <c r="AL56" t="s">
        <v>1626</v>
      </c>
      <c r="AM56" t="s">
        <v>1627</v>
      </c>
      <c r="AN56" t="s">
        <v>1628</v>
      </c>
      <c r="AO56" t="s">
        <v>1629</v>
      </c>
      <c r="AP56" t="s">
        <v>1630</v>
      </c>
    </row>
    <row r="57" spans="1:42" x14ac:dyDescent="0.25">
      <c r="A57" t="s">
        <v>1631</v>
      </c>
      <c r="B57" t="s">
        <v>1632</v>
      </c>
      <c r="C57" t="s">
        <v>1633</v>
      </c>
      <c r="D57" t="s">
        <v>1634</v>
      </c>
      <c r="E57" t="s">
        <v>1635</v>
      </c>
      <c r="F57" t="s">
        <v>1636</v>
      </c>
      <c r="G57" t="s">
        <v>1637</v>
      </c>
      <c r="H57" t="s">
        <v>1638</v>
      </c>
      <c r="I57" t="s">
        <v>1638</v>
      </c>
      <c r="J57" t="s">
        <v>1631</v>
      </c>
      <c r="K57" t="s">
        <v>1639</v>
      </c>
      <c r="L57" t="s">
        <v>1631</v>
      </c>
      <c r="M57" t="s">
        <v>1631</v>
      </c>
      <c r="N57" t="s">
        <v>1631</v>
      </c>
      <c r="O57" t="s">
        <v>1640</v>
      </c>
      <c r="P57" t="s">
        <v>1641</v>
      </c>
      <c r="Q57" t="s">
        <v>1631</v>
      </c>
      <c r="R57" t="s">
        <v>1642</v>
      </c>
      <c r="S57" t="s">
        <v>1643</v>
      </c>
      <c r="T57" t="s">
        <v>1644</v>
      </c>
      <c r="U57" t="s">
        <v>1645</v>
      </c>
      <c r="V57" t="s">
        <v>1631</v>
      </c>
      <c r="W57" t="s">
        <v>1646</v>
      </c>
      <c r="X57" t="s">
        <v>1647</v>
      </c>
      <c r="Y57" t="s">
        <v>1648</v>
      </c>
      <c r="Z57" t="s">
        <v>1649</v>
      </c>
      <c r="AA57" t="s">
        <v>1650</v>
      </c>
      <c r="AB57" t="s">
        <v>1631</v>
      </c>
      <c r="AC57" t="s">
        <v>1651</v>
      </c>
      <c r="AD57" t="s">
        <v>1632</v>
      </c>
      <c r="AE57" t="s">
        <v>1652</v>
      </c>
      <c r="AF57" t="s">
        <v>1632</v>
      </c>
      <c r="AG57" t="s">
        <v>1631</v>
      </c>
      <c r="AH57" t="s">
        <v>1639</v>
      </c>
      <c r="AI57" t="s">
        <v>1653</v>
      </c>
      <c r="AJ57" t="s">
        <v>1654</v>
      </c>
      <c r="AK57" t="s">
        <v>1631</v>
      </c>
      <c r="AL57" t="s">
        <v>1655</v>
      </c>
      <c r="AM57" t="s">
        <v>1656</v>
      </c>
      <c r="AN57" t="s">
        <v>1657</v>
      </c>
      <c r="AO57" t="s">
        <v>1658</v>
      </c>
      <c r="AP57" t="s">
        <v>1659</v>
      </c>
    </row>
    <row r="58" spans="1:42" x14ac:dyDescent="0.25">
      <c r="A58" t="s">
        <v>1660</v>
      </c>
      <c r="B58" t="s">
        <v>1661</v>
      </c>
      <c r="C58" t="s">
        <v>1662</v>
      </c>
      <c r="D58" t="s">
        <v>1663</v>
      </c>
      <c r="E58" t="s">
        <v>1664</v>
      </c>
      <c r="F58" t="s">
        <v>1665</v>
      </c>
      <c r="G58" t="s">
        <v>1666</v>
      </c>
      <c r="H58" t="s">
        <v>1667</v>
      </c>
      <c r="I58" t="s">
        <v>1668</v>
      </c>
      <c r="J58" t="s">
        <v>1669</v>
      </c>
      <c r="K58" t="s">
        <v>1670</v>
      </c>
      <c r="L58" t="s">
        <v>1671</v>
      </c>
      <c r="M58" t="s">
        <v>1672</v>
      </c>
      <c r="N58" t="s">
        <v>1673</v>
      </c>
      <c r="O58" t="s">
        <v>1674</v>
      </c>
      <c r="P58" t="s">
        <v>1675</v>
      </c>
      <c r="Q58" t="s">
        <v>1671</v>
      </c>
      <c r="R58" t="s">
        <v>1676</v>
      </c>
      <c r="S58" t="s">
        <v>1677</v>
      </c>
      <c r="T58" t="s">
        <v>1660</v>
      </c>
      <c r="U58" t="s">
        <v>1673</v>
      </c>
      <c r="V58" t="s">
        <v>1660</v>
      </c>
      <c r="W58" t="s">
        <v>1678</v>
      </c>
      <c r="X58" t="s">
        <v>1679</v>
      </c>
      <c r="Y58" t="s">
        <v>1669</v>
      </c>
      <c r="Z58" t="s">
        <v>1680</v>
      </c>
      <c r="AA58" t="s">
        <v>1681</v>
      </c>
      <c r="AB58" t="s">
        <v>1673</v>
      </c>
      <c r="AC58" t="s">
        <v>1682</v>
      </c>
      <c r="AD58" t="s">
        <v>1673</v>
      </c>
      <c r="AE58" t="s">
        <v>1683</v>
      </c>
      <c r="AF58" t="s">
        <v>1673</v>
      </c>
      <c r="AG58" t="s">
        <v>1680</v>
      </c>
      <c r="AH58" t="s">
        <v>1684</v>
      </c>
      <c r="AI58" t="s">
        <v>1669</v>
      </c>
      <c r="AJ58" t="s">
        <v>1683</v>
      </c>
      <c r="AK58" t="s">
        <v>1671</v>
      </c>
      <c r="AL58" t="s">
        <v>1685</v>
      </c>
      <c r="AM58" t="s">
        <v>1664</v>
      </c>
      <c r="AN58" t="s">
        <v>1686</v>
      </c>
      <c r="AO58" t="s">
        <v>1687</v>
      </c>
      <c r="AP58" t="s">
        <v>1688</v>
      </c>
    </row>
    <row r="59" spans="1:42" x14ac:dyDescent="0.25">
      <c r="A59" t="s">
        <v>1689</v>
      </c>
      <c r="B59" t="s">
        <v>1690</v>
      </c>
      <c r="C59" t="s">
        <v>1691</v>
      </c>
      <c r="D59" t="s">
        <v>1692</v>
      </c>
      <c r="E59" t="s">
        <v>1690</v>
      </c>
      <c r="F59" t="s">
        <v>1693</v>
      </c>
      <c r="G59" t="s">
        <v>1694</v>
      </c>
      <c r="H59" t="s">
        <v>1695</v>
      </c>
      <c r="I59" t="s">
        <v>1695</v>
      </c>
      <c r="J59" t="s">
        <v>1690</v>
      </c>
      <c r="K59" t="s">
        <v>1690</v>
      </c>
      <c r="L59" t="s">
        <v>1689</v>
      </c>
      <c r="M59" t="s">
        <v>1689</v>
      </c>
      <c r="N59" t="s">
        <v>1689</v>
      </c>
      <c r="O59" t="s">
        <v>1689</v>
      </c>
      <c r="P59" t="s">
        <v>1696</v>
      </c>
      <c r="Q59" t="s">
        <v>1690</v>
      </c>
      <c r="R59" t="s">
        <v>1697</v>
      </c>
      <c r="S59" t="s">
        <v>1698</v>
      </c>
      <c r="T59" t="s">
        <v>1690</v>
      </c>
      <c r="U59" t="s">
        <v>1690</v>
      </c>
      <c r="V59" t="s">
        <v>1690</v>
      </c>
      <c r="W59" t="s">
        <v>1689</v>
      </c>
      <c r="X59" t="s">
        <v>1699</v>
      </c>
      <c r="Y59" t="s">
        <v>1690</v>
      </c>
      <c r="Z59" t="s">
        <v>1693</v>
      </c>
      <c r="AA59" t="s">
        <v>1690</v>
      </c>
      <c r="AB59" t="s">
        <v>1689</v>
      </c>
      <c r="AC59" t="s">
        <v>1700</v>
      </c>
      <c r="AD59" t="s">
        <v>1690</v>
      </c>
      <c r="AE59" t="s">
        <v>1701</v>
      </c>
      <c r="AF59" t="s">
        <v>1689</v>
      </c>
      <c r="AG59" t="s">
        <v>1693</v>
      </c>
      <c r="AH59" t="s">
        <v>1690</v>
      </c>
      <c r="AI59" t="s">
        <v>1690</v>
      </c>
      <c r="AJ59" t="s">
        <v>1701</v>
      </c>
      <c r="AK59" t="s">
        <v>1689</v>
      </c>
      <c r="AL59" t="s">
        <v>1702</v>
      </c>
      <c r="AM59" t="s">
        <v>1690</v>
      </c>
      <c r="AN59" t="s">
        <v>1689</v>
      </c>
      <c r="AO59" t="s">
        <v>1693</v>
      </c>
      <c r="AP59" t="s">
        <v>1703</v>
      </c>
    </row>
    <row r="60" spans="1:42" x14ac:dyDescent="0.25">
      <c r="A60" t="s">
        <v>1704</v>
      </c>
      <c r="B60" t="s">
        <v>1705</v>
      </c>
      <c r="C60" t="s">
        <v>1706</v>
      </c>
      <c r="D60" t="s">
        <v>1707</v>
      </c>
      <c r="E60" t="s">
        <v>1708</v>
      </c>
      <c r="F60" t="s">
        <v>1709</v>
      </c>
      <c r="G60" t="s">
        <v>1710</v>
      </c>
      <c r="H60" t="s">
        <v>1711</v>
      </c>
      <c r="I60" t="s">
        <v>1711</v>
      </c>
      <c r="J60" t="s">
        <v>1712</v>
      </c>
      <c r="K60" t="s">
        <v>1712</v>
      </c>
      <c r="L60" t="s">
        <v>1713</v>
      </c>
      <c r="M60" t="s">
        <v>1713</v>
      </c>
      <c r="N60" t="s">
        <v>1713</v>
      </c>
      <c r="O60" t="s">
        <v>1714</v>
      </c>
      <c r="P60" t="s">
        <v>1715</v>
      </c>
      <c r="Q60" t="s">
        <v>1713</v>
      </c>
      <c r="R60" t="s">
        <v>1716</v>
      </c>
      <c r="S60" t="s">
        <v>1717</v>
      </c>
      <c r="T60" t="s">
        <v>1718</v>
      </c>
      <c r="U60" t="s">
        <v>1712</v>
      </c>
      <c r="V60" t="s">
        <v>1718</v>
      </c>
      <c r="W60" t="s">
        <v>1719</v>
      </c>
      <c r="X60" t="s">
        <v>1720</v>
      </c>
      <c r="Y60" t="s">
        <v>1721</v>
      </c>
      <c r="Z60" t="s">
        <v>1709</v>
      </c>
      <c r="AA60" t="s">
        <v>1722</v>
      </c>
      <c r="AB60" t="s">
        <v>1713</v>
      </c>
      <c r="AC60" t="s">
        <v>1723</v>
      </c>
      <c r="AD60" t="s">
        <v>1712</v>
      </c>
      <c r="AE60" t="s">
        <v>1724</v>
      </c>
      <c r="AF60" t="s">
        <v>1714</v>
      </c>
      <c r="AG60" t="s">
        <v>1709</v>
      </c>
      <c r="AH60" t="s">
        <v>1712</v>
      </c>
      <c r="AI60" t="s">
        <v>1712</v>
      </c>
      <c r="AJ60" t="s">
        <v>1725</v>
      </c>
      <c r="AK60" t="s">
        <v>1726</v>
      </c>
      <c r="AL60" t="s">
        <v>1727</v>
      </c>
      <c r="AM60" t="s">
        <v>1728</v>
      </c>
      <c r="AN60" t="s">
        <v>1704</v>
      </c>
      <c r="AO60" t="s">
        <v>1729</v>
      </c>
      <c r="AP60" t="s">
        <v>1723</v>
      </c>
    </row>
    <row r="61" spans="1:42" x14ac:dyDescent="0.25">
      <c r="A61" t="s">
        <v>1730</v>
      </c>
      <c r="B61" t="s">
        <v>1731</v>
      </c>
      <c r="C61" t="s">
        <v>1732</v>
      </c>
      <c r="D61" t="s">
        <v>1733</v>
      </c>
      <c r="E61" t="s">
        <v>1734</v>
      </c>
      <c r="F61" t="s">
        <v>1735</v>
      </c>
      <c r="G61" t="s">
        <v>1736</v>
      </c>
      <c r="H61" t="s">
        <v>1737</v>
      </c>
      <c r="I61" t="s">
        <v>1738</v>
      </c>
      <c r="J61" t="s">
        <v>1739</v>
      </c>
      <c r="K61" t="s">
        <v>1740</v>
      </c>
      <c r="L61" t="s">
        <v>1741</v>
      </c>
      <c r="M61" t="s">
        <v>1742</v>
      </c>
      <c r="N61" t="s">
        <v>1743</v>
      </c>
      <c r="O61" t="s">
        <v>1744</v>
      </c>
      <c r="P61" t="s">
        <v>1745</v>
      </c>
      <c r="Q61" t="s">
        <v>1741</v>
      </c>
      <c r="R61" t="s">
        <v>1746</v>
      </c>
      <c r="S61" t="s">
        <v>1747</v>
      </c>
      <c r="T61" t="s">
        <v>1748</v>
      </c>
      <c r="U61" t="s">
        <v>1749</v>
      </c>
      <c r="V61" t="s">
        <v>1730</v>
      </c>
      <c r="W61" t="s">
        <v>1750</v>
      </c>
      <c r="X61" t="s">
        <v>1751</v>
      </c>
      <c r="Y61" t="s">
        <v>1752</v>
      </c>
      <c r="Z61" t="s">
        <v>1753</v>
      </c>
      <c r="AA61" t="s">
        <v>1754</v>
      </c>
      <c r="AB61" t="s">
        <v>1743</v>
      </c>
      <c r="AC61" t="s">
        <v>1755</v>
      </c>
      <c r="AD61" t="s">
        <v>1756</v>
      </c>
      <c r="AE61" t="s">
        <v>1757</v>
      </c>
      <c r="AF61" t="s">
        <v>1758</v>
      </c>
      <c r="AG61" t="s">
        <v>1753</v>
      </c>
      <c r="AH61" t="s">
        <v>1759</v>
      </c>
      <c r="AI61" t="s">
        <v>1760</v>
      </c>
      <c r="AJ61" t="s">
        <v>1761</v>
      </c>
      <c r="AK61" t="s">
        <v>1741</v>
      </c>
      <c r="AL61" t="s">
        <v>1762</v>
      </c>
      <c r="AM61" t="s">
        <v>1763</v>
      </c>
      <c r="AN61" t="s">
        <v>1730</v>
      </c>
      <c r="AO61" t="s">
        <v>1764</v>
      </c>
      <c r="AP61" t="s">
        <v>1765</v>
      </c>
    </row>
    <row r="62" spans="1:42" x14ac:dyDescent="0.25">
      <c r="A62" t="s">
        <v>1766</v>
      </c>
      <c r="B62" t="s">
        <v>1767</v>
      </c>
      <c r="C62" t="s">
        <v>1768</v>
      </c>
      <c r="D62" t="s">
        <v>1769</v>
      </c>
      <c r="E62" t="s">
        <v>1770</v>
      </c>
      <c r="F62" t="s">
        <v>1771</v>
      </c>
      <c r="G62" t="s">
        <v>1772</v>
      </c>
      <c r="H62" t="s">
        <v>1773</v>
      </c>
      <c r="I62" t="s">
        <v>1773</v>
      </c>
      <c r="J62" t="s">
        <v>1766</v>
      </c>
      <c r="K62" t="s">
        <v>1774</v>
      </c>
      <c r="L62" t="s">
        <v>1775</v>
      </c>
      <c r="M62" t="s">
        <v>1776</v>
      </c>
      <c r="N62" t="s">
        <v>1777</v>
      </c>
      <c r="O62" t="s">
        <v>1778</v>
      </c>
      <c r="P62" t="s">
        <v>1779</v>
      </c>
      <c r="Q62" t="s">
        <v>1775</v>
      </c>
      <c r="R62" t="s">
        <v>1780</v>
      </c>
      <c r="S62" t="s">
        <v>1781</v>
      </c>
      <c r="T62" t="s">
        <v>1782</v>
      </c>
      <c r="U62" t="s">
        <v>1766</v>
      </c>
      <c r="V62" t="s">
        <v>1783</v>
      </c>
      <c r="W62" t="s">
        <v>1784</v>
      </c>
      <c r="X62" t="s">
        <v>1785</v>
      </c>
      <c r="Y62" t="s">
        <v>1786</v>
      </c>
      <c r="Z62" t="s">
        <v>1787</v>
      </c>
      <c r="AA62" t="s">
        <v>1788</v>
      </c>
      <c r="AB62" t="s">
        <v>1772</v>
      </c>
      <c r="AC62" t="s">
        <v>1789</v>
      </c>
      <c r="AD62" t="s">
        <v>1790</v>
      </c>
      <c r="AE62" t="s">
        <v>1772</v>
      </c>
      <c r="AF62" t="s">
        <v>1791</v>
      </c>
      <c r="AG62" t="s">
        <v>1766</v>
      </c>
      <c r="AH62" t="s">
        <v>1782</v>
      </c>
      <c r="AI62" t="s">
        <v>1786</v>
      </c>
      <c r="AJ62" t="s">
        <v>1772</v>
      </c>
      <c r="AK62" t="s">
        <v>1775</v>
      </c>
      <c r="AL62" t="s">
        <v>1792</v>
      </c>
      <c r="AM62" t="s">
        <v>1793</v>
      </c>
      <c r="AN62" t="s">
        <v>1794</v>
      </c>
      <c r="AO62" t="s">
        <v>1795</v>
      </c>
      <c r="AP62" t="s">
        <v>1796</v>
      </c>
    </row>
    <row r="63" spans="1:42" x14ac:dyDescent="0.25">
      <c r="A63" t="s">
        <v>1797</v>
      </c>
      <c r="B63" t="s">
        <v>1797</v>
      </c>
      <c r="C63" t="s">
        <v>1798</v>
      </c>
      <c r="D63" t="s">
        <v>1799</v>
      </c>
      <c r="E63" t="s">
        <v>1800</v>
      </c>
      <c r="F63" t="s">
        <v>1801</v>
      </c>
      <c r="G63" t="s">
        <v>1802</v>
      </c>
      <c r="H63" t="s">
        <v>1803</v>
      </c>
      <c r="I63" t="s">
        <v>1804</v>
      </c>
      <c r="J63" t="s">
        <v>1805</v>
      </c>
      <c r="K63" t="s">
        <v>1806</v>
      </c>
      <c r="L63" t="s">
        <v>1807</v>
      </c>
      <c r="M63" t="s">
        <v>1808</v>
      </c>
      <c r="N63" t="s">
        <v>1797</v>
      </c>
      <c r="O63" t="s">
        <v>1809</v>
      </c>
      <c r="P63" t="s">
        <v>1810</v>
      </c>
      <c r="Q63" t="s">
        <v>1807</v>
      </c>
      <c r="R63" t="s">
        <v>1811</v>
      </c>
      <c r="S63" t="s">
        <v>1812</v>
      </c>
      <c r="T63" t="s">
        <v>1813</v>
      </c>
      <c r="U63" t="s">
        <v>1797</v>
      </c>
      <c r="V63" t="s">
        <v>1814</v>
      </c>
      <c r="W63" t="s">
        <v>1797</v>
      </c>
      <c r="X63" t="s">
        <v>1815</v>
      </c>
      <c r="Y63" t="s">
        <v>1816</v>
      </c>
      <c r="Z63" t="s">
        <v>1817</v>
      </c>
      <c r="AA63" t="s">
        <v>1818</v>
      </c>
      <c r="AB63" t="s">
        <v>1797</v>
      </c>
      <c r="AC63" t="s">
        <v>1819</v>
      </c>
      <c r="AD63" t="s">
        <v>1797</v>
      </c>
      <c r="AE63" t="s">
        <v>1820</v>
      </c>
      <c r="AF63" t="s">
        <v>1797</v>
      </c>
      <c r="AG63" t="s">
        <v>1817</v>
      </c>
      <c r="AH63" t="s">
        <v>1806</v>
      </c>
      <c r="AI63" t="s">
        <v>1805</v>
      </c>
      <c r="AJ63" t="s">
        <v>1797</v>
      </c>
      <c r="AK63" t="s">
        <v>1807</v>
      </c>
      <c r="AL63" t="s">
        <v>1821</v>
      </c>
      <c r="AM63" t="s">
        <v>1822</v>
      </c>
      <c r="AN63" t="s">
        <v>1797</v>
      </c>
      <c r="AO63" t="s">
        <v>1823</v>
      </c>
      <c r="AP63" t="s">
        <v>1824</v>
      </c>
    </row>
    <row r="64" spans="1:42" x14ac:dyDescent="0.25">
      <c r="A64" t="s">
        <v>1825</v>
      </c>
      <c r="B64" t="s">
        <v>1826</v>
      </c>
      <c r="C64" t="s">
        <v>1827</v>
      </c>
      <c r="D64" t="s">
        <v>1828</v>
      </c>
      <c r="E64" t="s">
        <v>1829</v>
      </c>
      <c r="F64" t="s">
        <v>1830</v>
      </c>
      <c r="G64" t="s">
        <v>1831</v>
      </c>
      <c r="H64" t="s">
        <v>1832</v>
      </c>
      <c r="I64" t="s">
        <v>1832</v>
      </c>
      <c r="J64" t="s">
        <v>1833</v>
      </c>
      <c r="K64" t="s">
        <v>1834</v>
      </c>
      <c r="L64" t="s">
        <v>1835</v>
      </c>
      <c r="M64" t="s">
        <v>1836</v>
      </c>
      <c r="N64" t="s">
        <v>1837</v>
      </c>
      <c r="O64" t="s">
        <v>1838</v>
      </c>
      <c r="P64" t="s">
        <v>1825</v>
      </c>
      <c r="Q64" t="s">
        <v>1835</v>
      </c>
      <c r="R64" t="s">
        <v>1839</v>
      </c>
      <c r="S64" t="s">
        <v>1840</v>
      </c>
      <c r="T64" t="s">
        <v>1841</v>
      </c>
      <c r="U64" t="s">
        <v>1842</v>
      </c>
      <c r="V64" t="s">
        <v>1843</v>
      </c>
      <c r="W64" t="s">
        <v>1844</v>
      </c>
      <c r="X64" t="s">
        <v>1845</v>
      </c>
      <c r="Y64" t="s">
        <v>1846</v>
      </c>
      <c r="Z64" t="s">
        <v>1847</v>
      </c>
      <c r="AA64" t="s">
        <v>1848</v>
      </c>
      <c r="AB64" t="s">
        <v>1849</v>
      </c>
      <c r="AC64" t="s">
        <v>1850</v>
      </c>
      <c r="AD64" t="s">
        <v>1851</v>
      </c>
      <c r="AE64" t="s">
        <v>1852</v>
      </c>
      <c r="AF64" t="s">
        <v>1853</v>
      </c>
      <c r="AG64" t="s">
        <v>1854</v>
      </c>
      <c r="AH64" t="s">
        <v>1855</v>
      </c>
      <c r="AI64" t="s">
        <v>1856</v>
      </c>
      <c r="AJ64" t="s">
        <v>1857</v>
      </c>
      <c r="AK64" t="s">
        <v>1835</v>
      </c>
      <c r="AL64" t="s">
        <v>1858</v>
      </c>
      <c r="AM64" t="s">
        <v>1859</v>
      </c>
      <c r="AN64" t="s">
        <v>1860</v>
      </c>
      <c r="AO64" t="s">
        <v>1861</v>
      </c>
      <c r="AP64" t="s">
        <v>1862</v>
      </c>
    </row>
    <row r="65" spans="1:42" x14ac:dyDescent="0.25">
      <c r="A65" t="s">
        <v>1863</v>
      </c>
      <c r="B65" t="s">
        <v>1864</v>
      </c>
      <c r="C65" t="s">
        <v>1865</v>
      </c>
      <c r="D65" t="s">
        <v>1866</v>
      </c>
      <c r="E65" t="s">
        <v>1867</v>
      </c>
      <c r="F65" t="s">
        <v>1868</v>
      </c>
      <c r="G65" t="s">
        <v>1869</v>
      </c>
      <c r="H65" t="s">
        <v>1870</v>
      </c>
      <c r="I65" t="s">
        <v>1871</v>
      </c>
      <c r="J65" t="s">
        <v>1864</v>
      </c>
      <c r="K65" t="s">
        <v>1864</v>
      </c>
      <c r="L65" t="s">
        <v>1864</v>
      </c>
      <c r="M65" t="s">
        <v>1872</v>
      </c>
      <c r="N65" t="s">
        <v>1873</v>
      </c>
      <c r="O65" t="s">
        <v>1873</v>
      </c>
      <c r="P65" t="s">
        <v>1874</v>
      </c>
      <c r="Q65" t="s">
        <v>1864</v>
      </c>
      <c r="R65" t="s">
        <v>1875</v>
      </c>
      <c r="S65" t="s">
        <v>1876</v>
      </c>
      <c r="T65" t="s">
        <v>1864</v>
      </c>
      <c r="U65" t="s">
        <v>1864</v>
      </c>
      <c r="V65" t="s">
        <v>1877</v>
      </c>
      <c r="W65" t="s">
        <v>1869</v>
      </c>
      <c r="X65" t="s">
        <v>1878</v>
      </c>
      <c r="Y65" t="s">
        <v>1879</v>
      </c>
      <c r="Z65" t="s">
        <v>1868</v>
      </c>
      <c r="AA65" t="s">
        <v>1864</v>
      </c>
      <c r="AB65" t="s">
        <v>1864</v>
      </c>
      <c r="AC65" t="s">
        <v>1880</v>
      </c>
      <c r="AD65" t="s">
        <v>1864</v>
      </c>
      <c r="AE65" t="s">
        <v>1881</v>
      </c>
      <c r="AF65" t="s">
        <v>1869</v>
      </c>
      <c r="AG65" t="s">
        <v>1868</v>
      </c>
      <c r="AH65" t="s">
        <v>1864</v>
      </c>
      <c r="AI65" t="s">
        <v>1864</v>
      </c>
      <c r="AJ65" t="s">
        <v>1882</v>
      </c>
      <c r="AK65" t="s">
        <v>1864</v>
      </c>
      <c r="AL65" t="s">
        <v>1883</v>
      </c>
      <c r="AM65" t="s">
        <v>1864</v>
      </c>
      <c r="AN65" t="s">
        <v>1863</v>
      </c>
      <c r="AO65" t="s">
        <v>1868</v>
      </c>
      <c r="AP65" t="s">
        <v>1884</v>
      </c>
    </row>
    <row r="66" spans="1:42" x14ac:dyDescent="0.25">
      <c r="A66" t="s">
        <v>1885</v>
      </c>
      <c r="B66" t="s">
        <v>1886</v>
      </c>
      <c r="C66" t="s">
        <v>1887</v>
      </c>
      <c r="D66" t="s">
        <v>1888</v>
      </c>
      <c r="E66" t="s">
        <v>1889</v>
      </c>
      <c r="F66" t="s">
        <v>1890</v>
      </c>
      <c r="G66" t="s">
        <v>1885</v>
      </c>
      <c r="H66" t="s">
        <v>1891</v>
      </c>
      <c r="I66" t="s">
        <v>1891</v>
      </c>
      <c r="J66" t="s">
        <v>1892</v>
      </c>
      <c r="K66" t="s">
        <v>1893</v>
      </c>
      <c r="L66" t="s">
        <v>1885</v>
      </c>
      <c r="M66" t="s">
        <v>1885</v>
      </c>
      <c r="N66" t="s">
        <v>1885</v>
      </c>
      <c r="O66" t="s">
        <v>1885</v>
      </c>
      <c r="P66" t="s">
        <v>1894</v>
      </c>
      <c r="Q66" t="s">
        <v>1885</v>
      </c>
      <c r="R66" t="s">
        <v>1895</v>
      </c>
      <c r="S66" t="s">
        <v>1896</v>
      </c>
      <c r="T66" t="s">
        <v>1897</v>
      </c>
      <c r="U66" t="s">
        <v>1885</v>
      </c>
      <c r="V66" t="s">
        <v>1885</v>
      </c>
      <c r="W66" t="s">
        <v>1898</v>
      </c>
      <c r="X66" t="s">
        <v>1899</v>
      </c>
      <c r="Y66" t="s">
        <v>1892</v>
      </c>
      <c r="Z66" t="s">
        <v>1900</v>
      </c>
      <c r="AA66" t="s">
        <v>1901</v>
      </c>
      <c r="AB66" t="s">
        <v>1885</v>
      </c>
      <c r="AC66" t="s">
        <v>1902</v>
      </c>
      <c r="AD66" t="s">
        <v>1903</v>
      </c>
      <c r="AE66" t="s">
        <v>1885</v>
      </c>
      <c r="AF66" t="s">
        <v>1903</v>
      </c>
      <c r="AG66" t="s">
        <v>1900</v>
      </c>
      <c r="AH66" t="s">
        <v>1893</v>
      </c>
      <c r="AI66" t="s">
        <v>1904</v>
      </c>
      <c r="AJ66" t="s">
        <v>1885</v>
      </c>
      <c r="AK66" t="s">
        <v>1885</v>
      </c>
      <c r="AL66" t="s">
        <v>1905</v>
      </c>
      <c r="AM66" t="s">
        <v>1906</v>
      </c>
      <c r="AN66" t="s">
        <v>1907</v>
      </c>
      <c r="AO66" t="s">
        <v>1908</v>
      </c>
      <c r="AP66" t="s">
        <v>1909</v>
      </c>
    </row>
    <row r="67" spans="1:42" x14ac:dyDescent="0.25">
      <c r="A67" t="s">
        <v>1910</v>
      </c>
      <c r="B67" t="s">
        <v>1911</v>
      </c>
      <c r="C67" t="s">
        <v>1912</v>
      </c>
      <c r="D67" t="s">
        <v>1913</v>
      </c>
      <c r="E67" t="s">
        <v>1914</v>
      </c>
      <c r="F67" t="s">
        <v>1915</v>
      </c>
      <c r="G67" t="s">
        <v>1910</v>
      </c>
      <c r="H67" t="s">
        <v>1916</v>
      </c>
      <c r="I67" t="s">
        <v>1917</v>
      </c>
      <c r="J67" t="s">
        <v>1918</v>
      </c>
      <c r="K67" t="s">
        <v>1910</v>
      </c>
      <c r="L67" t="s">
        <v>1910</v>
      </c>
      <c r="M67" t="s">
        <v>1910</v>
      </c>
      <c r="N67" t="s">
        <v>1910</v>
      </c>
      <c r="O67" t="s">
        <v>1910</v>
      </c>
      <c r="P67" t="s">
        <v>1919</v>
      </c>
      <c r="Q67" t="s">
        <v>1910</v>
      </c>
      <c r="R67" t="s">
        <v>1920</v>
      </c>
      <c r="S67" t="s">
        <v>1921</v>
      </c>
      <c r="T67" t="s">
        <v>1922</v>
      </c>
      <c r="U67" t="s">
        <v>1910</v>
      </c>
      <c r="V67" t="s">
        <v>1918</v>
      </c>
      <c r="W67" t="s">
        <v>1910</v>
      </c>
      <c r="X67" t="s">
        <v>1923</v>
      </c>
      <c r="Y67" t="s">
        <v>1918</v>
      </c>
      <c r="Z67" t="s">
        <v>1915</v>
      </c>
      <c r="AA67" t="s">
        <v>1910</v>
      </c>
      <c r="AB67" t="s">
        <v>1910</v>
      </c>
      <c r="AC67" t="s">
        <v>1924</v>
      </c>
      <c r="AD67" t="s">
        <v>1910</v>
      </c>
      <c r="AE67" t="s">
        <v>1918</v>
      </c>
      <c r="AF67" t="s">
        <v>1910</v>
      </c>
      <c r="AG67" t="s">
        <v>1915</v>
      </c>
      <c r="AH67" t="s">
        <v>1910</v>
      </c>
      <c r="AI67" t="s">
        <v>1918</v>
      </c>
      <c r="AJ67" t="s">
        <v>1910</v>
      </c>
      <c r="AK67" t="s">
        <v>1910</v>
      </c>
      <c r="AL67" t="s">
        <v>1925</v>
      </c>
      <c r="AM67" t="s">
        <v>1918</v>
      </c>
      <c r="AN67" t="s">
        <v>1910</v>
      </c>
      <c r="AO67" t="s">
        <v>1915</v>
      </c>
      <c r="AP67" t="s">
        <v>1926</v>
      </c>
    </row>
    <row r="68" spans="1:42" x14ac:dyDescent="0.25">
      <c r="A68" t="s">
        <v>1927</v>
      </c>
      <c r="B68" t="s">
        <v>1927</v>
      </c>
      <c r="C68" t="s">
        <v>1928</v>
      </c>
      <c r="D68" t="s">
        <v>1929</v>
      </c>
      <c r="E68" t="s">
        <v>1930</v>
      </c>
      <c r="F68" t="s">
        <v>1931</v>
      </c>
      <c r="G68" t="s">
        <v>1932</v>
      </c>
      <c r="H68" t="s">
        <v>1933</v>
      </c>
      <c r="I68" t="s">
        <v>1934</v>
      </c>
      <c r="J68" t="s">
        <v>1935</v>
      </c>
      <c r="K68" t="s">
        <v>1927</v>
      </c>
      <c r="L68" t="s">
        <v>1927</v>
      </c>
      <c r="M68" t="s">
        <v>1927</v>
      </c>
      <c r="N68" t="s">
        <v>1927</v>
      </c>
      <c r="O68" t="s">
        <v>1927</v>
      </c>
      <c r="P68" t="s">
        <v>1936</v>
      </c>
      <c r="Q68" t="s">
        <v>1927</v>
      </c>
      <c r="R68" t="s">
        <v>1937</v>
      </c>
      <c r="S68" t="s">
        <v>1938</v>
      </c>
      <c r="T68" t="s">
        <v>1927</v>
      </c>
      <c r="U68" t="s">
        <v>1927</v>
      </c>
      <c r="V68" t="s">
        <v>1927</v>
      </c>
      <c r="W68" t="s">
        <v>1927</v>
      </c>
      <c r="X68" t="s">
        <v>1939</v>
      </c>
      <c r="Y68" t="s">
        <v>1940</v>
      </c>
      <c r="Z68" t="s">
        <v>1941</v>
      </c>
      <c r="AA68" t="s">
        <v>1942</v>
      </c>
      <c r="AB68" t="s">
        <v>1927</v>
      </c>
      <c r="AC68" t="s">
        <v>1943</v>
      </c>
      <c r="AD68" t="s">
        <v>1942</v>
      </c>
      <c r="AE68" t="s">
        <v>1932</v>
      </c>
      <c r="AF68" t="s">
        <v>1927</v>
      </c>
      <c r="AG68" t="s">
        <v>1941</v>
      </c>
      <c r="AH68" t="s">
        <v>1944</v>
      </c>
      <c r="AI68" t="s">
        <v>1935</v>
      </c>
      <c r="AJ68" t="s">
        <v>1927</v>
      </c>
      <c r="AK68" t="s">
        <v>1927</v>
      </c>
      <c r="AL68" t="s">
        <v>1945</v>
      </c>
      <c r="AM68" t="s">
        <v>1927</v>
      </c>
      <c r="AN68" t="s">
        <v>1927</v>
      </c>
      <c r="AO68" t="s">
        <v>1931</v>
      </c>
      <c r="AP68" t="s">
        <v>1946</v>
      </c>
    </row>
    <row r="69" spans="1:42" x14ac:dyDescent="0.25">
      <c r="A69" t="s">
        <v>1947</v>
      </c>
      <c r="B69" t="s">
        <v>1947</v>
      </c>
      <c r="C69" t="s">
        <v>1948</v>
      </c>
      <c r="D69" t="s">
        <v>1949</v>
      </c>
      <c r="E69" t="s">
        <v>1950</v>
      </c>
      <c r="F69" t="s">
        <v>1951</v>
      </c>
      <c r="G69" t="s">
        <v>1952</v>
      </c>
      <c r="H69" t="s">
        <v>1953</v>
      </c>
      <c r="I69" t="s">
        <v>1954</v>
      </c>
      <c r="J69" t="s">
        <v>1955</v>
      </c>
      <c r="K69" t="s">
        <v>1956</v>
      </c>
      <c r="L69" t="s">
        <v>1957</v>
      </c>
      <c r="M69" t="s">
        <v>1958</v>
      </c>
      <c r="N69" t="s">
        <v>1959</v>
      </c>
      <c r="O69" t="s">
        <v>1960</v>
      </c>
      <c r="P69" t="s">
        <v>1961</v>
      </c>
      <c r="Q69" t="s">
        <v>1962</v>
      </c>
      <c r="R69" t="s">
        <v>1963</v>
      </c>
      <c r="S69" t="s">
        <v>1964</v>
      </c>
      <c r="T69" t="s">
        <v>1965</v>
      </c>
      <c r="U69" t="s">
        <v>1966</v>
      </c>
      <c r="V69" t="s">
        <v>1967</v>
      </c>
      <c r="W69" t="s">
        <v>1968</v>
      </c>
      <c r="X69" t="s">
        <v>1969</v>
      </c>
      <c r="Y69" t="s">
        <v>1970</v>
      </c>
      <c r="Z69" t="s">
        <v>1971</v>
      </c>
      <c r="AA69" t="s">
        <v>1972</v>
      </c>
      <c r="AB69" t="s">
        <v>1973</v>
      </c>
      <c r="AC69" t="s">
        <v>1974</v>
      </c>
      <c r="AD69" t="s">
        <v>1975</v>
      </c>
      <c r="AE69" t="s">
        <v>1976</v>
      </c>
      <c r="AF69" t="s">
        <v>1977</v>
      </c>
      <c r="AG69" t="s">
        <v>1978</v>
      </c>
      <c r="AH69" t="s">
        <v>1979</v>
      </c>
      <c r="AI69" t="s">
        <v>1955</v>
      </c>
      <c r="AJ69" t="s">
        <v>1952</v>
      </c>
      <c r="AK69" t="s">
        <v>1957</v>
      </c>
      <c r="AL69" t="s">
        <v>1980</v>
      </c>
      <c r="AM69" t="s">
        <v>1981</v>
      </c>
      <c r="AN69" t="s">
        <v>1982</v>
      </c>
      <c r="AO69" t="s">
        <v>1983</v>
      </c>
      <c r="AP69" t="s">
        <v>1984</v>
      </c>
    </row>
    <row r="70" spans="1:42" x14ac:dyDescent="0.25">
      <c r="A70" t="s">
        <v>1985</v>
      </c>
      <c r="B70" t="s">
        <v>1986</v>
      </c>
      <c r="C70" t="s">
        <v>1987</v>
      </c>
      <c r="D70" t="s">
        <v>1988</v>
      </c>
      <c r="E70" t="s">
        <v>1989</v>
      </c>
      <c r="F70" t="s">
        <v>1990</v>
      </c>
      <c r="G70" t="s">
        <v>1991</v>
      </c>
      <c r="H70" t="s">
        <v>1992</v>
      </c>
      <c r="I70" t="s">
        <v>1992</v>
      </c>
      <c r="J70" t="s">
        <v>1993</v>
      </c>
      <c r="K70" t="s">
        <v>1994</v>
      </c>
      <c r="L70" t="s">
        <v>1995</v>
      </c>
      <c r="M70" t="s">
        <v>1996</v>
      </c>
      <c r="N70" t="s">
        <v>1997</v>
      </c>
      <c r="O70" t="s">
        <v>1997</v>
      </c>
      <c r="P70" t="s">
        <v>1998</v>
      </c>
      <c r="Q70" t="s">
        <v>1999</v>
      </c>
      <c r="R70" t="s">
        <v>2000</v>
      </c>
      <c r="S70" t="s">
        <v>2001</v>
      </c>
      <c r="T70" t="s">
        <v>2002</v>
      </c>
      <c r="U70" t="s">
        <v>2003</v>
      </c>
      <c r="V70" t="s">
        <v>2004</v>
      </c>
      <c r="W70" t="s">
        <v>2005</v>
      </c>
      <c r="X70" t="s">
        <v>2006</v>
      </c>
      <c r="Y70" t="s">
        <v>2007</v>
      </c>
      <c r="Z70" t="s">
        <v>2008</v>
      </c>
      <c r="AA70" t="s">
        <v>2009</v>
      </c>
      <c r="AB70" t="s">
        <v>2010</v>
      </c>
      <c r="AC70" t="s">
        <v>2011</v>
      </c>
      <c r="AD70" t="s">
        <v>2012</v>
      </c>
      <c r="AE70" t="s">
        <v>2013</v>
      </c>
      <c r="AF70" t="s">
        <v>2014</v>
      </c>
      <c r="AG70" t="s">
        <v>2008</v>
      </c>
      <c r="AH70" t="s">
        <v>2015</v>
      </c>
      <c r="AI70" t="s">
        <v>1993</v>
      </c>
      <c r="AJ70" t="s">
        <v>2016</v>
      </c>
      <c r="AK70" t="s">
        <v>1995</v>
      </c>
      <c r="AL70" t="s">
        <v>2017</v>
      </c>
      <c r="AM70" t="s">
        <v>2018</v>
      </c>
      <c r="AN70" t="s">
        <v>2019</v>
      </c>
      <c r="AO70" t="s">
        <v>2020</v>
      </c>
      <c r="AP70" t="s">
        <v>2021</v>
      </c>
    </row>
    <row r="71" spans="1:42" x14ac:dyDescent="0.25">
      <c r="A71" t="s">
        <v>2022</v>
      </c>
      <c r="B71" t="s">
        <v>2023</v>
      </c>
      <c r="C71" t="s">
        <v>2024</v>
      </c>
      <c r="D71" t="s">
        <v>2025</v>
      </c>
      <c r="E71" t="s">
        <v>2026</v>
      </c>
      <c r="F71" t="s">
        <v>2027</v>
      </c>
      <c r="G71" t="s">
        <v>2028</v>
      </c>
      <c r="H71" t="s">
        <v>2029</v>
      </c>
      <c r="I71" t="s">
        <v>2030</v>
      </c>
      <c r="J71" t="s">
        <v>2031</v>
      </c>
      <c r="K71" t="s">
        <v>2032</v>
      </c>
      <c r="L71" t="s">
        <v>2033</v>
      </c>
      <c r="M71" t="s">
        <v>2034</v>
      </c>
      <c r="N71" t="s">
        <v>2035</v>
      </c>
      <c r="O71" t="s">
        <v>2035</v>
      </c>
      <c r="P71" t="s">
        <v>2036</v>
      </c>
      <c r="Q71" t="s">
        <v>2037</v>
      </c>
      <c r="R71" t="s">
        <v>2038</v>
      </c>
      <c r="S71" t="s">
        <v>2039</v>
      </c>
      <c r="T71" t="s">
        <v>2040</v>
      </c>
      <c r="U71" t="s">
        <v>2041</v>
      </c>
      <c r="V71" t="s">
        <v>2042</v>
      </c>
      <c r="W71" t="s">
        <v>2043</v>
      </c>
      <c r="X71" t="s">
        <v>2044</v>
      </c>
      <c r="Y71" t="s">
        <v>2045</v>
      </c>
      <c r="Z71" t="s">
        <v>2027</v>
      </c>
      <c r="AA71" t="s">
        <v>2046</v>
      </c>
      <c r="AB71" t="s">
        <v>2047</v>
      </c>
      <c r="AC71" t="s">
        <v>2048</v>
      </c>
      <c r="AD71" t="s">
        <v>2049</v>
      </c>
      <c r="AE71" t="s">
        <v>2050</v>
      </c>
      <c r="AF71" t="s">
        <v>2051</v>
      </c>
      <c r="AG71" t="s">
        <v>2027</v>
      </c>
      <c r="AH71" t="s">
        <v>2032</v>
      </c>
      <c r="AI71" t="s">
        <v>2052</v>
      </c>
      <c r="AJ71" t="s">
        <v>2053</v>
      </c>
      <c r="AK71" t="s">
        <v>2054</v>
      </c>
      <c r="AL71" t="s">
        <v>2055</v>
      </c>
      <c r="AM71" t="s">
        <v>2056</v>
      </c>
      <c r="AN71" t="s">
        <v>2057</v>
      </c>
      <c r="AO71" t="s">
        <v>2058</v>
      </c>
      <c r="AP71" t="s">
        <v>2059</v>
      </c>
    </row>
    <row r="72" spans="1:42" x14ac:dyDescent="0.25">
      <c r="A72" t="s">
        <v>2060</v>
      </c>
      <c r="B72" t="s">
        <v>2061</v>
      </c>
      <c r="C72" t="s">
        <v>2062</v>
      </c>
      <c r="D72" t="s">
        <v>2063</v>
      </c>
      <c r="E72" t="s">
        <v>2064</v>
      </c>
      <c r="F72" t="s">
        <v>2065</v>
      </c>
      <c r="G72" t="s">
        <v>2066</v>
      </c>
      <c r="H72" t="s">
        <v>2067</v>
      </c>
      <c r="I72" t="s">
        <v>2068</v>
      </c>
      <c r="J72" t="s">
        <v>2069</v>
      </c>
      <c r="K72" t="s">
        <v>2070</v>
      </c>
      <c r="L72" t="s">
        <v>2071</v>
      </c>
      <c r="M72" t="s">
        <v>2072</v>
      </c>
      <c r="N72" t="s">
        <v>2073</v>
      </c>
      <c r="O72" t="s">
        <v>2073</v>
      </c>
      <c r="P72" t="s">
        <v>2074</v>
      </c>
      <c r="Q72" t="s">
        <v>2075</v>
      </c>
      <c r="R72" t="s">
        <v>2076</v>
      </c>
      <c r="S72" t="s">
        <v>2077</v>
      </c>
      <c r="T72" t="s">
        <v>2078</v>
      </c>
      <c r="U72" t="s">
        <v>2079</v>
      </c>
      <c r="V72" t="s">
        <v>2080</v>
      </c>
      <c r="W72" t="s">
        <v>2081</v>
      </c>
      <c r="X72" t="s">
        <v>2082</v>
      </c>
      <c r="Y72" t="s">
        <v>2083</v>
      </c>
      <c r="Z72" t="s">
        <v>2084</v>
      </c>
      <c r="AA72" t="s">
        <v>2085</v>
      </c>
      <c r="AB72" t="s">
        <v>2086</v>
      </c>
      <c r="AC72" t="s">
        <v>2087</v>
      </c>
      <c r="AD72" t="s">
        <v>2088</v>
      </c>
      <c r="AE72" t="s">
        <v>2089</v>
      </c>
      <c r="AF72" t="s">
        <v>2090</v>
      </c>
      <c r="AG72" t="s">
        <v>2084</v>
      </c>
      <c r="AH72" t="s">
        <v>2070</v>
      </c>
      <c r="AI72" t="s">
        <v>2091</v>
      </c>
      <c r="AJ72" t="s">
        <v>2092</v>
      </c>
      <c r="AK72" t="s">
        <v>2093</v>
      </c>
      <c r="AL72" t="s">
        <v>2094</v>
      </c>
      <c r="AM72" t="s">
        <v>2095</v>
      </c>
      <c r="AN72" t="s">
        <v>2096</v>
      </c>
      <c r="AO72" t="s">
        <v>2097</v>
      </c>
      <c r="AP72" t="s">
        <v>2098</v>
      </c>
    </row>
    <row r="73" spans="1:42" x14ac:dyDescent="0.25">
      <c r="A73" t="s">
        <v>2099</v>
      </c>
      <c r="B73" t="s">
        <v>2099</v>
      </c>
      <c r="C73" t="s">
        <v>2100</v>
      </c>
      <c r="D73" t="s">
        <v>2101</v>
      </c>
      <c r="E73" t="s">
        <v>2099</v>
      </c>
      <c r="F73" t="s">
        <v>2102</v>
      </c>
      <c r="G73" t="s">
        <v>2103</v>
      </c>
      <c r="H73" t="s">
        <v>2104</v>
      </c>
      <c r="I73" t="s">
        <v>2104</v>
      </c>
      <c r="J73" t="s">
        <v>2099</v>
      </c>
      <c r="K73" t="s">
        <v>2099</v>
      </c>
      <c r="L73" t="s">
        <v>2099</v>
      </c>
      <c r="M73" t="s">
        <v>2105</v>
      </c>
      <c r="N73" t="s">
        <v>2105</v>
      </c>
      <c r="O73" t="s">
        <v>2105</v>
      </c>
      <c r="P73" t="s">
        <v>2106</v>
      </c>
      <c r="Q73" t="s">
        <v>2099</v>
      </c>
      <c r="R73" t="s">
        <v>2107</v>
      </c>
      <c r="S73" t="s">
        <v>2108</v>
      </c>
      <c r="T73" t="s">
        <v>2099</v>
      </c>
      <c r="U73" t="s">
        <v>2099</v>
      </c>
      <c r="V73" t="s">
        <v>2109</v>
      </c>
      <c r="W73" t="s">
        <v>2099</v>
      </c>
      <c r="X73" t="s">
        <v>2110</v>
      </c>
      <c r="Y73" t="s">
        <v>2111</v>
      </c>
      <c r="Z73" t="s">
        <v>2102</v>
      </c>
      <c r="AA73" t="s">
        <v>2112</v>
      </c>
      <c r="AB73" t="s">
        <v>2099</v>
      </c>
      <c r="AC73" t="s">
        <v>2113</v>
      </c>
      <c r="AD73" t="s">
        <v>2099</v>
      </c>
      <c r="AE73" t="s">
        <v>2099</v>
      </c>
      <c r="AF73" t="s">
        <v>2099</v>
      </c>
      <c r="AG73" t="s">
        <v>2102</v>
      </c>
      <c r="AH73" t="s">
        <v>2099</v>
      </c>
      <c r="AI73" t="s">
        <v>2099</v>
      </c>
      <c r="AJ73" t="s">
        <v>2103</v>
      </c>
      <c r="AK73" t="s">
        <v>2099</v>
      </c>
      <c r="AL73" t="s">
        <v>2114</v>
      </c>
      <c r="AM73" t="s">
        <v>2099</v>
      </c>
      <c r="AN73" t="s">
        <v>2099</v>
      </c>
      <c r="AO73" t="s">
        <v>2115</v>
      </c>
      <c r="AP73" t="s">
        <v>2116</v>
      </c>
    </row>
    <row r="74" spans="1:42" x14ac:dyDescent="0.25">
      <c r="A74" t="s">
        <v>2117</v>
      </c>
      <c r="B74" t="s">
        <v>2118</v>
      </c>
      <c r="C74" t="s">
        <v>2119</v>
      </c>
      <c r="D74" t="s">
        <v>2120</v>
      </c>
      <c r="E74" t="s">
        <v>2121</v>
      </c>
      <c r="F74" t="s">
        <v>2122</v>
      </c>
      <c r="G74" t="s">
        <v>2123</v>
      </c>
      <c r="H74" t="s">
        <v>2124</v>
      </c>
      <c r="I74" t="s">
        <v>2125</v>
      </c>
      <c r="J74" t="s">
        <v>2126</v>
      </c>
      <c r="K74" t="s">
        <v>2127</v>
      </c>
      <c r="L74" t="s">
        <v>2128</v>
      </c>
      <c r="M74" t="s">
        <v>2129</v>
      </c>
      <c r="N74" t="s">
        <v>2130</v>
      </c>
      <c r="O74" t="s">
        <v>2130</v>
      </c>
      <c r="P74" t="s">
        <v>2131</v>
      </c>
      <c r="Q74" t="s">
        <v>2132</v>
      </c>
      <c r="R74" t="s">
        <v>2133</v>
      </c>
      <c r="S74" t="s">
        <v>2134</v>
      </c>
      <c r="T74" t="s">
        <v>2135</v>
      </c>
      <c r="U74" t="s">
        <v>2136</v>
      </c>
      <c r="V74" t="s">
        <v>2128</v>
      </c>
      <c r="W74" t="s">
        <v>2137</v>
      </c>
      <c r="X74" t="s">
        <v>2138</v>
      </c>
      <c r="Y74" t="s">
        <v>2139</v>
      </c>
      <c r="Z74" t="s">
        <v>2140</v>
      </c>
      <c r="AA74" t="s">
        <v>2141</v>
      </c>
      <c r="AB74" t="s">
        <v>2142</v>
      </c>
      <c r="AC74" t="s">
        <v>2143</v>
      </c>
      <c r="AD74" t="s">
        <v>2144</v>
      </c>
      <c r="AE74" t="s">
        <v>2145</v>
      </c>
      <c r="AF74" t="s">
        <v>2146</v>
      </c>
      <c r="AG74" t="s">
        <v>2140</v>
      </c>
      <c r="AH74" t="s">
        <v>2147</v>
      </c>
      <c r="AI74" t="s">
        <v>2126</v>
      </c>
      <c r="AJ74" t="s">
        <v>2148</v>
      </c>
      <c r="AK74" t="s">
        <v>2142</v>
      </c>
      <c r="AL74" t="s">
        <v>2149</v>
      </c>
      <c r="AM74" t="s">
        <v>2150</v>
      </c>
      <c r="AN74" t="s">
        <v>2117</v>
      </c>
      <c r="AO74" t="s">
        <v>2151</v>
      </c>
      <c r="AP74" t="s">
        <v>2152</v>
      </c>
    </row>
    <row r="75" spans="1:42" x14ac:dyDescent="0.25">
      <c r="A75" t="s">
        <v>2153</v>
      </c>
      <c r="B75" t="s">
        <v>2154</v>
      </c>
      <c r="C75" t="s">
        <v>2155</v>
      </c>
      <c r="D75" t="s">
        <v>2156</v>
      </c>
      <c r="E75" t="s">
        <v>2157</v>
      </c>
      <c r="F75" t="s">
        <v>2158</v>
      </c>
      <c r="G75" t="s">
        <v>2154</v>
      </c>
      <c r="H75" t="s">
        <v>2159</v>
      </c>
      <c r="I75" t="s">
        <v>2159</v>
      </c>
      <c r="J75" t="s">
        <v>2160</v>
      </c>
      <c r="K75" t="s">
        <v>2153</v>
      </c>
      <c r="L75" t="s">
        <v>2153</v>
      </c>
      <c r="M75" t="s">
        <v>2153</v>
      </c>
      <c r="N75" t="s">
        <v>2153</v>
      </c>
      <c r="O75" t="s">
        <v>2153</v>
      </c>
      <c r="P75" t="s">
        <v>2161</v>
      </c>
      <c r="Q75" t="s">
        <v>2153</v>
      </c>
      <c r="R75" t="s">
        <v>2162</v>
      </c>
      <c r="S75" t="s">
        <v>2163</v>
      </c>
      <c r="T75" t="s">
        <v>2153</v>
      </c>
      <c r="U75" t="s">
        <v>2153</v>
      </c>
      <c r="V75" t="s">
        <v>2164</v>
      </c>
      <c r="W75" t="s">
        <v>2153</v>
      </c>
      <c r="X75" t="s">
        <v>2165</v>
      </c>
      <c r="Y75" t="s">
        <v>2166</v>
      </c>
      <c r="Z75" t="s">
        <v>2167</v>
      </c>
      <c r="AA75" t="s">
        <v>2168</v>
      </c>
      <c r="AB75" t="s">
        <v>2153</v>
      </c>
      <c r="AC75" t="s">
        <v>2169</v>
      </c>
      <c r="AD75" t="s">
        <v>2168</v>
      </c>
      <c r="AE75" t="s">
        <v>2154</v>
      </c>
      <c r="AF75" t="s">
        <v>2153</v>
      </c>
      <c r="AG75" t="s">
        <v>2167</v>
      </c>
      <c r="AH75" t="s">
        <v>2170</v>
      </c>
      <c r="AI75" t="s">
        <v>2160</v>
      </c>
      <c r="AJ75" t="s">
        <v>2153</v>
      </c>
      <c r="AK75" t="s">
        <v>2153</v>
      </c>
      <c r="AL75" t="s">
        <v>2171</v>
      </c>
      <c r="AM75" t="s">
        <v>2153</v>
      </c>
      <c r="AN75" t="s">
        <v>2153</v>
      </c>
      <c r="AO75" t="s">
        <v>2158</v>
      </c>
      <c r="AP75" t="s">
        <v>2172</v>
      </c>
    </row>
    <row r="76" spans="1:42" x14ac:dyDescent="0.25">
      <c r="A76" t="s">
        <v>2173</v>
      </c>
      <c r="B76" t="s">
        <v>2174</v>
      </c>
      <c r="C76" t="s">
        <v>2175</v>
      </c>
      <c r="D76" t="s">
        <v>2176</v>
      </c>
      <c r="E76" t="s">
        <v>2177</v>
      </c>
      <c r="F76" t="s">
        <v>2178</v>
      </c>
      <c r="G76" t="s">
        <v>2179</v>
      </c>
      <c r="H76" t="s">
        <v>2180</v>
      </c>
      <c r="I76" t="s">
        <v>2180</v>
      </c>
      <c r="J76" t="s">
        <v>2181</v>
      </c>
      <c r="K76" t="s">
        <v>2182</v>
      </c>
      <c r="L76" t="s">
        <v>2183</v>
      </c>
      <c r="M76" t="s">
        <v>2184</v>
      </c>
      <c r="N76" t="s">
        <v>2185</v>
      </c>
      <c r="O76" t="s">
        <v>2185</v>
      </c>
      <c r="P76" t="s">
        <v>2186</v>
      </c>
      <c r="Q76" t="s">
        <v>2187</v>
      </c>
      <c r="R76" t="s">
        <v>2188</v>
      </c>
      <c r="S76" t="s">
        <v>2189</v>
      </c>
      <c r="T76" t="s">
        <v>2190</v>
      </c>
      <c r="U76" t="s">
        <v>2191</v>
      </c>
      <c r="V76" t="s">
        <v>2192</v>
      </c>
      <c r="W76" t="s">
        <v>2193</v>
      </c>
      <c r="X76" t="s">
        <v>2194</v>
      </c>
      <c r="Y76" t="s">
        <v>2195</v>
      </c>
      <c r="Z76" t="s">
        <v>2196</v>
      </c>
      <c r="AA76" t="s">
        <v>2195</v>
      </c>
      <c r="AB76" t="s">
        <v>2197</v>
      </c>
      <c r="AC76" t="s">
        <v>2198</v>
      </c>
      <c r="AD76" t="s">
        <v>2199</v>
      </c>
      <c r="AE76" t="s">
        <v>2179</v>
      </c>
      <c r="AF76" t="s">
        <v>2200</v>
      </c>
      <c r="AG76" t="s">
        <v>2201</v>
      </c>
      <c r="AH76" t="s">
        <v>2182</v>
      </c>
      <c r="AI76" t="s">
        <v>2202</v>
      </c>
      <c r="AJ76" t="s">
        <v>2203</v>
      </c>
      <c r="AK76" t="s">
        <v>2204</v>
      </c>
      <c r="AL76" t="s">
        <v>2205</v>
      </c>
      <c r="AM76" t="s">
        <v>2206</v>
      </c>
      <c r="AN76" t="s">
        <v>2207</v>
      </c>
      <c r="AO76" t="s">
        <v>2208</v>
      </c>
      <c r="AP76" t="s">
        <v>2209</v>
      </c>
    </row>
    <row r="77" spans="1:42" x14ac:dyDescent="0.25">
      <c r="A77" t="s">
        <v>2210</v>
      </c>
      <c r="B77" t="s">
        <v>2211</v>
      </c>
      <c r="C77" t="s">
        <v>2212</v>
      </c>
      <c r="D77" t="s">
        <v>2213</v>
      </c>
      <c r="E77" t="s">
        <v>2214</v>
      </c>
      <c r="F77" t="s">
        <v>2215</v>
      </c>
      <c r="G77" t="s">
        <v>2210</v>
      </c>
      <c r="H77" t="s">
        <v>2216</v>
      </c>
      <c r="I77" t="s">
        <v>2217</v>
      </c>
      <c r="J77" t="s">
        <v>2210</v>
      </c>
      <c r="K77" t="s">
        <v>2210</v>
      </c>
      <c r="L77" t="s">
        <v>2210</v>
      </c>
      <c r="M77" t="s">
        <v>2218</v>
      </c>
      <c r="N77" t="s">
        <v>2210</v>
      </c>
      <c r="O77" t="s">
        <v>2210</v>
      </c>
      <c r="P77" t="s">
        <v>2219</v>
      </c>
      <c r="Q77" t="s">
        <v>2210</v>
      </c>
      <c r="R77" t="s">
        <v>2220</v>
      </c>
      <c r="S77" t="s">
        <v>2221</v>
      </c>
      <c r="T77" t="s">
        <v>2210</v>
      </c>
      <c r="U77" t="s">
        <v>2210</v>
      </c>
      <c r="V77" t="s">
        <v>2210</v>
      </c>
      <c r="W77" t="s">
        <v>2210</v>
      </c>
      <c r="X77" t="s">
        <v>2222</v>
      </c>
      <c r="Y77" t="s">
        <v>2223</v>
      </c>
      <c r="Z77" t="s">
        <v>2224</v>
      </c>
      <c r="AA77" t="s">
        <v>2210</v>
      </c>
      <c r="AB77" t="s">
        <v>2210</v>
      </c>
      <c r="AC77" t="s">
        <v>2225</v>
      </c>
      <c r="AD77" t="s">
        <v>2210</v>
      </c>
      <c r="AE77" t="s">
        <v>2210</v>
      </c>
      <c r="AF77" t="s">
        <v>2210</v>
      </c>
      <c r="AG77" t="s">
        <v>2224</v>
      </c>
      <c r="AH77" t="s">
        <v>2210</v>
      </c>
      <c r="AI77" t="s">
        <v>2210</v>
      </c>
      <c r="AJ77" t="s">
        <v>2226</v>
      </c>
      <c r="AK77" t="s">
        <v>2210</v>
      </c>
      <c r="AL77" t="s">
        <v>2227</v>
      </c>
      <c r="AM77" t="s">
        <v>2210</v>
      </c>
      <c r="AN77" t="s">
        <v>2210</v>
      </c>
      <c r="AO77" t="s">
        <v>2215</v>
      </c>
      <c r="AP77" t="s">
        <v>2210</v>
      </c>
    </row>
    <row r="78" spans="1:42" x14ac:dyDescent="0.25">
      <c r="A78" t="s">
        <v>2228</v>
      </c>
      <c r="B78" t="s">
        <v>2229</v>
      </c>
      <c r="C78" t="s">
        <v>2230</v>
      </c>
      <c r="D78" t="s">
        <v>2231</v>
      </c>
      <c r="E78" t="s">
        <v>2232</v>
      </c>
      <c r="F78" t="s">
        <v>2233</v>
      </c>
      <c r="G78" t="s">
        <v>2234</v>
      </c>
      <c r="H78" t="s">
        <v>2235</v>
      </c>
      <c r="I78" t="s">
        <v>2235</v>
      </c>
      <c r="J78" t="s">
        <v>2236</v>
      </c>
      <c r="K78" t="s">
        <v>2237</v>
      </c>
      <c r="L78" t="s">
        <v>2238</v>
      </c>
      <c r="M78" t="s">
        <v>2239</v>
      </c>
      <c r="N78" t="s">
        <v>2240</v>
      </c>
      <c r="O78" t="s">
        <v>2240</v>
      </c>
      <c r="P78" t="s">
        <v>2241</v>
      </c>
      <c r="Q78" t="s">
        <v>2242</v>
      </c>
      <c r="R78" t="s">
        <v>2243</v>
      </c>
      <c r="S78" t="s">
        <v>2244</v>
      </c>
      <c r="T78" t="s">
        <v>2245</v>
      </c>
      <c r="U78" t="s">
        <v>2246</v>
      </c>
      <c r="V78" t="s">
        <v>2247</v>
      </c>
      <c r="W78" t="s">
        <v>2248</v>
      </c>
      <c r="X78" t="s">
        <v>2249</v>
      </c>
      <c r="Y78" t="s">
        <v>2250</v>
      </c>
      <c r="Z78" t="s">
        <v>2251</v>
      </c>
      <c r="AA78" t="s">
        <v>2252</v>
      </c>
      <c r="AB78" t="s">
        <v>2238</v>
      </c>
      <c r="AC78" t="s">
        <v>2253</v>
      </c>
      <c r="AD78" t="s">
        <v>2254</v>
      </c>
      <c r="AE78" t="s">
        <v>2255</v>
      </c>
      <c r="AF78" t="s">
        <v>2256</v>
      </c>
      <c r="AG78" t="s">
        <v>2257</v>
      </c>
      <c r="AH78" t="s">
        <v>2258</v>
      </c>
      <c r="AI78" t="s">
        <v>2259</v>
      </c>
      <c r="AJ78" t="s">
        <v>2260</v>
      </c>
      <c r="AK78" t="s">
        <v>2261</v>
      </c>
      <c r="AL78" t="s">
        <v>2262</v>
      </c>
      <c r="AM78" t="s">
        <v>2263</v>
      </c>
      <c r="AN78" t="s">
        <v>2264</v>
      </c>
      <c r="AO78" t="s">
        <v>2265</v>
      </c>
      <c r="AP78" t="s">
        <v>2266</v>
      </c>
    </row>
    <row r="79" spans="1:42" x14ac:dyDescent="0.25">
      <c r="A79" t="s">
        <v>2267</v>
      </c>
      <c r="B79" t="s">
        <v>2268</v>
      </c>
      <c r="C79" t="s">
        <v>2269</v>
      </c>
      <c r="D79" t="s">
        <v>2270</v>
      </c>
      <c r="E79" t="s">
        <v>2271</v>
      </c>
      <c r="F79" t="s">
        <v>2272</v>
      </c>
      <c r="G79" t="s">
        <v>2273</v>
      </c>
      <c r="H79" t="s">
        <v>2274</v>
      </c>
      <c r="I79" t="s">
        <v>2274</v>
      </c>
      <c r="J79" t="s">
        <v>2275</v>
      </c>
      <c r="K79" t="s">
        <v>2276</v>
      </c>
      <c r="L79" t="s">
        <v>2277</v>
      </c>
      <c r="M79" t="s">
        <v>2278</v>
      </c>
      <c r="N79" t="s">
        <v>2279</v>
      </c>
      <c r="O79" t="s">
        <v>2279</v>
      </c>
      <c r="P79" t="s">
        <v>2280</v>
      </c>
      <c r="Q79" t="s">
        <v>2281</v>
      </c>
      <c r="R79" t="s">
        <v>2282</v>
      </c>
      <c r="S79" t="s">
        <v>2283</v>
      </c>
      <c r="T79" t="s">
        <v>2284</v>
      </c>
      <c r="U79" t="s">
        <v>2285</v>
      </c>
      <c r="V79" t="s">
        <v>2286</v>
      </c>
      <c r="W79" t="s">
        <v>2287</v>
      </c>
      <c r="X79" t="s">
        <v>2288</v>
      </c>
      <c r="Y79" t="s">
        <v>2289</v>
      </c>
      <c r="Z79" t="s">
        <v>2290</v>
      </c>
      <c r="AA79" t="s">
        <v>2291</v>
      </c>
      <c r="AB79" t="s">
        <v>2277</v>
      </c>
      <c r="AC79" t="s">
        <v>2292</v>
      </c>
      <c r="AD79" t="s">
        <v>2293</v>
      </c>
      <c r="AE79" t="s">
        <v>2294</v>
      </c>
      <c r="AF79" t="s">
        <v>2295</v>
      </c>
      <c r="AG79" t="s">
        <v>2290</v>
      </c>
      <c r="AH79" t="s">
        <v>2276</v>
      </c>
      <c r="AI79" t="s">
        <v>2275</v>
      </c>
      <c r="AJ79" t="s">
        <v>2296</v>
      </c>
      <c r="AK79" t="s">
        <v>2277</v>
      </c>
      <c r="AL79" t="s">
        <v>2297</v>
      </c>
      <c r="AM79" t="s">
        <v>2271</v>
      </c>
      <c r="AN79" t="s">
        <v>2298</v>
      </c>
      <c r="AO79" t="s">
        <v>2299</v>
      </c>
      <c r="AP79" t="s">
        <v>2300</v>
      </c>
    </row>
    <row r="80" spans="1:42" x14ac:dyDescent="0.25">
      <c r="A80" t="s">
        <v>2301</v>
      </c>
      <c r="B80" t="s">
        <v>2302</v>
      </c>
      <c r="C80" t="s">
        <v>2303</v>
      </c>
      <c r="D80" t="s">
        <v>2304</v>
      </c>
      <c r="E80" t="s">
        <v>2305</v>
      </c>
      <c r="F80" t="s">
        <v>2306</v>
      </c>
      <c r="G80" t="s">
        <v>2307</v>
      </c>
      <c r="H80" t="s">
        <v>2308</v>
      </c>
      <c r="I80" t="s">
        <v>2308</v>
      </c>
      <c r="J80" t="s">
        <v>2309</v>
      </c>
      <c r="K80" t="s">
        <v>2301</v>
      </c>
      <c r="L80" t="s">
        <v>2310</v>
      </c>
      <c r="M80" t="s">
        <v>2311</v>
      </c>
      <c r="N80" t="s">
        <v>2311</v>
      </c>
      <c r="O80" t="s">
        <v>2311</v>
      </c>
      <c r="P80" t="s">
        <v>2312</v>
      </c>
      <c r="Q80" t="s">
        <v>2313</v>
      </c>
      <c r="R80" t="s">
        <v>2314</v>
      </c>
      <c r="S80" t="s">
        <v>2315</v>
      </c>
      <c r="T80" t="s">
        <v>2316</v>
      </c>
      <c r="U80" t="s">
        <v>2317</v>
      </c>
      <c r="V80" t="s">
        <v>2318</v>
      </c>
      <c r="W80" t="s">
        <v>2319</v>
      </c>
      <c r="X80" t="s">
        <v>2320</v>
      </c>
      <c r="Y80" t="s">
        <v>2321</v>
      </c>
      <c r="Z80" t="s">
        <v>2306</v>
      </c>
      <c r="AA80" t="s">
        <v>2322</v>
      </c>
      <c r="AB80" t="s">
        <v>2301</v>
      </c>
      <c r="AC80" t="s">
        <v>2303</v>
      </c>
      <c r="AD80" t="s">
        <v>2323</v>
      </c>
      <c r="AE80" t="s">
        <v>2324</v>
      </c>
      <c r="AF80" t="s">
        <v>2323</v>
      </c>
      <c r="AG80" t="s">
        <v>2325</v>
      </c>
      <c r="AH80" t="s">
        <v>2301</v>
      </c>
      <c r="AI80" t="s">
        <v>2323</v>
      </c>
      <c r="AJ80" t="s">
        <v>2326</v>
      </c>
      <c r="AK80" t="s">
        <v>2310</v>
      </c>
      <c r="AL80" t="s">
        <v>2327</v>
      </c>
      <c r="AM80" t="s">
        <v>2328</v>
      </c>
      <c r="AN80" t="s">
        <v>2329</v>
      </c>
      <c r="AO80" t="s">
        <v>2330</v>
      </c>
      <c r="AP80" t="s">
        <v>2303</v>
      </c>
    </row>
    <row r="81" spans="1:42" x14ac:dyDescent="0.25">
      <c r="A81" t="s">
        <v>2331</v>
      </c>
      <c r="B81" t="s">
        <v>2332</v>
      </c>
      <c r="C81" t="s">
        <v>2333</v>
      </c>
      <c r="D81" t="s">
        <v>2334</v>
      </c>
      <c r="E81" t="s">
        <v>2335</v>
      </c>
      <c r="F81" t="s">
        <v>2336</v>
      </c>
      <c r="G81" t="s">
        <v>2337</v>
      </c>
      <c r="H81" t="s">
        <v>2338</v>
      </c>
      <c r="I81" t="s">
        <v>2339</v>
      </c>
      <c r="J81" t="s">
        <v>2340</v>
      </c>
      <c r="K81" t="s">
        <v>2341</v>
      </c>
      <c r="L81" t="s">
        <v>2331</v>
      </c>
      <c r="M81" t="s">
        <v>2342</v>
      </c>
      <c r="N81" t="s">
        <v>2343</v>
      </c>
      <c r="O81" t="s">
        <v>2343</v>
      </c>
      <c r="P81" t="s">
        <v>2344</v>
      </c>
      <c r="Q81" t="s">
        <v>2345</v>
      </c>
      <c r="R81" t="s">
        <v>2346</v>
      </c>
      <c r="S81" t="s">
        <v>2347</v>
      </c>
      <c r="T81" t="s">
        <v>2348</v>
      </c>
      <c r="U81" t="s">
        <v>2349</v>
      </c>
      <c r="V81" t="s">
        <v>2350</v>
      </c>
      <c r="W81" t="s">
        <v>2351</v>
      </c>
      <c r="X81" t="s">
        <v>2352</v>
      </c>
      <c r="Y81" t="s">
        <v>2353</v>
      </c>
      <c r="Z81" t="s">
        <v>2354</v>
      </c>
      <c r="AA81" t="s">
        <v>2331</v>
      </c>
      <c r="AB81" t="s">
        <v>2331</v>
      </c>
      <c r="AC81" t="s">
        <v>2355</v>
      </c>
      <c r="AD81" t="s">
        <v>2356</v>
      </c>
      <c r="AE81" t="s">
        <v>2357</v>
      </c>
      <c r="AF81" t="s">
        <v>2358</v>
      </c>
      <c r="AG81" t="s">
        <v>2359</v>
      </c>
      <c r="AH81" t="s">
        <v>2341</v>
      </c>
      <c r="AI81" t="s">
        <v>2360</v>
      </c>
      <c r="AJ81" t="s">
        <v>2361</v>
      </c>
      <c r="AK81" t="s">
        <v>2362</v>
      </c>
      <c r="AL81" t="s">
        <v>2363</v>
      </c>
      <c r="AM81" t="s">
        <v>2364</v>
      </c>
      <c r="AN81" t="s">
        <v>2331</v>
      </c>
      <c r="AO81" t="s">
        <v>2365</v>
      </c>
      <c r="AP81" t="s">
        <v>2366</v>
      </c>
    </row>
    <row r="82" spans="1:42" x14ac:dyDescent="0.25">
      <c r="A82" t="s">
        <v>2367</v>
      </c>
      <c r="B82" t="s">
        <v>2368</v>
      </c>
      <c r="C82" t="s">
        <v>2369</v>
      </c>
      <c r="D82" t="s">
        <v>2370</v>
      </c>
      <c r="E82" t="s">
        <v>2371</v>
      </c>
      <c r="F82" t="s">
        <v>2372</v>
      </c>
      <c r="G82" t="s">
        <v>2373</v>
      </c>
      <c r="H82" t="s">
        <v>2374</v>
      </c>
      <c r="I82" t="s">
        <v>2375</v>
      </c>
      <c r="J82" t="s">
        <v>2376</v>
      </c>
      <c r="K82" t="s">
        <v>2377</v>
      </c>
      <c r="L82" t="s">
        <v>2378</v>
      </c>
      <c r="M82" t="s">
        <v>2379</v>
      </c>
      <c r="N82" t="s">
        <v>2380</v>
      </c>
      <c r="O82" t="s">
        <v>2380</v>
      </c>
      <c r="P82" t="s">
        <v>2381</v>
      </c>
      <c r="Q82" t="s">
        <v>2378</v>
      </c>
      <c r="R82" t="s">
        <v>2382</v>
      </c>
      <c r="S82" t="s">
        <v>2383</v>
      </c>
      <c r="T82" t="s">
        <v>2384</v>
      </c>
      <c r="U82" t="s">
        <v>2385</v>
      </c>
      <c r="V82" t="s">
        <v>2386</v>
      </c>
      <c r="W82" t="s">
        <v>2387</v>
      </c>
      <c r="X82" t="s">
        <v>2388</v>
      </c>
      <c r="Y82" t="s">
        <v>2389</v>
      </c>
      <c r="Z82" t="s">
        <v>2390</v>
      </c>
      <c r="AA82" t="s">
        <v>2378</v>
      </c>
      <c r="AB82" t="s">
        <v>2391</v>
      </c>
      <c r="AC82" t="s">
        <v>2392</v>
      </c>
      <c r="AD82" t="s">
        <v>2393</v>
      </c>
      <c r="AE82" t="s">
        <v>2394</v>
      </c>
      <c r="AF82" t="s">
        <v>2395</v>
      </c>
      <c r="AG82" t="s">
        <v>2396</v>
      </c>
      <c r="AH82" t="s">
        <v>2377</v>
      </c>
      <c r="AI82" t="s">
        <v>2397</v>
      </c>
      <c r="AJ82" t="s">
        <v>2394</v>
      </c>
      <c r="AK82" t="s">
        <v>2378</v>
      </c>
      <c r="AL82" t="s">
        <v>2398</v>
      </c>
      <c r="AM82" t="s">
        <v>2399</v>
      </c>
      <c r="AN82" t="s">
        <v>2367</v>
      </c>
      <c r="AO82" t="s">
        <v>2400</v>
      </c>
      <c r="AP82" t="s">
        <v>2401</v>
      </c>
    </row>
    <row r="83" spans="1:42" x14ac:dyDescent="0.25">
      <c r="A83" t="s">
        <v>2402</v>
      </c>
      <c r="B83" t="s">
        <v>2403</v>
      </c>
      <c r="C83" t="s">
        <v>2404</v>
      </c>
      <c r="D83" t="s">
        <v>2405</v>
      </c>
      <c r="E83" t="s">
        <v>2406</v>
      </c>
      <c r="F83" t="s">
        <v>2407</v>
      </c>
      <c r="G83" t="s">
        <v>2402</v>
      </c>
      <c r="H83" t="s">
        <v>2408</v>
      </c>
      <c r="I83" t="s">
        <v>2408</v>
      </c>
      <c r="J83" t="s">
        <v>2409</v>
      </c>
      <c r="K83" t="s">
        <v>2410</v>
      </c>
      <c r="L83" t="s">
        <v>2409</v>
      </c>
      <c r="M83" t="s">
        <v>2409</v>
      </c>
      <c r="N83" t="s">
        <v>2409</v>
      </c>
      <c r="O83" t="s">
        <v>2409</v>
      </c>
      <c r="P83" t="s">
        <v>2411</v>
      </c>
      <c r="Q83" t="s">
        <v>2409</v>
      </c>
      <c r="R83" t="s">
        <v>2412</v>
      </c>
      <c r="S83" t="s">
        <v>2413</v>
      </c>
      <c r="T83" t="s">
        <v>2409</v>
      </c>
      <c r="U83" t="s">
        <v>2409</v>
      </c>
      <c r="V83" t="s">
        <v>2414</v>
      </c>
      <c r="W83" t="s">
        <v>2402</v>
      </c>
      <c r="X83" t="s">
        <v>2415</v>
      </c>
      <c r="Y83" t="s">
        <v>2416</v>
      </c>
      <c r="Z83" t="s">
        <v>2407</v>
      </c>
      <c r="AA83" t="s">
        <v>2417</v>
      </c>
      <c r="AB83" t="s">
        <v>2409</v>
      </c>
      <c r="AC83" t="s">
        <v>2418</v>
      </c>
      <c r="AD83" t="s">
        <v>2409</v>
      </c>
      <c r="AE83" t="s">
        <v>2419</v>
      </c>
      <c r="AF83" t="s">
        <v>2409</v>
      </c>
      <c r="AG83" t="s">
        <v>2407</v>
      </c>
      <c r="AH83" t="s">
        <v>2409</v>
      </c>
      <c r="AI83" t="s">
        <v>2409</v>
      </c>
      <c r="AJ83" t="s">
        <v>2409</v>
      </c>
      <c r="AK83" t="s">
        <v>2409</v>
      </c>
      <c r="AL83" t="s">
        <v>2420</v>
      </c>
      <c r="AM83" t="s">
        <v>2409</v>
      </c>
      <c r="AN83" t="s">
        <v>2402</v>
      </c>
      <c r="AO83" t="s">
        <v>2421</v>
      </c>
      <c r="AP83" t="s">
        <v>2418</v>
      </c>
    </row>
    <row r="84" spans="1:42" x14ac:dyDescent="0.25">
      <c r="A84" t="s">
        <v>2422</v>
      </c>
      <c r="B84" t="s">
        <v>2423</v>
      </c>
      <c r="C84" t="s">
        <v>2424</v>
      </c>
      <c r="D84" t="s">
        <v>2425</v>
      </c>
      <c r="E84" t="s">
        <v>2426</v>
      </c>
      <c r="F84" t="s">
        <v>2427</v>
      </c>
      <c r="G84" t="s">
        <v>2428</v>
      </c>
      <c r="H84" t="s">
        <v>2429</v>
      </c>
      <c r="I84" t="s">
        <v>2429</v>
      </c>
      <c r="J84" t="s">
        <v>2430</v>
      </c>
      <c r="K84" t="s">
        <v>2431</v>
      </c>
      <c r="L84" t="s">
        <v>2432</v>
      </c>
      <c r="M84" t="s">
        <v>2433</v>
      </c>
      <c r="N84" t="s">
        <v>2434</v>
      </c>
      <c r="O84" t="s">
        <v>2434</v>
      </c>
      <c r="P84" t="s">
        <v>2435</v>
      </c>
      <c r="Q84" t="s">
        <v>2436</v>
      </c>
      <c r="R84" t="s">
        <v>2437</v>
      </c>
      <c r="S84" t="s">
        <v>2438</v>
      </c>
      <c r="T84" t="s">
        <v>2439</v>
      </c>
      <c r="U84" t="s">
        <v>2440</v>
      </c>
      <c r="V84" t="s">
        <v>2441</v>
      </c>
      <c r="W84" t="s">
        <v>2442</v>
      </c>
      <c r="X84" t="s">
        <v>2443</v>
      </c>
      <c r="Y84" t="s">
        <v>2444</v>
      </c>
      <c r="Z84" t="s">
        <v>2445</v>
      </c>
      <c r="AA84" t="s">
        <v>2446</v>
      </c>
      <c r="AB84" t="s">
        <v>2432</v>
      </c>
      <c r="AC84" t="s">
        <v>2447</v>
      </c>
      <c r="AD84" t="s">
        <v>2440</v>
      </c>
      <c r="AE84" t="s">
        <v>2428</v>
      </c>
      <c r="AF84" t="s">
        <v>2442</v>
      </c>
      <c r="AG84" t="s">
        <v>2445</v>
      </c>
      <c r="AH84" t="s">
        <v>2448</v>
      </c>
      <c r="AI84" t="s">
        <v>2430</v>
      </c>
      <c r="AJ84" t="s">
        <v>2428</v>
      </c>
      <c r="AK84" t="s">
        <v>2432</v>
      </c>
      <c r="AL84" t="s">
        <v>2449</v>
      </c>
      <c r="AM84" t="s">
        <v>2426</v>
      </c>
      <c r="AN84" t="s">
        <v>2450</v>
      </c>
      <c r="AO84" t="s">
        <v>2451</v>
      </c>
      <c r="AP84" t="s">
        <v>2452</v>
      </c>
    </row>
    <row r="85" spans="1:42" x14ac:dyDescent="0.25">
      <c r="A85" t="s">
        <v>2453</v>
      </c>
      <c r="B85" t="s">
        <v>2454</v>
      </c>
      <c r="C85" t="s">
        <v>2455</v>
      </c>
      <c r="D85" t="s">
        <v>2456</v>
      </c>
      <c r="E85" t="s">
        <v>2457</v>
      </c>
      <c r="F85" t="s">
        <v>2458</v>
      </c>
      <c r="G85" t="s">
        <v>2459</v>
      </c>
      <c r="H85" t="s">
        <v>2460</v>
      </c>
      <c r="I85" t="s">
        <v>2461</v>
      </c>
      <c r="J85" t="s">
        <v>2462</v>
      </c>
      <c r="K85" t="s">
        <v>2463</v>
      </c>
      <c r="L85" t="s">
        <v>2464</v>
      </c>
      <c r="M85" t="s">
        <v>2465</v>
      </c>
      <c r="N85" t="s">
        <v>2466</v>
      </c>
      <c r="O85" t="s">
        <v>2466</v>
      </c>
      <c r="P85" t="s">
        <v>2467</v>
      </c>
      <c r="Q85" t="s">
        <v>2468</v>
      </c>
      <c r="R85" t="s">
        <v>2469</v>
      </c>
      <c r="S85" t="s">
        <v>2470</v>
      </c>
      <c r="T85" t="s">
        <v>2471</v>
      </c>
      <c r="U85" t="s">
        <v>2472</v>
      </c>
      <c r="V85" t="s">
        <v>2473</v>
      </c>
      <c r="W85" t="s">
        <v>2453</v>
      </c>
      <c r="X85" t="s">
        <v>2474</v>
      </c>
      <c r="Y85" t="s">
        <v>2475</v>
      </c>
      <c r="Z85" t="s">
        <v>2458</v>
      </c>
      <c r="AA85" t="s">
        <v>2476</v>
      </c>
      <c r="AB85" t="s">
        <v>2477</v>
      </c>
      <c r="AC85" t="s">
        <v>2478</v>
      </c>
      <c r="AD85" t="s">
        <v>2479</v>
      </c>
      <c r="AE85" t="s">
        <v>2480</v>
      </c>
      <c r="AF85" t="s">
        <v>2453</v>
      </c>
      <c r="AG85" t="s">
        <v>2458</v>
      </c>
      <c r="AH85" t="s">
        <v>2463</v>
      </c>
      <c r="AI85" t="s">
        <v>2481</v>
      </c>
      <c r="AJ85" t="s">
        <v>2482</v>
      </c>
      <c r="AK85" t="s">
        <v>2464</v>
      </c>
      <c r="AL85" t="s">
        <v>2483</v>
      </c>
      <c r="AM85" t="s">
        <v>2484</v>
      </c>
      <c r="AN85" t="s">
        <v>2453</v>
      </c>
      <c r="AO85" t="s">
        <v>2458</v>
      </c>
      <c r="AP85" t="s">
        <v>2455</v>
      </c>
    </row>
    <row r="86" spans="1:42" x14ac:dyDescent="0.25">
      <c r="A86" t="s">
        <v>2485</v>
      </c>
      <c r="B86" t="s">
        <v>2486</v>
      </c>
      <c r="C86" t="s">
        <v>2487</v>
      </c>
      <c r="D86" t="s">
        <v>2488</v>
      </c>
      <c r="E86" t="s">
        <v>2489</v>
      </c>
      <c r="F86" t="s">
        <v>2490</v>
      </c>
      <c r="G86" t="s">
        <v>2491</v>
      </c>
      <c r="H86" t="s">
        <v>2492</v>
      </c>
      <c r="I86" t="s">
        <v>2493</v>
      </c>
      <c r="J86" t="s">
        <v>2494</v>
      </c>
      <c r="K86" t="s">
        <v>2495</v>
      </c>
      <c r="L86" t="s">
        <v>2496</v>
      </c>
      <c r="M86" t="s">
        <v>2497</v>
      </c>
      <c r="N86" t="s">
        <v>2498</v>
      </c>
      <c r="O86" t="s">
        <v>2498</v>
      </c>
      <c r="P86" t="s">
        <v>2499</v>
      </c>
      <c r="Q86" t="s">
        <v>2500</v>
      </c>
      <c r="R86" t="s">
        <v>2501</v>
      </c>
      <c r="S86" t="s">
        <v>2502</v>
      </c>
      <c r="T86" t="s">
        <v>2503</v>
      </c>
      <c r="U86" t="s">
        <v>2485</v>
      </c>
      <c r="V86" t="s">
        <v>2504</v>
      </c>
      <c r="W86" t="s">
        <v>2485</v>
      </c>
      <c r="X86" t="s">
        <v>2505</v>
      </c>
      <c r="Y86" t="s">
        <v>2494</v>
      </c>
      <c r="Z86" t="s">
        <v>2506</v>
      </c>
      <c r="AA86" t="s">
        <v>2507</v>
      </c>
      <c r="AB86" t="s">
        <v>2508</v>
      </c>
      <c r="AC86" t="s">
        <v>2509</v>
      </c>
      <c r="AD86" t="s">
        <v>2485</v>
      </c>
      <c r="AE86" t="s">
        <v>2510</v>
      </c>
      <c r="AF86" t="s">
        <v>2485</v>
      </c>
      <c r="AG86" t="s">
        <v>2511</v>
      </c>
      <c r="AH86" t="s">
        <v>2512</v>
      </c>
      <c r="AI86" t="s">
        <v>2513</v>
      </c>
      <c r="AJ86" t="s">
        <v>2485</v>
      </c>
      <c r="AK86" t="s">
        <v>2514</v>
      </c>
      <c r="AL86" t="s">
        <v>2515</v>
      </c>
      <c r="AM86" t="s">
        <v>2516</v>
      </c>
      <c r="AN86" t="s">
        <v>2517</v>
      </c>
      <c r="AO86" t="s">
        <v>2518</v>
      </c>
      <c r="AP86" t="s">
        <v>2519</v>
      </c>
    </row>
    <row r="87" spans="1:42" x14ac:dyDescent="0.25">
      <c r="A87" t="s">
        <v>2520</v>
      </c>
      <c r="B87" t="s">
        <v>2521</v>
      </c>
      <c r="C87" t="s">
        <v>2522</v>
      </c>
      <c r="D87" t="s">
        <v>2523</v>
      </c>
      <c r="E87" t="s">
        <v>2524</v>
      </c>
      <c r="F87" t="s">
        <v>2525</v>
      </c>
      <c r="G87" t="s">
        <v>2526</v>
      </c>
      <c r="H87" t="s">
        <v>2527</v>
      </c>
      <c r="I87" t="s">
        <v>2528</v>
      </c>
      <c r="J87" t="s">
        <v>2520</v>
      </c>
      <c r="K87" t="s">
        <v>2529</v>
      </c>
      <c r="L87" t="s">
        <v>2520</v>
      </c>
      <c r="M87" t="s">
        <v>2530</v>
      </c>
      <c r="N87" t="s">
        <v>2531</v>
      </c>
      <c r="O87" t="s">
        <v>2531</v>
      </c>
      <c r="P87" t="s">
        <v>2532</v>
      </c>
      <c r="Q87" t="s">
        <v>2533</v>
      </c>
      <c r="R87" t="s">
        <v>2534</v>
      </c>
      <c r="S87" t="s">
        <v>2535</v>
      </c>
      <c r="T87" t="s">
        <v>2536</v>
      </c>
      <c r="U87" t="s">
        <v>2537</v>
      </c>
      <c r="V87" t="s">
        <v>2538</v>
      </c>
      <c r="W87" t="s">
        <v>2539</v>
      </c>
      <c r="X87" t="s">
        <v>2540</v>
      </c>
      <c r="Y87" t="s">
        <v>2541</v>
      </c>
      <c r="Z87" t="s">
        <v>2542</v>
      </c>
      <c r="AA87" t="s">
        <v>2543</v>
      </c>
      <c r="AB87" t="s">
        <v>2520</v>
      </c>
      <c r="AC87" t="s">
        <v>2544</v>
      </c>
      <c r="AD87" t="s">
        <v>2521</v>
      </c>
      <c r="AE87" t="s">
        <v>2545</v>
      </c>
      <c r="AF87" t="s">
        <v>2546</v>
      </c>
      <c r="AG87" t="s">
        <v>2542</v>
      </c>
      <c r="AH87" t="s">
        <v>2547</v>
      </c>
      <c r="AI87" t="s">
        <v>2541</v>
      </c>
      <c r="AJ87" t="s">
        <v>2529</v>
      </c>
      <c r="AK87" t="s">
        <v>2533</v>
      </c>
      <c r="AL87" t="s">
        <v>2548</v>
      </c>
      <c r="AM87" t="s">
        <v>2549</v>
      </c>
      <c r="AN87" t="s">
        <v>2520</v>
      </c>
      <c r="AO87" t="s">
        <v>2550</v>
      </c>
      <c r="AP87" t="s">
        <v>2544</v>
      </c>
    </row>
    <row r="88" spans="1:42" x14ac:dyDescent="0.25">
      <c r="A88" t="s">
        <v>2551</v>
      </c>
      <c r="B88" t="s">
        <v>2552</v>
      </c>
      <c r="C88" t="s">
        <v>2553</v>
      </c>
      <c r="D88" t="s">
        <v>2554</v>
      </c>
      <c r="E88" t="s">
        <v>2555</v>
      </c>
      <c r="F88" t="s">
        <v>2556</v>
      </c>
      <c r="G88" t="s">
        <v>2557</v>
      </c>
      <c r="H88" t="s">
        <v>2558</v>
      </c>
      <c r="I88" t="s">
        <v>2559</v>
      </c>
      <c r="J88" t="s">
        <v>2560</v>
      </c>
      <c r="K88" t="s">
        <v>2560</v>
      </c>
      <c r="L88" t="s">
        <v>2551</v>
      </c>
      <c r="M88" t="s">
        <v>2551</v>
      </c>
      <c r="N88" t="s">
        <v>2557</v>
      </c>
      <c r="O88" t="s">
        <v>2557</v>
      </c>
      <c r="P88" t="s">
        <v>2561</v>
      </c>
      <c r="Q88" t="s">
        <v>2560</v>
      </c>
      <c r="R88" t="s">
        <v>2562</v>
      </c>
      <c r="S88" t="s">
        <v>2563</v>
      </c>
      <c r="T88" t="s">
        <v>2564</v>
      </c>
      <c r="U88" t="s">
        <v>2565</v>
      </c>
      <c r="V88" t="s">
        <v>2566</v>
      </c>
      <c r="W88" t="s">
        <v>2557</v>
      </c>
      <c r="X88" t="s">
        <v>2567</v>
      </c>
      <c r="Y88" t="s">
        <v>2568</v>
      </c>
      <c r="Z88" t="s">
        <v>2556</v>
      </c>
      <c r="AA88" t="s">
        <v>2569</v>
      </c>
      <c r="AB88" t="s">
        <v>2560</v>
      </c>
      <c r="AC88" t="s">
        <v>2570</v>
      </c>
      <c r="AD88" t="s">
        <v>2571</v>
      </c>
      <c r="AE88" t="s">
        <v>2557</v>
      </c>
      <c r="AF88" t="s">
        <v>2557</v>
      </c>
      <c r="AG88" t="s">
        <v>2556</v>
      </c>
      <c r="AH88" t="s">
        <v>2560</v>
      </c>
      <c r="AI88" t="s">
        <v>2560</v>
      </c>
      <c r="AJ88" t="s">
        <v>2557</v>
      </c>
      <c r="AK88" t="s">
        <v>2560</v>
      </c>
      <c r="AL88" t="s">
        <v>2572</v>
      </c>
      <c r="AM88" t="s">
        <v>2573</v>
      </c>
      <c r="AN88" t="s">
        <v>2574</v>
      </c>
      <c r="AO88" t="s">
        <v>2556</v>
      </c>
      <c r="AP88" t="s">
        <v>2575</v>
      </c>
    </row>
    <row r="89" spans="1:42" x14ac:dyDescent="0.25">
      <c r="A89" t="s">
        <v>2576</v>
      </c>
      <c r="B89" t="s">
        <v>2577</v>
      </c>
      <c r="C89" t="s">
        <v>2578</v>
      </c>
      <c r="D89" t="s">
        <v>2579</v>
      </c>
      <c r="E89" t="s">
        <v>2580</v>
      </c>
      <c r="F89" t="s">
        <v>2581</v>
      </c>
      <c r="G89" t="s">
        <v>2576</v>
      </c>
      <c r="H89" t="s">
        <v>2582</v>
      </c>
      <c r="I89" t="s">
        <v>2583</v>
      </c>
      <c r="J89" t="s">
        <v>2576</v>
      </c>
      <c r="K89" t="s">
        <v>2584</v>
      </c>
      <c r="L89" t="s">
        <v>2585</v>
      </c>
      <c r="M89" t="s">
        <v>2586</v>
      </c>
      <c r="N89" t="s">
        <v>2587</v>
      </c>
      <c r="O89" t="s">
        <v>2587</v>
      </c>
      <c r="P89" t="s">
        <v>2588</v>
      </c>
      <c r="Q89" t="s">
        <v>2585</v>
      </c>
      <c r="R89" t="s">
        <v>2589</v>
      </c>
      <c r="S89" t="s">
        <v>2590</v>
      </c>
      <c r="T89" t="s">
        <v>2591</v>
      </c>
      <c r="U89" t="s">
        <v>2576</v>
      </c>
      <c r="V89" t="s">
        <v>2592</v>
      </c>
      <c r="W89" t="s">
        <v>2576</v>
      </c>
      <c r="X89" t="s">
        <v>2593</v>
      </c>
      <c r="Y89" t="s">
        <v>2594</v>
      </c>
      <c r="Z89" t="s">
        <v>2581</v>
      </c>
      <c r="AA89" t="s">
        <v>2595</v>
      </c>
      <c r="AB89" t="s">
        <v>2585</v>
      </c>
      <c r="AC89" t="s">
        <v>2596</v>
      </c>
      <c r="AD89" t="s">
        <v>2576</v>
      </c>
      <c r="AE89" t="s">
        <v>2597</v>
      </c>
      <c r="AF89" t="s">
        <v>2576</v>
      </c>
      <c r="AG89" t="s">
        <v>2581</v>
      </c>
      <c r="AH89" t="s">
        <v>2576</v>
      </c>
      <c r="AI89" t="s">
        <v>2576</v>
      </c>
      <c r="AJ89" t="s">
        <v>2584</v>
      </c>
      <c r="AK89" t="s">
        <v>2576</v>
      </c>
      <c r="AL89" t="s">
        <v>2598</v>
      </c>
      <c r="AM89" t="s">
        <v>2599</v>
      </c>
      <c r="AN89" t="s">
        <v>2576</v>
      </c>
      <c r="AO89" t="s">
        <v>2581</v>
      </c>
      <c r="AP89" t="s">
        <v>2596</v>
      </c>
    </row>
    <row r="90" spans="1:42" x14ac:dyDescent="0.25">
      <c r="A90" t="s">
        <v>2600</v>
      </c>
      <c r="B90" t="s">
        <v>2601</v>
      </c>
      <c r="C90" t="s">
        <v>2602</v>
      </c>
      <c r="D90" t="s">
        <v>2603</v>
      </c>
      <c r="E90" t="s">
        <v>2604</v>
      </c>
      <c r="F90" t="s">
        <v>2605</v>
      </c>
      <c r="G90" t="s">
        <v>2606</v>
      </c>
      <c r="H90" t="s">
        <v>2607</v>
      </c>
      <c r="I90" t="s">
        <v>2608</v>
      </c>
      <c r="J90" t="s">
        <v>2609</v>
      </c>
      <c r="K90" t="s">
        <v>2610</v>
      </c>
      <c r="L90" t="s">
        <v>2600</v>
      </c>
      <c r="M90" t="s">
        <v>2600</v>
      </c>
      <c r="N90" t="s">
        <v>2611</v>
      </c>
      <c r="O90" t="s">
        <v>2611</v>
      </c>
      <c r="P90" t="s">
        <v>2612</v>
      </c>
      <c r="Q90" t="s">
        <v>2613</v>
      </c>
      <c r="R90" t="s">
        <v>2614</v>
      </c>
      <c r="S90" t="s">
        <v>2615</v>
      </c>
      <c r="T90" t="s">
        <v>2600</v>
      </c>
      <c r="U90" t="s">
        <v>2601</v>
      </c>
      <c r="V90" t="s">
        <v>2616</v>
      </c>
      <c r="W90" t="s">
        <v>2600</v>
      </c>
      <c r="X90" t="s">
        <v>2617</v>
      </c>
      <c r="Y90" t="s">
        <v>2609</v>
      </c>
      <c r="Z90" t="s">
        <v>2618</v>
      </c>
      <c r="AA90" t="s">
        <v>2619</v>
      </c>
      <c r="AB90" t="s">
        <v>2600</v>
      </c>
      <c r="AC90" t="s">
        <v>2620</v>
      </c>
      <c r="AD90" t="s">
        <v>2601</v>
      </c>
      <c r="AE90" t="s">
        <v>2621</v>
      </c>
      <c r="AF90" t="s">
        <v>2622</v>
      </c>
      <c r="AG90" t="s">
        <v>2618</v>
      </c>
      <c r="AH90" t="s">
        <v>2601</v>
      </c>
      <c r="AI90" t="s">
        <v>2609</v>
      </c>
      <c r="AJ90" t="s">
        <v>2600</v>
      </c>
      <c r="AK90" t="s">
        <v>2600</v>
      </c>
      <c r="AL90" t="s">
        <v>2623</v>
      </c>
      <c r="AM90" t="s">
        <v>2624</v>
      </c>
      <c r="AN90" t="s">
        <v>2600</v>
      </c>
      <c r="AO90" t="s">
        <v>2625</v>
      </c>
      <c r="AP90" t="s">
        <v>2626</v>
      </c>
    </row>
    <row r="91" spans="1:42" x14ac:dyDescent="0.25">
      <c r="A91" t="s">
        <v>2627</v>
      </c>
      <c r="B91" t="s">
        <v>2627</v>
      </c>
      <c r="C91" t="s">
        <v>2628</v>
      </c>
      <c r="D91" t="s">
        <v>2629</v>
      </c>
      <c r="E91" t="s">
        <v>2627</v>
      </c>
      <c r="F91" t="s">
        <v>2630</v>
      </c>
      <c r="G91" t="s">
        <v>2631</v>
      </c>
      <c r="H91" t="s">
        <v>2632</v>
      </c>
      <c r="I91" t="s">
        <v>2633</v>
      </c>
      <c r="J91" t="s">
        <v>2627</v>
      </c>
      <c r="K91" t="s">
        <v>2627</v>
      </c>
      <c r="L91" t="s">
        <v>2627</v>
      </c>
      <c r="M91" t="s">
        <v>2627</v>
      </c>
      <c r="N91" t="s">
        <v>2627</v>
      </c>
      <c r="O91" t="s">
        <v>2627</v>
      </c>
      <c r="P91" t="s">
        <v>2634</v>
      </c>
      <c r="Q91" t="s">
        <v>2627</v>
      </c>
      <c r="R91" t="s">
        <v>2635</v>
      </c>
      <c r="S91" t="s">
        <v>2636</v>
      </c>
      <c r="T91" t="s">
        <v>2627</v>
      </c>
      <c r="U91" t="s">
        <v>2627</v>
      </c>
      <c r="V91" t="s">
        <v>2627</v>
      </c>
      <c r="W91" t="s">
        <v>2627</v>
      </c>
      <c r="X91" t="s">
        <v>2637</v>
      </c>
      <c r="Y91" t="s">
        <v>2627</v>
      </c>
      <c r="Z91" t="s">
        <v>2630</v>
      </c>
      <c r="AA91" t="s">
        <v>2638</v>
      </c>
      <c r="AB91" t="s">
        <v>2627</v>
      </c>
      <c r="AC91" t="s">
        <v>2639</v>
      </c>
      <c r="AD91" t="s">
        <v>2627</v>
      </c>
      <c r="AE91" t="s">
        <v>2640</v>
      </c>
      <c r="AF91" t="s">
        <v>2627</v>
      </c>
      <c r="AG91" t="s">
        <v>2630</v>
      </c>
      <c r="AH91" t="s">
        <v>2627</v>
      </c>
      <c r="AI91" t="s">
        <v>2627</v>
      </c>
      <c r="AJ91" t="s">
        <v>2640</v>
      </c>
      <c r="AK91" t="s">
        <v>2627</v>
      </c>
      <c r="AL91" t="s">
        <v>2641</v>
      </c>
      <c r="AM91" t="s">
        <v>2627</v>
      </c>
      <c r="AN91" t="s">
        <v>2627</v>
      </c>
      <c r="AO91" t="s">
        <v>2630</v>
      </c>
      <c r="AP91" t="s">
        <v>2642</v>
      </c>
    </row>
    <row r="112" spans="1:42" x14ac:dyDescent="0.25">
      <c r="A112" t="s">
        <v>2643</v>
      </c>
      <c r="B112" t="s">
        <v>2643</v>
      </c>
      <c r="C112" t="s">
        <v>2643</v>
      </c>
      <c r="D112" t="s">
        <v>2643</v>
      </c>
      <c r="E112" t="s">
        <v>2643</v>
      </c>
      <c r="F112" t="s">
        <v>2643</v>
      </c>
      <c r="G112" t="s">
        <v>2643</v>
      </c>
      <c r="H112" t="s">
        <v>2643</v>
      </c>
      <c r="I112" t="s">
        <v>2643</v>
      </c>
      <c r="J112" t="s">
        <v>2643</v>
      </c>
      <c r="K112" t="s">
        <v>2643</v>
      </c>
      <c r="L112" t="s">
        <v>2643</v>
      </c>
      <c r="M112" t="s">
        <v>2644</v>
      </c>
      <c r="N112" t="s">
        <v>2643</v>
      </c>
      <c r="O112" t="s">
        <v>2643</v>
      </c>
      <c r="P112" t="s">
        <v>2643</v>
      </c>
      <c r="Q112" t="s">
        <v>2643</v>
      </c>
      <c r="R112" t="s">
        <v>2643</v>
      </c>
      <c r="S112" t="s">
        <v>2643</v>
      </c>
      <c r="T112" t="s">
        <v>2643</v>
      </c>
      <c r="U112" t="s">
        <v>2643</v>
      </c>
      <c r="V112" t="s">
        <v>2643</v>
      </c>
      <c r="W112" t="s">
        <v>2643</v>
      </c>
      <c r="X112" t="s">
        <v>2645</v>
      </c>
      <c r="Y112" t="s">
        <v>2643</v>
      </c>
      <c r="Z112" t="s">
        <v>2643</v>
      </c>
      <c r="AA112" t="s">
        <v>2643</v>
      </c>
      <c r="AB112" t="s">
        <v>2643</v>
      </c>
      <c r="AC112" t="s">
        <v>2646</v>
      </c>
      <c r="AD112" t="s">
        <v>2643</v>
      </c>
      <c r="AE112" t="s">
        <v>2643</v>
      </c>
      <c r="AF112" t="s">
        <v>2643</v>
      </c>
      <c r="AG112" t="s">
        <v>2643</v>
      </c>
      <c r="AH112" t="s">
        <v>2643</v>
      </c>
      <c r="AI112" t="s">
        <v>2643</v>
      </c>
      <c r="AJ112" t="s">
        <v>2643</v>
      </c>
      <c r="AK112" t="s">
        <v>2643</v>
      </c>
      <c r="AL112" t="s">
        <v>2647</v>
      </c>
      <c r="AM112" t="s">
        <v>2644</v>
      </c>
      <c r="AN112" t="s">
        <v>2643</v>
      </c>
      <c r="AO112" t="s">
        <v>2643</v>
      </c>
      <c r="AP112" t="s">
        <v>2648</v>
      </c>
    </row>
    <row r="113" spans="1:42" x14ac:dyDescent="0.25">
      <c r="A113" t="s">
        <v>2649</v>
      </c>
      <c r="B113" t="s">
        <v>2649</v>
      </c>
      <c r="C113" t="s">
        <v>2649</v>
      </c>
      <c r="D113" t="s">
        <v>2649</v>
      </c>
      <c r="E113" t="s">
        <v>2649</v>
      </c>
      <c r="F113" t="s">
        <v>2649</v>
      </c>
      <c r="G113" t="s">
        <v>2649</v>
      </c>
      <c r="H113" t="s">
        <v>2649</v>
      </c>
      <c r="I113" t="s">
        <v>2649</v>
      </c>
      <c r="J113" t="s">
        <v>2649</v>
      </c>
      <c r="K113" t="s">
        <v>2649</v>
      </c>
      <c r="L113" t="s">
        <v>2649</v>
      </c>
      <c r="M113" t="s">
        <v>2650</v>
      </c>
      <c r="N113" t="s">
        <v>2649</v>
      </c>
      <c r="O113" t="s">
        <v>2649</v>
      </c>
      <c r="P113" t="s">
        <v>2649</v>
      </c>
      <c r="Q113" t="s">
        <v>2649</v>
      </c>
      <c r="R113" t="s">
        <v>2649</v>
      </c>
      <c r="S113" t="s">
        <v>2649</v>
      </c>
      <c r="T113" t="s">
        <v>2649</v>
      </c>
      <c r="U113" t="s">
        <v>2649</v>
      </c>
      <c r="V113" t="s">
        <v>2649</v>
      </c>
      <c r="W113" t="s">
        <v>2649</v>
      </c>
      <c r="X113" t="s">
        <v>2651</v>
      </c>
      <c r="Y113" t="s">
        <v>2649</v>
      </c>
      <c r="Z113" t="s">
        <v>2649</v>
      </c>
      <c r="AA113" t="s">
        <v>2649</v>
      </c>
      <c r="AB113" t="s">
        <v>2649</v>
      </c>
      <c r="AC113" t="s">
        <v>2652</v>
      </c>
      <c r="AD113" t="s">
        <v>2649</v>
      </c>
      <c r="AE113" t="s">
        <v>2649</v>
      </c>
      <c r="AF113" t="s">
        <v>2649</v>
      </c>
      <c r="AG113" t="s">
        <v>2649</v>
      </c>
      <c r="AH113" t="s">
        <v>2649</v>
      </c>
      <c r="AI113" t="s">
        <v>2649</v>
      </c>
      <c r="AJ113" t="s">
        <v>2649</v>
      </c>
      <c r="AK113" t="s">
        <v>2649</v>
      </c>
      <c r="AL113" t="s">
        <v>2653</v>
      </c>
      <c r="AM113" t="s">
        <v>2650</v>
      </c>
      <c r="AN113" t="s">
        <v>2649</v>
      </c>
      <c r="AO113" t="s">
        <v>2649</v>
      </c>
      <c r="AP113" t="s">
        <v>2654</v>
      </c>
    </row>
    <row r="114" spans="1:42" x14ac:dyDescent="0.25">
      <c r="A114" t="s">
        <v>2655</v>
      </c>
      <c r="B114" t="s">
        <v>2655</v>
      </c>
      <c r="C114" t="s">
        <v>2655</v>
      </c>
      <c r="D114" t="s">
        <v>2655</v>
      </c>
      <c r="E114" t="s">
        <v>2655</v>
      </c>
      <c r="F114" t="s">
        <v>2655</v>
      </c>
      <c r="G114" t="s">
        <v>2655</v>
      </c>
      <c r="H114" t="s">
        <v>2655</v>
      </c>
      <c r="I114" t="s">
        <v>2655</v>
      </c>
      <c r="J114" t="s">
        <v>2655</v>
      </c>
      <c r="K114" t="s">
        <v>2655</v>
      </c>
      <c r="L114" t="s">
        <v>2655</v>
      </c>
      <c r="M114" t="s">
        <v>2656</v>
      </c>
      <c r="N114" t="s">
        <v>2655</v>
      </c>
      <c r="O114" t="s">
        <v>2655</v>
      </c>
      <c r="P114" t="s">
        <v>2655</v>
      </c>
      <c r="Q114" t="s">
        <v>2655</v>
      </c>
      <c r="R114" t="s">
        <v>2655</v>
      </c>
      <c r="S114" t="s">
        <v>2655</v>
      </c>
      <c r="T114" t="s">
        <v>2655</v>
      </c>
      <c r="U114" t="s">
        <v>2655</v>
      </c>
      <c r="V114" t="s">
        <v>2655</v>
      </c>
      <c r="W114" t="s">
        <v>2655</v>
      </c>
      <c r="X114" t="s">
        <v>2657</v>
      </c>
      <c r="Y114" t="s">
        <v>2655</v>
      </c>
      <c r="Z114" t="s">
        <v>2655</v>
      </c>
      <c r="AA114" t="s">
        <v>2655</v>
      </c>
      <c r="AB114" t="s">
        <v>2655</v>
      </c>
      <c r="AC114" t="s">
        <v>2658</v>
      </c>
      <c r="AD114" t="s">
        <v>2655</v>
      </c>
      <c r="AE114" t="s">
        <v>2655</v>
      </c>
      <c r="AF114" t="s">
        <v>2655</v>
      </c>
      <c r="AG114" t="s">
        <v>2655</v>
      </c>
      <c r="AH114" t="s">
        <v>2655</v>
      </c>
      <c r="AI114" t="s">
        <v>2655</v>
      </c>
      <c r="AJ114" t="s">
        <v>2655</v>
      </c>
      <c r="AK114" t="s">
        <v>2655</v>
      </c>
      <c r="AL114" t="s">
        <v>2659</v>
      </c>
      <c r="AM114" t="s">
        <v>2656</v>
      </c>
      <c r="AN114" t="s">
        <v>2655</v>
      </c>
      <c r="AO114" t="s">
        <v>2655</v>
      </c>
      <c r="AP114" t="s">
        <v>2660</v>
      </c>
    </row>
    <row r="115" spans="1:42" x14ac:dyDescent="0.25">
      <c r="A115" t="s">
        <v>2661</v>
      </c>
      <c r="B115" t="s">
        <v>2661</v>
      </c>
      <c r="C115" t="s">
        <v>2661</v>
      </c>
      <c r="D115" t="s">
        <v>2661</v>
      </c>
      <c r="E115" t="s">
        <v>2661</v>
      </c>
      <c r="F115" t="s">
        <v>2661</v>
      </c>
      <c r="G115" t="s">
        <v>2661</v>
      </c>
      <c r="H115" t="s">
        <v>2661</v>
      </c>
      <c r="I115" t="s">
        <v>2661</v>
      </c>
      <c r="J115" t="s">
        <v>2661</v>
      </c>
      <c r="K115" t="s">
        <v>2661</v>
      </c>
      <c r="L115" t="s">
        <v>2661</v>
      </c>
      <c r="M115" t="s">
        <v>2662</v>
      </c>
      <c r="N115" t="s">
        <v>2661</v>
      </c>
      <c r="O115" t="s">
        <v>2661</v>
      </c>
      <c r="P115" t="s">
        <v>2661</v>
      </c>
      <c r="Q115" t="s">
        <v>2661</v>
      </c>
      <c r="R115" t="s">
        <v>2661</v>
      </c>
      <c r="S115" t="s">
        <v>2661</v>
      </c>
      <c r="T115" t="s">
        <v>2661</v>
      </c>
      <c r="U115" t="s">
        <v>2661</v>
      </c>
      <c r="V115" t="s">
        <v>2661</v>
      </c>
      <c r="W115" t="s">
        <v>2661</v>
      </c>
      <c r="X115" t="s">
        <v>2663</v>
      </c>
      <c r="Y115" t="s">
        <v>2661</v>
      </c>
      <c r="Z115" t="s">
        <v>2661</v>
      </c>
      <c r="AA115" t="s">
        <v>2661</v>
      </c>
      <c r="AB115" t="s">
        <v>2661</v>
      </c>
      <c r="AC115" t="s">
        <v>2664</v>
      </c>
      <c r="AD115" t="s">
        <v>2661</v>
      </c>
      <c r="AE115" t="s">
        <v>2661</v>
      </c>
      <c r="AF115" t="s">
        <v>2661</v>
      </c>
      <c r="AG115" t="s">
        <v>2661</v>
      </c>
      <c r="AH115" t="s">
        <v>2661</v>
      </c>
      <c r="AI115" t="s">
        <v>2661</v>
      </c>
      <c r="AJ115" t="s">
        <v>2661</v>
      </c>
      <c r="AK115" t="s">
        <v>2661</v>
      </c>
      <c r="AL115" t="s">
        <v>2665</v>
      </c>
      <c r="AM115" t="s">
        <v>2662</v>
      </c>
      <c r="AN115" t="s">
        <v>2661</v>
      </c>
      <c r="AO115" t="s">
        <v>2661</v>
      </c>
      <c r="AP115" t="s">
        <v>2666</v>
      </c>
    </row>
    <row r="116" spans="1:42" x14ac:dyDescent="0.25">
      <c r="A116" t="s">
        <v>2667</v>
      </c>
      <c r="B116" t="s">
        <v>2667</v>
      </c>
      <c r="C116" t="s">
        <v>2667</v>
      </c>
      <c r="D116" t="s">
        <v>2667</v>
      </c>
      <c r="E116" t="s">
        <v>2667</v>
      </c>
      <c r="F116" t="s">
        <v>2667</v>
      </c>
      <c r="G116" t="s">
        <v>2667</v>
      </c>
      <c r="H116" t="s">
        <v>2667</v>
      </c>
      <c r="I116" t="s">
        <v>2667</v>
      </c>
      <c r="J116" t="s">
        <v>2667</v>
      </c>
      <c r="K116" t="s">
        <v>2667</v>
      </c>
      <c r="L116" t="s">
        <v>2667</v>
      </c>
      <c r="M116" t="s">
        <v>2668</v>
      </c>
      <c r="N116" t="s">
        <v>2667</v>
      </c>
      <c r="O116" t="s">
        <v>2667</v>
      </c>
      <c r="P116" t="s">
        <v>2667</v>
      </c>
      <c r="Q116" t="s">
        <v>2667</v>
      </c>
      <c r="R116" t="s">
        <v>2669</v>
      </c>
      <c r="S116" t="s">
        <v>2667</v>
      </c>
      <c r="T116" t="s">
        <v>2667</v>
      </c>
      <c r="U116" t="s">
        <v>2667</v>
      </c>
      <c r="V116" t="s">
        <v>2667</v>
      </c>
      <c r="W116" t="s">
        <v>2667</v>
      </c>
      <c r="X116" t="s">
        <v>2670</v>
      </c>
      <c r="Y116" t="s">
        <v>2667</v>
      </c>
      <c r="Z116" t="s">
        <v>2667</v>
      </c>
      <c r="AA116" t="s">
        <v>2671</v>
      </c>
      <c r="AB116" t="s">
        <v>2667</v>
      </c>
      <c r="AC116" t="s">
        <v>2672</v>
      </c>
      <c r="AD116" t="s">
        <v>2667</v>
      </c>
      <c r="AE116" t="s">
        <v>2667</v>
      </c>
      <c r="AF116" t="s">
        <v>2667</v>
      </c>
      <c r="AG116" t="s">
        <v>2667</v>
      </c>
      <c r="AH116" t="s">
        <v>2667</v>
      </c>
      <c r="AI116" t="s">
        <v>2667</v>
      </c>
      <c r="AJ116" t="s">
        <v>2667</v>
      </c>
      <c r="AK116" t="s">
        <v>2667</v>
      </c>
      <c r="AL116" t="s">
        <v>2673</v>
      </c>
      <c r="AM116" t="s">
        <v>2668</v>
      </c>
      <c r="AN116" t="s">
        <v>2667</v>
      </c>
      <c r="AO116" t="s">
        <v>2667</v>
      </c>
      <c r="AP116" t="s">
        <v>2674</v>
      </c>
    </row>
    <row r="117" spans="1:42" x14ac:dyDescent="0.25">
      <c r="A117" t="s">
        <v>2675</v>
      </c>
      <c r="B117" t="s">
        <v>2675</v>
      </c>
      <c r="C117" t="s">
        <v>2675</v>
      </c>
      <c r="D117" t="s">
        <v>2675</v>
      </c>
      <c r="E117" t="s">
        <v>2675</v>
      </c>
      <c r="F117" t="s">
        <v>2675</v>
      </c>
      <c r="G117" t="s">
        <v>2675</v>
      </c>
      <c r="H117" t="s">
        <v>2675</v>
      </c>
      <c r="I117" t="s">
        <v>2675</v>
      </c>
      <c r="J117" t="s">
        <v>2675</v>
      </c>
      <c r="K117" t="s">
        <v>2675</v>
      </c>
      <c r="L117" t="s">
        <v>2675</v>
      </c>
      <c r="M117" t="s">
        <v>2676</v>
      </c>
      <c r="N117" t="s">
        <v>2675</v>
      </c>
      <c r="O117" t="s">
        <v>2675</v>
      </c>
      <c r="P117" t="s">
        <v>2675</v>
      </c>
      <c r="Q117" t="s">
        <v>2675</v>
      </c>
      <c r="R117" t="s">
        <v>2677</v>
      </c>
      <c r="S117" t="s">
        <v>2675</v>
      </c>
      <c r="T117" t="s">
        <v>2675</v>
      </c>
      <c r="U117" t="s">
        <v>2675</v>
      </c>
      <c r="V117" t="s">
        <v>2675</v>
      </c>
      <c r="W117" t="s">
        <v>2675</v>
      </c>
      <c r="X117" t="s">
        <v>2678</v>
      </c>
      <c r="Y117" t="s">
        <v>2675</v>
      </c>
      <c r="Z117" t="s">
        <v>2675</v>
      </c>
      <c r="AA117" t="s">
        <v>2679</v>
      </c>
      <c r="AB117" t="s">
        <v>2675</v>
      </c>
      <c r="AC117" t="s">
        <v>2680</v>
      </c>
      <c r="AD117" t="s">
        <v>2675</v>
      </c>
      <c r="AE117" t="s">
        <v>2675</v>
      </c>
      <c r="AF117" t="s">
        <v>2675</v>
      </c>
      <c r="AG117" t="s">
        <v>2675</v>
      </c>
      <c r="AH117" t="s">
        <v>2675</v>
      </c>
      <c r="AI117" t="s">
        <v>2675</v>
      </c>
      <c r="AJ117" t="s">
        <v>2675</v>
      </c>
      <c r="AK117" t="s">
        <v>2675</v>
      </c>
      <c r="AL117" t="s">
        <v>2681</v>
      </c>
      <c r="AM117" t="s">
        <v>2676</v>
      </c>
      <c r="AN117" t="s">
        <v>2675</v>
      </c>
      <c r="AO117" t="s">
        <v>2675</v>
      </c>
      <c r="AP117" t="s">
        <v>2682</v>
      </c>
    </row>
    <row r="118" spans="1:42" x14ac:dyDescent="0.25">
      <c r="A118" t="s">
        <v>2683</v>
      </c>
      <c r="B118" t="s">
        <v>2683</v>
      </c>
      <c r="C118" t="s">
        <v>2683</v>
      </c>
      <c r="D118" t="s">
        <v>2683</v>
      </c>
      <c r="E118" t="s">
        <v>2683</v>
      </c>
      <c r="F118" t="s">
        <v>2683</v>
      </c>
      <c r="G118" t="s">
        <v>2683</v>
      </c>
      <c r="H118" t="s">
        <v>2683</v>
      </c>
      <c r="I118" t="s">
        <v>2683</v>
      </c>
      <c r="J118" t="s">
        <v>2683</v>
      </c>
      <c r="K118" t="s">
        <v>2683</v>
      </c>
      <c r="L118" t="s">
        <v>2683</v>
      </c>
      <c r="M118" t="s">
        <v>2684</v>
      </c>
      <c r="N118" t="s">
        <v>2683</v>
      </c>
      <c r="O118" t="s">
        <v>2683</v>
      </c>
      <c r="P118" t="s">
        <v>2683</v>
      </c>
      <c r="Q118" t="s">
        <v>2683</v>
      </c>
      <c r="R118" t="s">
        <v>2685</v>
      </c>
      <c r="S118" t="s">
        <v>2683</v>
      </c>
      <c r="T118" t="s">
        <v>2683</v>
      </c>
      <c r="U118" t="s">
        <v>2683</v>
      </c>
      <c r="V118" t="s">
        <v>2683</v>
      </c>
      <c r="W118" t="s">
        <v>2683</v>
      </c>
      <c r="X118" t="s">
        <v>2686</v>
      </c>
      <c r="Y118" t="s">
        <v>2683</v>
      </c>
      <c r="Z118" t="s">
        <v>2683</v>
      </c>
      <c r="AA118" t="s">
        <v>2683</v>
      </c>
      <c r="AB118" t="s">
        <v>2683</v>
      </c>
      <c r="AC118" t="s">
        <v>2687</v>
      </c>
      <c r="AD118" t="s">
        <v>2683</v>
      </c>
      <c r="AE118" t="s">
        <v>2683</v>
      </c>
      <c r="AF118" t="s">
        <v>2683</v>
      </c>
      <c r="AG118" t="s">
        <v>2683</v>
      </c>
      <c r="AH118" t="s">
        <v>2683</v>
      </c>
      <c r="AI118" t="s">
        <v>2683</v>
      </c>
      <c r="AJ118" t="s">
        <v>2683</v>
      </c>
      <c r="AK118" t="s">
        <v>2683</v>
      </c>
      <c r="AL118" t="s">
        <v>2688</v>
      </c>
      <c r="AM118" t="s">
        <v>2684</v>
      </c>
      <c r="AN118" t="s">
        <v>2683</v>
      </c>
      <c r="AO118" t="s">
        <v>2683</v>
      </c>
      <c r="AP118" t="s">
        <v>2689</v>
      </c>
    </row>
    <row r="119" spans="1:42" x14ac:dyDescent="0.25">
      <c r="A119" t="s">
        <v>2690</v>
      </c>
      <c r="B119" t="s">
        <v>2690</v>
      </c>
      <c r="C119" t="s">
        <v>2690</v>
      </c>
      <c r="D119" t="s">
        <v>2690</v>
      </c>
      <c r="E119" t="s">
        <v>2690</v>
      </c>
      <c r="F119" t="s">
        <v>2690</v>
      </c>
      <c r="G119" t="s">
        <v>2690</v>
      </c>
      <c r="H119" t="s">
        <v>2690</v>
      </c>
      <c r="I119" t="s">
        <v>2690</v>
      </c>
      <c r="J119" t="s">
        <v>2690</v>
      </c>
      <c r="K119" t="s">
        <v>2690</v>
      </c>
      <c r="L119" t="s">
        <v>2690</v>
      </c>
      <c r="M119" t="s">
        <v>2691</v>
      </c>
      <c r="N119" t="s">
        <v>2690</v>
      </c>
      <c r="O119" t="s">
        <v>2690</v>
      </c>
      <c r="P119" t="s">
        <v>2690</v>
      </c>
      <c r="Q119" t="s">
        <v>2690</v>
      </c>
      <c r="R119" t="s">
        <v>2692</v>
      </c>
      <c r="S119" t="s">
        <v>2690</v>
      </c>
      <c r="T119" t="s">
        <v>2690</v>
      </c>
      <c r="U119" t="s">
        <v>2690</v>
      </c>
      <c r="V119" t="s">
        <v>2690</v>
      </c>
      <c r="W119" t="s">
        <v>2690</v>
      </c>
      <c r="X119" t="s">
        <v>2693</v>
      </c>
      <c r="Y119" t="s">
        <v>2690</v>
      </c>
      <c r="Z119" t="s">
        <v>2690</v>
      </c>
      <c r="AA119" t="s">
        <v>2690</v>
      </c>
      <c r="AB119" t="s">
        <v>2690</v>
      </c>
      <c r="AC119" t="s">
        <v>2694</v>
      </c>
      <c r="AD119" t="s">
        <v>2690</v>
      </c>
      <c r="AE119" t="s">
        <v>2690</v>
      </c>
      <c r="AF119" t="s">
        <v>2690</v>
      </c>
      <c r="AG119" t="s">
        <v>2690</v>
      </c>
      <c r="AH119" t="s">
        <v>2690</v>
      </c>
      <c r="AI119" t="s">
        <v>2690</v>
      </c>
      <c r="AJ119" t="s">
        <v>2690</v>
      </c>
      <c r="AK119" t="s">
        <v>2690</v>
      </c>
      <c r="AL119" t="s">
        <v>2695</v>
      </c>
      <c r="AM119" t="s">
        <v>2691</v>
      </c>
      <c r="AN119" t="s">
        <v>2690</v>
      </c>
      <c r="AO119" t="s">
        <v>2690</v>
      </c>
      <c r="AP119" t="s">
        <v>2696</v>
      </c>
    </row>
    <row r="120" spans="1:42" x14ac:dyDescent="0.25">
      <c r="A120" t="s">
        <v>2697</v>
      </c>
      <c r="B120" t="s">
        <v>2697</v>
      </c>
      <c r="C120" t="s">
        <v>2697</v>
      </c>
      <c r="D120" t="s">
        <v>2697</v>
      </c>
      <c r="E120" t="s">
        <v>2697</v>
      </c>
      <c r="F120" t="s">
        <v>2697</v>
      </c>
      <c r="G120" t="s">
        <v>2697</v>
      </c>
      <c r="H120" t="s">
        <v>2697</v>
      </c>
      <c r="I120" t="s">
        <v>2697</v>
      </c>
      <c r="J120" t="s">
        <v>2697</v>
      </c>
      <c r="K120" t="s">
        <v>2697</v>
      </c>
      <c r="L120" t="s">
        <v>2697</v>
      </c>
      <c r="M120" t="s">
        <v>2698</v>
      </c>
      <c r="N120" t="s">
        <v>2697</v>
      </c>
      <c r="O120" t="s">
        <v>2697</v>
      </c>
      <c r="P120" t="s">
        <v>2697</v>
      </c>
      <c r="Q120" t="s">
        <v>2697</v>
      </c>
      <c r="R120" t="s">
        <v>2699</v>
      </c>
      <c r="S120" t="s">
        <v>2697</v>
      </c>
      <c r="T120" t="s">
        <v>2697</v>
      </c>
      <c r="U120" t="s">
        <v>2697</v>
      </c>
      <c r="V120" t="s">
        <v>2697</v>
      </c>
      <c r="W120" t="s">
        <v>2697</v>
      </c>
      <c r="X120" t="s">
        <v>2700</v>
      </c>
      <c r="Y120" t="s">
        <v>2697</v>
      </c>
      <c r="Z120" t="s">
        <v>2697</v>
      </c>
      <c r="AA120" t="s">
        <v>2697</v>
      </c>
      <c r="AB120" t="s">
        <v>2697</v>
      </c>
      <c r="AC120" t="s">
        <v>2701</v>
      </c>
      <c r="AD120" t="s">
        <v>2697</v>
      </c>
      <c r="AE120" t="s">
        <v>2697</v>
      </c>
      <c r="AF120" t="s">
        <v>2697</v>
      </c>
      <c r="AG120" t="s">
        <v>2697</v>
      </c>
      <c r="AH120" t="s">
        <v>2697</v>
      </c>
      <c r="AI120" t="s">
        <v>2697</v>
      </c>
      <c r="AJ120" t="s">
        <v>2697</v>
      </c>
      <c r="AK120" t="s">
        <v>2697</v>
      </c>
      <c r="AL120" t="s">
        <v>2702</v>
      </c>
      <c r="AM120" t="s">
        <v>2698</v>
      </c>
      <c r="AN120" t="s">
        <v>2697</v>
      </c>
      <c r="AO120" t="s">
        <v>2697</v>
      </c>
      <c r="AP120" t="s">
        <v>2703</v>
      </c>
    </row>
    <row r="121" spans="1:42" x14ac:dyDescent="0.25">
      <c r="A121" t="s">
        <v>2704</v>
      </c>
      <c r="B121" t="s">
        <v>2704</v>
      </c>
      <c r="C121" t="s">
        <v>2704</v>
      </c>
      <c r="D121" t="s">
        <v>2704</v>
      </c>
      <c r="E121" t="s">
        <v>2704</v>
      </c>
      <c r="F121" t="s">
        <v>2704</v>
      </c>
      <c r="G121" t="s">
        <v>2704</v>
      </c>
      <c r="H121" t="s">
        <v>2704</v>
      </c>
      <c r="I121" t="s">
        <v>2704</v>
      </c>
      <c r="J121" t="s">
        <v>2704</v>
      </c>
      <c r="K121" t="s">
        <v>2704</v>
      </c>
      <c r="L121" t="s">
        <v>2704</v>
      </c>
      <c r="M121" t="s">
        <v>2705</v>
      </c>
      <c r="N121" t="s">
        <v>2704</v>
      </c>
      <c r="O121" t="s">
        <v>2704</v>
      </c>
      <c r="P121" t="s">
        <v>2704</v>
      </c>
      <c r="Q121" t="s">
        <v>2704</v>
      </c>
      <c r="R121" t="s">
        <v>2706</v>
      </c>
      <c r="S121" t="s">
        <v>2704</v>
      </c>
      <c r="T121" t="s">
        <v>2704</v>
      </c>
      <c r="U121" t="s">
        <v>2704</v>
      </c>
      <c r="V121" t="s">
        <v>2704</v>
      </c>
      <c r="W121" t="s">
        <v>2704</v>
      </c>
      <c r="X121" t="s">
        <v>2707</v>
      </c>
      <c r="Y121" t="s">
        <v>2704</v>
      </c>
      <c r="Z121" t="s">
        <v>2704</v>
      </c>
      <c r="AA121" t="s">
        <v>2704</v>
      </c>
      <c r="AB121" t="s">
        <v>2704</v>
      </c>
      <c r="AC121" t="s">
        <v>2708</v>
      </c>
      <c r="AD121" t="s">
        <v>2704</v>
      </c>
      <c r="AE121" t="s">
        <v>2704</v>
      </c>
      <c r="AF121" t="s">
        <v>2704</v>
      </c>
      <c r="AG121" t="s">
        <v>2704</v>
      </c>
      <c r="AH121" t="s">
        <v>2704</v>
      </c>
      <c r="AI121" t="s">
        <v>2704</v>
      </c>
      <c r="AJ121" t="s">
        <v>2704</v>
      </c>
      <c r="AK121" t="s">
        <v>2704</v>
      </c>
      <c r="AL121" t="s">
        <v>2709</v>
      </c>
      <c r="AM121" t="s">
        <v>2705</v>
      </c>
      <c r="AN121" t="s">
        <v>2704</v>
      </c>
      <c r="AO121" t="s">
        <v>2704</v>
      </c>
      <c r="AP121" t="s">
        <v>2710</v>
      </c>
    </row>
    <row r="122" spans="1:42" x14ac:dyDescent="0.25">
      <c r="A122" t="s">
        <v>2711</v>
      </c>
      <c r="B122" t="s">
        <v>2711</v>
      </c>
      <c r="C122" t="s">
        <v>2711</v>
      </c>
      <c r="D122" t="s">
        <v>2711</v>
      </c>
      <c r="E122" t="s">
        <v>2711</v>
      </c>
      <c r="F122" t="s">
        <v>2711</v>
      </c>
      <c r="G122" t="s">
        <v>2711</v>
      </c>
      <c r="H122" t="s">
        <v>2711</v>
      </c>
      <c r="I122" t="s">
        <v>2711</v>
      </c>
      <c r="J122" t="s">
        <v>2711</v>
      </c>
      <c r="K122" t="s">
        <v>2711</v>
      </c>
      <c r="L122" t="s">
        <v>2711</v>
      </c>
      <c r="M122" t="s">
        <v>2712</v>
      </c>
      <c r="N122" t="s">
        <v>2711</v>
      </c>
      <c r="O122" t="s">
        <v>2711</v>
      </c>
      <c r="P122" t="s">
        <v>2711</v>
      </c>
      <c r="Q122" t="s">
        <v>2711</v>
      </c>
      <c r="R122" t="s">
        <v>2713</v>
      </c>
      <c r="S122" t="s">
        <v>2711</v>
      </c>
      <c r="T122" t="s">
        <v>2711</v>
      </c>
      <c r="U122" t="s">
        <v>2711</v>
      </c>
      <c r="V122" t="s">
        <v>2711</v>
      </c>
      <c r="W122" t="s">
        <v>2711</v>
      </c>
      <c r="X122" t="s">
        <v>2714</v>
      </c>
      <c r="Y122" t="s">
        <v>2711</v>
      </c>
      <c r="Z122" t="s">
        <v>2711</v>
      </c>
      <c r="AA122" t="s">
        <v>2711</v>
      </c>
      <c r="AB122" t="s">
        <v>2711</v>
      </c>
      <c r="AC122" t="s">
        <v>2715</v>
      </c>
      <c r="AD122" t="s">
        <v>2711</v>
      </c>
      <c r="AE122" t="s">
        <v>2711</v>
      </c>
      <c r="AF122" t="s">
        <v>2711</v>
      </c>
      <c r="AG122" t="s">
        <v>2711</v>
      </c>
      <c r="AH122" t="s">
        <v>2711</v>
      </c>
      <c r="AI122" t="s">
        <v>2711</v>
      </c>
      <c r="AJ122" t="s">
        <v>2711</v>
      </c>
      <c r="AK122" t="s">
        <v>2711</v>
      </c>
      <c r="AL122" t="s">
        <v>2716</v>
      </c>
      <c r="AM122" t="s">
        <v>2712</v>
      </c>
      <c r="AN122" t="s">
        <v>2711</v>
      </c>
      <c r="AO122" t="s">
        <v>2711</v>
      </c>
      <c r="AP122" t="s">
        <v>2717</v>
      </c>
    </row>
    <row r="123" spans="1:42" x14ac:dyDescent="0.25">
      <c r="A123" t="s">
        <v>2718</v>
      </c>
      <c r="B123" t="s">
        <v>2718</v>
      </c>
      <c r="C123" t="s">
        <v>2718</v>
      </c>
      <c r="D123" t="s">
        <v>2718</v>
      </c>
      <c r="E123" t="s">
        <v>2718</v>
      </c>
      <c r="F123" t="s">
        <v>2718</v>
      </c>
      <c r="G123" t="s">
        <v>2718</v>
      </c>
      <c r="H123" t="s">
        <v>2718</v>
      </c>
      <c r="I123" t="s">
        <v>2718</v>
      </c>
      <c r="J123" t="s">
        <v>2718</v>
      </c>
      <c r="K123" t="s">
        <v>2718</v>
      </c>
      <c r="L123" t="s">
        <v>2718</v>
      </c>
      <c r="M123" t="s">
        <v>2719</v>
      </c>
      <c r="N123" t="s">
        <v>2718</v>
      </c>
      <c r="O123" t="s">
        <v>2718</v>
      </c>
      <c r="P123" t="s">
        <v>2718</v>
      </c>
      <c r="Q123" t="s">
        <v>2718</v>
      </c>
      <c r="R123" t="s">
        <v>2720</v>
      </c>
      <c r="S123" t="s">
        <v>2718</v>
      </c>
      <c r="T123" t="s">
        <v>2718</v>
      </c>
      <c r="U123" t="s">
        <v>2718</v>
      </c>
      <c r="V123" t="s">
        <v>2718</v>
      </c>
      <c r="W123" t="s">
        <v>2718</v>
      </c>
      <c r="X123" t="s">
        <v>2721</v>
      </c>
      <c r="Y123" t="s">
        <v>2718</v>
      </c>
      <c r="Z123" t="s">
        <v>2718</v>
      </c>
      <c r="AA123" t="s">
        <v>2718</v>
      </c>
      <c r="AB123" t="s">
        <v>2718</v>
      </c>
      <c r="AC123" t="s">
        <v>2722</v>
      </c>
      <c r="AD123" t="s">
        <v>2718</v>
      </c>
      <c r="AE123" t="s">
        <v>2718</v>
      </c>
      <c r="AF123" t="s">
        <v>2718</v>
      </c>
      <c r="AG123" t="s">
        <v>2718</v>
      </c>
      <c r="AH123" t="s">
        <v>2718</v>
      </c>
      <c r="AI123" t="s">
        <v>2718</v>
      </c>
      <c r="AJ123" t="s">
        <v>2718</v>
      </c>
      <c r="AK123" t="s">
        <v>2718</v>
      </c>
      <c r="AL123" t="s">
        <v>2723</v>
      </c>
      <c r="AM123" t="s">
        <v>2719</v>
      </c>
      <c r="AN123" t="s">
        <v>2718</v>
      </c>
      <c r="AO123" t="s">
        <v>2718</v>
      </c>
      <c r="AP123" t="s">
        <v>2724</v>
      </c>
    </row>
    <row r="124" spans="1:42" x14ac:dyDescent="0.25">
      <c r="A124" t="s">
        <v>2725</v>
      </c>
      <c r="B124" t="s">
        <v>2725</v>
      </c>
      <c r="C124" t="s">
        <v>2725</v>
      </c>
      <c r="D124" t="s">
        <v>2725</v>
      </c>
      <c r="E124" t="s">
        <v>2725</v>
      </c>
      <c r="F124" t="s">
        <v>2725</v>
      </c>
      <c r="G124" t="s">
        <v>2725</v>
      </c>
      <c r="H124" t="s">
        <v>2725</v>
      </c>
      <c r="I124" t="s">
        <v>2725</v>
      </c>
      <c r="J124" t="s">
        <v>2725</v>
      </c>
      <c r="K124" t="s">
        <v>2725</v>
      </c>
      <c r="L124" t="s">
        <v>2725</v>
      </c>
      <c r="M124" t="s">
        <v>2726</v>
      </c>
      <c r="N124" t="s">
        <v>2725</v>
      </c>
      <c r="O124" t="s">
        <v>2725</v>
      </c>
      <c r="P124" t="s">
        <v>2725</v>
      </c>
      <c r="Q124" t="s">
        <v>2725</v>
      </c>
      <c r="R124" t="s">
        <v>2727</v>
      </c>
      <c r="S124" t="s">
        <v>2725</v>
      </c>
      <c r="T124" t="s">
        <v>2725</v>
      </c>
      <c r="U124" t="s">
        <v>2725</v>
      </c>
      <c r="V124" t="s">
        <v>2725</v>
      </c>
      <c r="W124" t="s">
        <v>2725</v>
      </c>
      <c r="X124" t="s">
        <v>2728</v>
      </c>
      <c r="Y124" t="s">
        <v>2725</v>
      </c>
      <c r="Z124" t="s">
        <v>2725</v>
      </c>
      <c r="AA124" t="s">
        <v>2729</v>
      </c>
      <c r="AB124" t="s">
        <v>2725</v>
      </c>
      <c r="AC124" t="s">
        <v>2730</v>
      </c>
      <c r="AD124" t="s">
        <v>2725</v>
      </c>
      <c r="AE124" t="s">
        <v>2725</v>
      </c>
      <c r="AF124" t="s">
        <v>2725</v>
      </c>
      <c r="AG124" t="s">
        <v>2725</v>
      </c>
      <c r="AH124" t="s">
        <v>2725</v>
      </c>
      <c r="AI124" t="s">
        <v>2725</v>
      </c>
      <c r="AJ124" t="s">
        <v>2725</v>
      </c>
      <c r="AK124" t="s">
        <v>2725</v>
      </c>
      <c r="AL124" t="s">
        <v>2731</v>
      </c>
      <c r="AM124" t="s">
        <v>2726</v>
      </c>
      <c r="AN124" t="s">
        <v>2725</v>
      </c>
      <c r="AO124" t="s">
        <v>2725</v>
      </c>
      <c r="AP124" t="s">
        <v>2732</v>
      </c>
    </row>
    <row r="125" spans="1:42" x14ac:dyDescent="0.25">
      <c r="A125" t="s">
        <v>2733</v>
      </c>
      <c r="B125" t="s">
        <v>2733</v>
      </c>
      <c r="C125" t="s">
        <v>2733</v>
      </c>
      <c r="D125" t="s">
        <v>2733</v>
      </c>
      <c r="E125" t="s">
        <v>2733</v>
      </c>
      <c r="F125" t="s">
        <v>2733</v>
      </c>
      <c r="G125" t="s">
        <v>2733</v>
      </c>
      <c r="H125" t="s">
        <v>2733</v>
      </c>
      <c r="I125" t="s">
        <v>2733</v>
      </c>
      <c r="J125" t="s">
        <v>2733</v>
      </c>
      <c r="K125" t="s">
        <v>2733</v>
      </c>
      <c r="L125" t="s">
        <v>2733</v>
      </c>
      <c r="M125" t="s">
        <v>2734</v>
      </c>
      <c r="N125" t="s">
        <v>2733</v>
      </c>
      <c r="O125" t="s">
        <v>2733</v>
      </c>
      <c r="P125" t="s">
        <v>2733</v>
      </c>
      <c r="Q125" t="s">
        <v>2733</v>
      </c>
      <c r="R125" t="s">
        <v>2735</v>
      </c>
      <c r="S125" t="s">
        <v>2733</v>
      </c>
      <c r="T125" t="s">
        <v>2733</v>
      </c>
      <c r="U125" t="s">
        <v>2733</v>
      </c>
      <c r="V125" t="s">
        <v>2733</v>
      </c>
      <c r="W125" t="s">
        <v>2733</v>
      </c>
      <c r="X125" t="s">
        <v>2736</v>
      </c>
      <c r="Y125" t="s">
        <v>2733</v>
      </c>
      <c r="Z125" t="s">
        <v>2733</v>
      </c>
      <c r="AA125" t="s">
        <v>2737</v>
      </c>
      <c r="AB125" t="s">
        <v>2733</v>
      </c>
      <c r="AC125" t="s">
        <v>2738</v>
      </c>
      <c r="AD125" t="s">
        <v>2733</v>
      </c>
      <c r="AE125" t="s">
        <v>2733</v>
      </c>
      <c r="AF125" t="s">
        <v>2733</v>
      </c>
      <c r="AG125" t="s">
        <v>2733</v>
      </c>
      <c r="AH125" t="s">
        <v>2733</v>
      </c>
      <c r="AI125" t="s">
        <v>2733</v>
      </c>
      <c r="AJ125" t="s">
        <v>2733</v>
      </c>
      <c r="AK125" t="s">
        <v>2733</v>
      </c>
      <c r="AL125" t="s">
        <v>2739</v>
      </c>
      <c r="AM125" t="s">
        <v>2734</v>
      </c>
      <c r="AN125" t="s">
        <v>2733</v>
      </c>
      <c r="AO125" t="s">
        <v>2733</v>
      </c>
      <c r="AP125" t="s">
        <v>2740</v>
      </c>
    </row>
    <row r="126" spans="1:42" x14ac:dyDescent="0.25">
      <c r="A126" t="s">
        <v>2741</v>
      </c>
      <c r="B126" t="s">
        <v>2741</v>
      </c>
      <c r="C126" t="s">
        <v>2741</v>
      </c>
      <c r="D126" t="s">
        <v>2741</v>
      </c>
      <c r="E126" t="s">
        <v>2741</v>
      </c>
      <c r="F126" t="s">
        <v>2741</v>
      </c>
      <c r="G126" t="s">
        <v>2741</v>
      </c>
      <c r="H126" t="s">
        <v>2741</v>
      </c>
      <c r="I126" t="s">
        <v>2741</v>
      </c>
      <c r="J126" t="s">
        <v>2741</v>
      </c>
      <c r="K126" t="s">
        <v>2741</v>
      </c>
      <c r="L126" t="s">
        <v>2741</v>
      </c>
      <c r="M126" t="s">
        <v>2742</v>
      </c>
      <c r="N126" t="s">
        <v>2741</v>
      </c>
      <c r="O126" t="s">
        <v>2741</v>
      </c>
      <c r="P126" t="s">
        <v>2741</v>
      </c>
      <c r="Q126" t="s">
        <v>2741</v>
      </c>
      <c r="R126" t="s">
        <v>2741</v>
      </c>
      <c r="S126" t="s">
        <v>2741</v>
      </c>
      <c r="T126" t="s">
        <v>2741</v>
      </c>
      <c r="U126" t="s">
        <v>2741</v>
      </c>
      <c r="V126" t="s">
        <v>2741</v>
      </c>
      <c r="W126" t="s">
        <v>2741</v>
      </c>
      <c r="X126" t="s">
        <v>2743</v>
      </c>
      <c r="Y126" t="s">
        <v>2741</v>
      </c>
      <c r="Z126" t="s">
        <v>2741</v>
      </c>
      <c r="AA126" t="s">
        <v>2744</v>
      </c>
      <c r="AB126" t="s">
        <v>2741</v>
      </c>
      <c r="AC126" t="s">
        <v>2745</v>
      </c>
      <c r="AD126" t="s">
        <v>2741</v>
      </c>
      <c r="AE126" t="s">
        <v>2741</v>
      </c>
      <c r="AF126" t="s">
        <v>2741</v>
      </c>
      <c r="AG126" t="s">
        <v>2741</v>
      </c>
      <c r="AH126" t="s">
        <v>2741</v>
      </c>
      <c r="AI126" t="s">
        <v>2741</v>
      </c>
      <c r="AJ126" t="s">
        <v>2741</v>
      </c>
      <c r="AK126" t="s">
        <v>2741</v>
      </c>
      <c r="AL126" t="s">
        <v>2746</v>
      </c>
      <c r="AM126" t="s">
        <v>2742</v>
      </c>
      <c r="AN126" t="s">
        <v>2741</v>
      </c>
      <c r="AO126" t="s">
        <v>2741</v>
      </c>
      <c r="AP126" t="s">
        <v>2747</v>
      </c>
    </row>
    <row r="127" spans="1:42" x14ac:dyDescent="0.25">
      <c r="A127" t="s">
        <v>2748</v>
      </c>
      <c r="B127" t="s">
        <v>2748</v>
      </c>
      <c r="C127" t="s">
        <v>2748</v>
      </c>
      <c r="D127" t="s">
        <v>2748</v>
      </c>
      <c r="E127" t="s">
        <v>2748</v>
      </c>
      <c r="F127" t="s">
        <v>2748</v>
      </c>
      <c r="G127" t="s">
        <v>2748</v>
      </c>
      <c r="H127" t="s">
        <v>2748</v>
      </c>
      <c r="I127" t="s">
        <v>2748</v>
      </c>
      <c r="J127" t="s">
        <v>2748</v>
      </c>
      <c r="K127" t="s">
        <v>2748</v>
      </c>
      <c r="L127" t="s">
        <v>2748</v>
      </c>
      <c r="M127" t="s">
        <v>2749</v>
      </c>
      <c r="N127" t="s">
        <v>2748</v>
      </c>
      <c r="O127" t="s">
        <v>2748</v>
      </c>
      <c r="P127" t="s">
        <v>2748</v>
      </c>
      <c r="Q127" t="s">
        <v>2748</v>
      </c>
      <c r="R127" t="s">
        <v>2748</v>
      </c>
      <c r="S127" t="s">
        <v>2748</v>
      </c>
      <c r="T127" t="s">
        <v>2748</v>
      </c>
      <c r="U127" t="s">
        <v>2748</v>
      </c>
      <c r="V127" t="s">
        <v>2748</v>
      </c>
      <c r="W127" t="s">
        <v>2748</v>
      </c>
      <c r="X127" t="s">
        <v>2750</v>
      </c>
      <c r="Y127" t="s">
        <v>2748</v>
      </c>
      <c r="Z127" t="s">
        <v>2748</v>
      </c>
      <c r="AA127" t="s">
        <v>2744</v>
      </c>
      <c r="AB127" t="s">
        <v>2748</v>
      </c>
      <c r="AC127" t="s">
        <v>2751</v>
      </c>
      <c r="AD127" t="s">
        <v>2748</v>
      </c>
      <c r="AE127" t="s">
        <v>2748</v>
      </c>
      <c r="AF127" t="s">
        <v>2748</v>
      </c>
      <c r="AG127" t="s">
        <v>2748</v>
      </c>
      <c r="AH127" t="s">
        <v>2748</v>
      </c>
      <c r="AI127" t="s">
        <v>2748</v>
      </c>
      <c r="AJ127" t="s">
        <v>2748</v>
      </c>
      <c r="AK127" t="s">
        <v>2748</v>
      </c>
      <c r="AL127" t="s">
        <v>2752</v>
      </c>
      <c r="AM127" t="s">
        <v>2749</v>
      </c>
      <c r="AN127" t="s">
        <v>2748</v>
      </c>
      <c r="AO127" t="s">
        <v>2748</v>
      </c>
      <c r="AP127" t="s">
        <v>2753</v>
      </c>
    </row>
    <row r="128" spans="1:42" x14ac:dyDescent="0.25">
      <c r="A128" t="s">
        <v>2754</v>
      </c>
      <c r="B128" t="s">
        <v>2755</v>
      </c>
      <c r="C128" t="s">
        <v>2754</v>
      </c>
      <c r="D128" t="s">
        <v>2754</v>
      </c>
      <c r="E128" t="s">
        <v>2756</v>
      </c>
      <c r="F128" t="s">
        <v>2754</v>
      </c>
      <c r="G128" t="s">
        <v>2757</v>
      </c>
      <c r="H128" t="s">
        <v>2758</v>
      </c>
      <c r="I128" t="s">
        <v>2754</v>
      </c>
      <c r="J128" t="s">
        <v>2754</v>
      </c>
      <c r="K128" t="s">
        <v>2759</v>
      </c>
      <c r="L128" t="s">
        <v>2759</v>
      </c>
      <c r="M128" t="s">
        <v>2754</v>
      </c>
      <c r="N128" t="s">
        <v>2759</v>
      </c>
      <c r="O128" t="s">
        <v>2754</v>
      </c>
      <c r="P128" t="s">
        <v>2760</v>
      </c>
      <c r="Q128" t="s">
        <v>2754</v>
      </c>
      <c r="R128" t="s">
        <v>2761</v>
      </c>
      <c r="S128" t="s">
        <v>2754</v>
      </c>
      <c r="T128" t="s">
        <v>2762</v>
      </c>
      <c r="U128" t="s">
        <v>2754</v>
      </c>
      <c r="V128" t="s">
        <v>2754</v>
      </c>
      <c r="W128" t="s">
        <v>2754</v>
      </c>
      <c r="X128" t="s">
        <v>2763</v>
      </c>
      <c r="Y128" t="s">
        <v>2764</v>
      </c>
      <c r="Z128" t="s">
        <v>2765</v>
      </c>
      <c r="AA128" t="s">
        <v>2766</v>
      </c>
      <c r="AB128" t="s">
        <v>2759</v>
      </c>
      <c r="AC128" t="s">
        <v>2767</v>
      </c>
      <c r="AD128" t="s">
        <v>2754</v>
      </c>
      <c r="AE128" t="s">
        <v>2754</v>
      </c>
      <c r="AF128" t="s">
        <v>2768</v>
      </c>
      <c r="AG128" t="s">
        <v>2769</v>
      </c>
      <c r="AH128" t="s">
        <v>2759</v>
      </c>
      <c r="AI128" t="s">
        <v>2754</v>
      </c>
      <c r="AJ128" t="s">
        <v>2754</v>
      </c>
      <c r="AK128" t="s">
        <v>2754</v>
      </c>
      <c r="AL128" t="s">
        <v>2770</v>
      </c>
      <c r="AM128" t="s">
        <v>2757</v>
      </c>
      <c r="AN128" t="s">
        <v>2771</v>
      </c>
      <c r="AO128" t="s">
        <v>2772</v>
      </c>
      <c r="AP128" t="s">
        <v>2773</v>
      </c>
    </row>
    <row r="129" spans="1:42" x14ac:dyDescent="0.25">
      <c r="A129" t="s">
        <v>2774</v>
      </c>
      <c r="B129" t="s">
        <v>2775</v>
      </c>
      <c r="C129" t="s">
        <v>2774</v>
      </c>
      <c r="D129" t="s">
        <v>2774</v>
      </c>
      <c r="E129" t="s">
        <v>2776</v>
      </c>
      <c r="F129" t="s">
        <v>2774</v>
      </c>
      <c r="G129" t="s">
        <v>2777</v>
      </c>
      <c r="H129" t="s">
        <v>2778</v>
      </c>
      <c r="I129" t="s">
        <v>2774</v>
      </c>
      <c r="J129" t="s">
        <v>2774</v>
      </c>
      <c r="K129" t="s">
        <v>2779</v>
      </c>
      <c r="L129" t="s">
        <v>2779</v>
      </c>
      <c r="M129" t="s">
        <v>2774</v>
      </c>
      <c r="N129" t="s">
        <v>2779</v>
      </c>
      <c r="O129" t="s">
        <v>2774</v>
      </c>
      <c r="P129" t="s">
        <v>2780</v>
      </c>
      <c r="Q129" t="s">
        <v>2774</v>
      </c>
      <c r="R129" t="s">
        <v>2781</v>
      </c>
      <c r="S129" t="s">
        <v>2774</v>
      </c>
      <c r="T129" t="s">
        <v>2782</v>
      </c>
      <c r="U129" t="s">
        <v>2774</v>
      </c>
      <c r="V129" t="s">
        <v>2774</v>
      </c>
      <c r="W129" t="s">
        <v>2774</v>
      </c>
      <c r="X129" t="s">
        <v>2783</v>
      </c>
      <c r="Y129" t="s">
        <v>2784</v>
      </c>
      <c r="Z129" t="s">
        <v>2785</v>
      </c>
      <c r="AA129" t="s">
        <v>2786</v>
      </c>
      <c r="AB129" t="s">
        <v>2779</v>
      </c>
      <c r="AC129" t="s">
        <v>2787</v>
      </c>
      <c r="AD129" t="s">
        <v>2774</v>
      </c>
      <c r="AE129" t="s">
        <v>2774</v>
      </c>
      <c r="AF129" t="s">
        <v>2788</v>
      </c>
      <c r="AG129" t="s">
        <v>2789</v>
      </c>
      <c r="AH129" t="s">
        <v>2779</v>
      </c>
      <c r="AI129" t="s">
        <v>2774</v>
      </c>
      <c r="AJ129" t="s">
        <v>2774</v>
      </c>
      <c r="AK129" t="s">
        <v>2774</v>
      </c>
      <c r="AL129" t="s">
        <v>2790</v>
      </c>
      <c r="AM129" t="s">
        <v>2777</v>
      </c>
      <c r="AN129" t="s">
        <v>2791</v>
      </c>
      <c r="AO129" t="s">
        <v>2792</v>
      </c>
      <c r="AP129" t="s">
        <v>2793</v>
      </c>
    </row>
    <row r="130" spans="1:42" x14ac:dyDescent="0.25">
      <c r="A130" t="s">
        <v>2794</v>
      </c>
      <c r="B130" t="s">
        <v>2795</v>
      </c>
      <c r="C130" t="s">
        <v>2794</v>
      </c>
      <c r="D130" t="s">
        <v>2794</v>
      </c>
      <c r="E130" t="s">
        <v>2796</v>
      </c>
      <c r="F130" t="s">
        <v>2794</v>
      </c>
      <c r="G130" t="s">
        <v>2797</v>
      </c>
      <c r="H130" t="s">
        <v>2798</v>
      </c>
      <c r="I130" t="s">
        <v>2794</v>
      </c>
      <c r="J130" t="s">
        <v>2794</v>
      </c>
      <c r="K130" t="s">
        <v>2799</v>
      </c>
      <c r="L130" t="s">
        <v>2799</v>
      </c>
      <c r="M130" t="s">
        <v>2794</v>
      </c>
      <c r="N130" t="s">
        <v>2799</v>
      </c>
      <c r="O130" t="s">
        <v>2794</v>
      </c>
      <c r="P130" t="s">
        <v>2800</v>
      </c>
      <c r="Q130" t="s">
        <v>2794</v>
      </c>
      <c r="R130" t="s">
        <v>2801</v>
      </c>
      <c r="S130" t="s">
        <v>2794</v>
      </c>
      <c r="T130" t="s">
        <v>2802</v>
      </c>
      <c r="U130" t="s">
        <v>2794</v>
      </c>
      <c r="V130" t="s">
        <v>2794</v>
      </c>
      <c r="W130" t="s">
        <v>2794</v>
      </c>
      <c r="X130" t="s">
        <v>2803</v>
      </c>
      <c r="Y130" t="s">
        <v>2804</v>
      </c>
      <c r="Z130" t="s">
        <v>2805</v>
      </c>
      <c r="AA130" t="s">
        <v>2806</v>
      </c>
      <c r="AB130" t="s">
        <v>2799</v>
      </c>
      <c r="AC130" t="s">
        <v>2807</v>
      </c>
      <c r="AD130" t="s">
        <v>2794</v>
      </c>
      <c r="AE130" t="s">
        <v>2794</v>
      </c>
      <c r="AF130" t="s">
        <v>2808</v>
      </c>
      <c r="AG130" t="s">
        <v>2809</v>
      </c>
      <c r="AH130" t="s">
        <v>2799</v>
      </c>
      <c r="AI130" t="s">
        <v>2794</v>
      </c>
      <c r="AJ130" t="s">
        <v>2794</v>
      </c>
      <c r="AK130" t="s">
        <v>2794</v>
      </c>
      <c r="AL130" t="s">
        <v>2810</v>
      </c>
      <c r="AM130" t="s">
        <v>2797</v>
      </c>
      <c r="AN130" t="s">
        <v>2811</v>
      </c>
      <c r="AO130" t="s">
        <v>2812</v>
      </c>
      <c r="AP130" t="s">
        <v>2813</v>
      </c>
    </row>
    <row r="131" spans="1:42" x14ac:dyDescent="0.25">
      <c r="A131" t="s">
        <v>2814</v>
      </c>
      <c r="B131" t="s">
        <v>2815</v>
      </c>
      <c r="C131" t="s">
        <v>2814</v>
      </c>
      <c r="D131" t="s">
        <v>2814</v>
      </c>
      <c r="E131" t="s">
        <v>2816</v>
      </c>
      <c r="F131" t="s">
        <v>2814</v>
      </c>
      <c r="G131" t="s">
        <v>2817</v>
      </c>
      <c r="H131" t="s">
        <v>2818</v>
      </c>
      <c r="I131" t="s">
        <v>2814</v>
      </c>
      <c r="J131" t="s">
        <v>2814</v>
      </c>
      <c r="K131" t="s">
        <v>2819</v>
      </c>
      <c r="L131" t="s">
        <v>2819</v>
      </c>
      <c r="M131" t="s">
        <v>2814</v>
      </c>
      <c r="N131" t="s">
        <v>2819</v>
      </c>
      <c r="O131" t="s">
        <v>2814</v>
      </c>
      <c r="P131" t="s">
        <v>2820</v>
      </c>
      <c r="Q131" t="s">
        <v>2814</v>
      </c>
      <c r="R131" t="s">
        <v>2821</v>
      </c>
      <c r="S131" t="s">
        <v>2814</v>
      </c>
      <c r="T131" t="s">
        <v>2822</v>
      </c>
      <c r="U131" t="s">
        <v>2814</v>
      </c>
      <c r="V131" t="s">
        <v>2814</v>
      </c>
      <c r="W131" t="s">
        <v>2814</v>
      </c>
      <c r="X131" t="s">
        <v>2823</v>
      </c>
      <c r="Y131" t="s">
        <v>2824</v>
      </c>
      <c r="Z131" t="s">
        <v>2825</v>
      </c>
      <c r="AA131" t="s">
        <v>2826</v>
      </c>
      <c r="AB131" t="s">
        <v>2819</v>
      </c>
      <c r="AC131" t="s">
        <v>2827</v>
      </c>
      <c r="AD131" t="s">
        <v>2814</v>
      </c>
      <c r="AE131" t="s">
        <v>2814</v>
      </c>
      <c r="AF131" t="s">
        <v>2828</v>
      </c>
      <c r="AG131" t="s">
        <v>2829</v>
      </c>
      <c r="AH131" t="s">
        <v>2819</v>
      </c>
      <c r="AI131" t="s">
        <v>2814</v>
      </c>
      <c r="AJ131" t="s">
        <v>2814</v>
      </c>
      <c r="AK131" t="s">
        <v>2814</v>
      </c>
      <c r="AL131" t="s">
        <v>2830</v>
      </c>
      <c r="AM131" t="s">
        <v>2817</v>
      </c>
      <c r="AN131" t="s">
        <v>2831</v>
      </c>
      <c r="AO131" t="s">
        <v>2832</v>
      </c>
      <c r="AP131" t="s">
        <v>2833</v>
      </c>
    </row>
    <row r="132" spans="1:42" x14ac:dyDescent="0.25">
      <c r="A132" t="s">
        <v>2834</v>
      </c>
      <c r="B132" t="s">
        <v>2835</v>
      </c>
      <c r="C132" t="s">
        <v>2834</v>
      </c>
      <c r="D132" t="s">
        <v>2834</v>
      </c>
      <c r="E132" t="s">
        <v>2836</v>
      </c>
      <c r="F132" t="s">
        <v>2834</v>
      </c>
      <c r="G132" t="s">
        <v>2837</v>
      </c>
      <c r="H132" t="s">
        <v>2838</v>
      </c>
      <c r="I132" t="s">
        <v>2834</v>
      </c>
      <c r="J132" t="s">
        <v>2834</v>
      </c>
      <c r="K132" t="s">
        <v>2839</v>
      </c>
      <c r="L132" t="s">
        <v>2839</v>
      </c>
      <c r="M132" t="s">
        <v>2834</v>
      </c>
      <c r="N132" t="s">
        <v>2839</v>
      </c>
      <c r="O132" t="s">
        <v>2834</v>
      </c>
      <c r="P132" t="s">
        <v>2840</v>
      </c>
      <c r="Q132" t="s">
        <v>2834</v>
      </c>
      <c r="R132" t="s">
        <v>2841</v>
      </c>
      <c r="S132" t="s">
        <v>2834</v>
      </c>
      <c r="T132" t="s">
        <v>2842</v>
      </c>
      <c r="U132" t="s">
        <v>2834</v>
      </c>
      <c r="V132" t="s">
        <v>2834</v>
      </c>
      <c r="W132" t="s">
        <v>2834</v>
      </c>
      <c r="X132" t="s">
        <v>2843</v>
      </c>
      <c r="Y132" t="s">
        <v>2844</v>
      </c>
      <c r="Z132" t="s">
        <v>2845</v>
      </c>
      <c r="AA132" t="s">
        <v>2846</v>
      </c>
      <c r="AB132" t="s">
        <v>2839</v>
      </c>
      <c r="AC132" t="s">
        <v>2847</v>
      </c>
      <c r="AD132" t="s">
        <v>2834</v>
      </c>
      <c r="AE132" t="s">
        <v>2834</v>
      </c>
      <c r="AF132" t="s">
        <v>2848</v>
      </c>
      <c r="AG132" t="s">
        <v>2849</v>
      </c>
      <c r="AH132" t="s">
        <v>2839</v>
      </c>
      <c r="AI132" t="s">
        <v>2834</v>
      </c>
      <c r="AJ132" t="s">
        <v>2834</v>
      </c>
      <c r="AK132" t="s">
        <v>2834</v>
      </c>
      <c r="AL132" t="s">
        <v>2850</v>
      </c>
      <c r="AM132" t="s">
        <v>2837</v>
      </c>
      <c r="AN132" t="s">
        <v>2851</v>
      </c>
      <c r="AO132" t="s">
        <v>2852</v>
      </c>
      <c r="AP132" t="s">
        <v>2853</v>
      </c>
    </row>
    <row r="133" spans="1:42" x14ac:dyDescent="0.25">
      <c r="A133" t="s">
        <v>2854</v>
      </c>
      <c r="B133" t="s">
        <v>2855</v>
      </c>
      <c r="C133" t="s">
        <v>2854</v>
      </c>
      <c r="D133" t="s">
        <v>2854</v>
      </c>
      <c r="E133" t="s">
        <v>2856</v>
      </c>
      <c r="F133" t="s">
        <v>2854</v>
      </c>
      <c r="G133" t="s">
        <v>2857</v>
      </c>
      <c r="H133" t="s">
        <v>2858</v>
      </c>
      <c r="I133" t="s">
        <v>2854</v>
      </c>
      <c r="J133" t="s">
        <v>2854</v>
      </c>
      <c r="K133" t="s">
        <v>2859</v>
      </c>
      <c r="L133" t="s">
        <v>2859</v>
      </c>
      <c r="M133" t="s">
        <v>2854</v>
      </c>
      <c r="N133" t="s">
        <v>2859</v>
      </c>
      <c r="O133" t="s">
        <v>2854</v>
      </c>
      <c r="P133" t="s">
        <v>2860</v>
      </c>
      <c r="Q133" t="s">
        <v>2854</v>
      </c>
      <c r="R133" t="s">
        <v>2861</v>
      </c>
      <c r="S133" t="s">
        <v>2854</v>
      </c>
      <c r="T133" t="s">
        <v>2862</v>
      </c>
      <c r="U133" t="s">
        <v>2854</v>
      </c>
      <c r="V133" t="s">
        <v>2854</v>
      </c>
      <c r="W133" t="s">
        <v>2854</v>
      </c>
      <c r="X133" t="s">
        <v>2863</v>
      </c>
      <c r="Y133" t="s">
        <v>2864</v>
      </c>
      <c r="Z133" t="s">
        <v>2865</v>
      </c>
      <c r="AA133" t="s">
        <v>2866</v>
      </c>
      <c r="AB133" t="s">
        <v>2859</v>
      </c>
      <c r="AC133" t="s">
        <v>2867</v>
      </c>
      <c r="AD133" t="s">
        <v>2854</v>
      </c>
      <c r="AE133" t="s">
        <v>2854</v>
      </c>
      <c r="AF133" t="s">
        <v>2868</v>
      </c>
      <c r="AG133" t="s">
        <v>2869</v>
      </c>
      <c r="AH133" t="s">
        <v>2859</v>
      </c>
      <c r="AI133" t="s">
        <v>2854</v>
      </c>
      <c r="AJ133" t="s">
        <v>2854</v>
      </c>
      <c r="AK133" t="s">
        <v>2854</v>
      </c>
      <c r="AL133" t="s">
        <v>2870</v>
      </c>
      <c r="AM133" t="s">
        <v>2857</v>
      </c>
      <c r="AN133" t="s">
        <v>2871</v>
      </c>
      <c r="AO133" t="s">
        <v>2872</v>
      </c>
      <c r="AP133" t="s">
        <v>2873</v>
      </c>
    </row>
    <row r="134" spans="1:42" x14ac:dyDescent="0.25">
      <c r="A134" t="s">
        <v>2874</v>
      </c>
      <c r="B134" t="s">
        <v>2875</v>
      </c>
      <c r="C134" t="s">
        <v>2874</v>
      </c>
      <c r="D134" t="s">
        <v>2874</v>
      </c>
      <c r="E134" t="s">
        <v>2876</v>
      </c>
      <c r="F134" t="s">
        <v>2874</v>
      </c>
      <c r="G134" t="s">
        <v>2877</v>
      </c>
      <c r="H134" t="s">
        <v>2878</v>
      </c>
      <c r="I134" t="s">
        <v>2874</v>
      </c>
      <c r="J134" t="s">
        <v>2874</v>
      </c>
      <c r="K134" t="s">
        <v>2879</v>
      </c>
      <c r="L134" t="s">
        <v>2879</v>
      </c>
      <c r="M134" t="s">
        <v>2874</v>
      </c>
      <c r="N134" t="s">
        <v>2879</v>
      </c>
      <c r="O134" t="s">
        <v>2874</v>
      </c>
      <c r="P134" t="s">
        <v>2880</v>
      </c>
      <c r="Q134" t="s">
        <v>2874</v>
      </c>
      <c r="R134" t="s">
        <v>2881</v>
      </c>
      <c r="S134" t="s">
        <v>2874</v>
      </c>
      <c r="T134" t="s">
        <v>2882</v>
      </c>
      <c r="U134" t="s">
        <v>2874</v>
      </c>
      <c r="V134" t="s">
        <v>2874</v>
      </c>
      <c r="W134" t="s">
        <v>2874</v>
      </c>
      <c r="X134" t="s">
        <v>2883</v>
      </c>
      <c r="Y134" t="s">
        <v>2884</v>
      </c>
      <c r="Z134" t="s">
        <v>2885</v>
      </c>
      <c r="AA134" t="s">
        <v>2886</v>
      </c>
      <c r="AB134" t="s">
        <v>2879</v>
      </c>
      <c r="AC134" t="s">
        <v>2887</v>
      </c>
      <c r="AD134" t="s">
        <v>2874</v>
      </c>
      <c r="AE134" t="s">
        <v>2874</v>
      </c>
      <c r="AF134" t="s">
        <v>2888</v>
      </c>
      <c r="AG134" t="s">
        <v>2889</v>
      </c>
      <c r="AH134" t="s">
        <v>2879</v>
      </c>
      <c r="AI134" t="s">
        <v>2874</v>
      </c>
      <c r="AJ134" t="s">
        <v>2874</v>
      </c>
      <c r="AK134" t="s">
        <v>2874</v>
      </c>
      <c r="AL134" t="s">
        <v>2890</v>
      </c>
      <c r="AM134" t="s">
        <v>2877</v>
      </c>
      <c r="AN134" t="s">
        <v>2891</v>
      </c>
      <c r="AO134" t="s">
        <v>2892</v>
      </c>
      <c r="AP134" t="s">
        <v>2893</v>
      </c>
    </row>
    <row r="135" spans="1:42" x14ac:dyDescent="0.25">
      <c r="A135" t="s">
        <v>2894</v>
      </c>
      <c r="B135" t="s">
        <v>2895</v>
      </c>
      <c r="C135" t="s">
        <v>2894</v>
      </c>
      <c r="D135" t="s">
        <v>2894</v>
      </c>
      <c r="E135" t="s">
        <v>2896</v>
      </c>
      <c r="F135" t="s">
        <v>2894</v>
      </c>
      <c r="G135" t="s">
        <v>2897</v>
      </c>
      <c r="H135" t="s">
        <v>2898</v>
      </c>
      <c r="I135" t="s">
        <v>2894</v>
      </c>
      <c r="J135" t="s">
        <v>2894</v>
      </c>
      <c r="K135" t="s">
        <v>2899</v>
      </c>
      <c r="L135" t="s">
        <v>2899</v>
      </c>
      <c r="M135" t="s">
        <v>2894</v>
      </c>
      <c r="N135" t="s">
        <v>2899</v>
      </c>
      <c r="O135" t="s">
        <v>2894</v>
      </c>
      <c r="P135" t="s">
        <v>2900</v>
      </c>
      <c r="Q135" t="s">
        <v>2894</v>
      </c>
      <c r="R135" t="s">
        <v>2901</v>
      </c>
      <c r="S135" t="s">
        <v>2894</v>
      </c>
      <c r="T135" t="s">
        <v>2902</v>
      </c>
      <c r="U135" t="s">
        <v>2894</v>
      </c>
      <c r="V135" t="s">
        <v>2894</v>
      </c>
      <c r="W135" t="s">
        <v>2894</v>
      </c>
      <c r="X135" t="s">
        <v>2903</v>
      </c>
      <c r="Y135" t="s">
        <v>2904</v>
      </c>
      <c r="Z135" t="s">
        <v>2905</v>
      </c>
      <c r="AA135" t="s">
        <v>2906</v>
      </c>
      <c r="AB135" t="s">
        <v>2899</v>
      </c>
      <c r="AC135" t="s">
        <v>2907</v>
      </c>
      <c r="AD135" t="s">
        <v>2894</v>
      </c>
      <c r="AE135" t="s">
        <v>2894</v>
      </c>
      <c r="AF135" t="s">
        <v>2908</v>
      </c>
      <c r="AG135" t="s">
        <v>2909</v>
      </c>
      <c r="AH135" t="s">
        <v>2899</v>
      </c>
      <c r="AI135" t="s">
        <v>2894</v>
      </c>
      <c r="AJ135" t="s">
        <v>2894</v>
      </c>
      <c r="AK135" t="s">
        <v>2894</v>
      </c>
      <c r="AL135" t="s">
        <v>2910</v>
      </c>
      <c r="AM135" t="s">
        <v>2897</v>
      </c>
      <c r="AN135" t="s">
        <v>2911</v>
      </c>
      <c r="AO135" t="s">
        <v>2912</v>
      </c>
      <c r="AP135" t="s">
        <v>2913</v>
      </c>
    </row>
    <row r="136" spans="1:42" x14ac:dyDescent="0.25">
      <c r="A136" t="s">
        <v>2914</v>
      </c>
      <c r="B136" t="s">
        <v>2915</v>
      </c>
      <c r="C136" t="s">
        <v>2914</v>
      </c>
      <c r="D136" t="s">
        <v>2914</v>
      </c>
      <c r="E136" t="s">
        <v>2916</v>
      </c>
      <c r="F136" t="s">
        <v>2914</v>
      </c>
      <c r="G136" t="s">
        <v>2917</v>
      </c>
      <c r="H136" t="s">
        <v>2918</v>
      </c>
      <c r="I136" t="s">
        <v>2914</v>
      </c>
      <c r="J136" t="s">
        <v>2914</v>
      </c>
      <c r="K136" t="s">
        <v>2919</v>
      </c>
      <c r="L136" t="s">
        <v>2919</v>
      </c>
      <c r="M136" t="s">
        <v>2914</v>
      </c>
      <c r="N136" t="s">
        <v>2919</v>
      </c>
      <c r="O136" t="s">
        <v>2914</v>
      </c>
      <c r="P136" t="s">
        <v>2920</v>
      </c>
      <c r="Q136" t="s">
        <v>2914</v>
      </c>
      <c r="R136" t="s">
        <v>2921</v>
      </c>
      <c r="S136" t="s">
        <v>2914</v>
      </c>
      <c r="T136" t="s">
        <v>2922</v>
      </c>
      <c r="U136" t="s">
        <v>2914</v>
      </c>
      <c r="V136" t="s">
        <v>2914</v>
      </c>
      <c r="W136" t="s">
        <v>2914</v>
      </c>
      <c r="X136" t="s">
        <v>2923</v>
      </c>
      <c r="Y136" t="s">
        <v>2924</v>
      </c>
      <c r="Z136" t="s">
        <v>2925</v>
      </c>
      <c r="AA136" t="s">
        <v>2926</v>
      </c>
      <c r="AB136" t="s">
        <v>2919</v>
      </c>
      <c r="AC136" t="s">
        <v>2927</v>
      </c>
      <c r="AD136" t="s">
        <v>2914</v>
      </c>
      <c r="AE136" t="s">
        <v>2914</v>
      </c>
      <c r="AF136" t="s">
        <v>2928</v>
      </c>
      <c r="AG136" t="s">
        <v>2929</v>
      </c>
      <c r="AH136" t="s">
        <v>2919</v>
      </c>
      <c r="AI136" t="s">
        <v>2914</v>
      </c>
      <c r="AJ136" t="s">
        <v>2914</v>
      </c>
      <c r="AK136" t="s">
        <v>2914</v>
      </c>
      <c r="AL136" t="s">
        <v>2930</v>
      </c>
      <c r="AM136" t="s">
        <v>2917</v>
      </c>
      <c r="AN136" t="s">
        <v>2931</v>
      </c>
      <c r="AO136" t="s">
        <v>2932</v>
      </c>
      <c r="AP136" t="s">
        <v>2933</v>
      </c>
    </row>
    <row r="137" spans="1:42" x14ac:dyDescent="0.25">
      <c r="A137" t="s">
        <v>2934</v>
      </c>
      <c r="B137" t="s">
        <v>2935</v>
      </c>
      <c r="C137" t="s">
        <v>2934</v>
      </c>
      <c r="D137" t="s">
        <v>2934</v>
      </c>
      <c r="E137" t="s">
        <v>2936</v>
      </c>
      <c r="F137" t="s">
        <v>2934</v>
      </c>
      <c r="G137" t="s">
        <v>2937</v>
      </c>
      <c r="H137" t="s">
        <v>2938</v>
      </c>
      <c r="I137" t="s">
        <v>2934</v>
      </c>
      <c r="J137" t="s">
        <v>2934</v>
      </c>
      <c r="K137" t="s">
        <v>2939</v>
      </c>
      <c r="L137" t="s">
        <v>2939</v>
      </c>
      <c r="M137" t="s">
        <v>2934</v>
      </c>
      <c r="N137" t="s">
        <v>2939</v>
      </c>
      <c r="O137" t="s">
        <v>2934</v>
      </c>
      <c r="P137" t="s">
        <v>2940</v>
      </c>
      <c r="Q137" t="s">
        <v>2934</v>
      </c>
      <c r="R137" t="s">
        <v>2941</v>
      </c>
      <c r="S137" t="s">
        <v>2934</v>
      </c>
      <c r="T137" t="s">
        <v>2942</v>
      </c>
      <c r="U137" t="s">
        <v>2934</v>
      </c>
      <c r="V137" t="s">
        <v>2934</v>
      </c>
      <c r="W137" t="s">
        <v>2934</v>
      </c>
      <c r="X137" t="s">
        <v>2943</v>
      </c>
      <c r="Y137" t="s">
        <v>2944</v>
      </c>
      <c r="Z137" t="s">
        <v>2945</v>
      </c>
      <c r="AA137" t="s">
        <v>2946</v>
      </c>
      <c r="AB137" t="s">
        <v>2939</v>
      </c>
      <c r="AC137" t="s">
        <v>2947</v>
      </c>
      <c r="AD137" t="s">
        <v>2934</v>
      </c>
      <c r="AE137" t="s">
        <v>2934</v>
      </c>
      <c r="AF137" t="s">
        <v>2948</v>
      </c>
      <c r="AG137" t="s">
        <v>2949</v>
      </c>
      <c r="AH137" t="s">
        <v>2939</v>
      </c>
      <c r="AI137" t="s">
        <v>2934</v>
      </c>
      <c r="AJ137" t="s">
        <v>2934</v>
      </c>
      <c r="AK137" t="s">
        <v>2934</v>
      </c>
      <c r="AL137" t="s">
        <v>2950</v>
      </c>
      <c r="AM137" t="s">
        <v>2937</v>
      </c>
      <c r="AN137" t="s">
        <v>2951</v>
      </c>
      <c r="AO137" t="s">
        <v>2952</v>
      </c>
      <c r="AP137" t="s">
        <v>2953</v>
      </c>
    </row>
    <row r="138" spans="1:42" x14ac:dyDescent="0.25">
      <c r="A138" t="s">
        <v>2954</v>
      </c>
      <c r="B138" t="s">
        <v>2955</v>
      </c>
      <c r="C138" t="s">
        <v>2954</v>
      </c>
      <c r="D138" t="s">
        <v>2954</v>
      </c>
      <c r="E138" t="s">
        <v>2956</v>
      </c>
      <c r="F138" t="s">
        <v>2954</v>
      </c>
      <c r="G138" t="s">
        <v>2957</v>
      </c>
      <c r="H138" t="s">
        <v>2958</v>
      </c>
      <c r="I138" t="s">
        <v>2954</v>
      </c>
      <c r="J138" t="s">
        <v>2954</v>
      </c>
      <c r="K138" t="s">
        <v>2959</v>
      </c>
      <c r="L138" t="s">
        <v>2959</v>
      </c>
      <c r="M138" t="s">
        <v>2954</v>
      </c>
      <c r="N138" t="s">
        <v>2959</v>
      </c>
      <c r="O138" t="s">
        <v>2954</v>
      </c>
      <c r="P138" t="s">
        <v>2960</v>
      </c>
      <c r="Q138" t="s">
        <v>2954</v>
      </c>
      <c r="R138" t="s">
        <v>2961</v>
      </c>
      <c r="S138" t="s">
        <v>2954</v>
      </c>
      <c r="T138" t="s">
        <v>2962</v>
      </c>
      <c r="U138" t="s">
        <v>2954</v>
      </c>
      <c r="V138" t="s">
        <v>2954</v>
      </c>
      <c r="W138" t="s">
        <v>2954</v>
      </c>
      <c r="X138" t="s">
        <v>2963</v>
      </c>
      <c r="Y138" t="s">
        <v>2964</v>
      </c>
      <c r="Z138" t="s">
        <v>2965</v>
      </c>
      <c r="AA138" t="s">
        <v>2966</v>
      </c>
      <c r="AB138" t="s">
        <v>2959</v>
      </c>
      <c r="AC138" t="s">
        <v>2967</v>
      </c>
      <c r="AD138" t="s">
        <v>2954</v>
      </c>
      <c r="AE138" t="s">
        <v>2954</v>
      </c>
      <c r="AF138" t="s">
        <v>2968</v>
      </c>
      <c r="AG138" t="s">
        <v>2969</v>
      </c>
      <c r="AH138" t="s">
        <v>2959</v>
      </c>
      <c r="AI138" t="s">
        <v>2954</v>
      </c>
      <c r="AJ138" t="s">
        <v>2954</v>
      </c>
      <c r="AK138" t="s">
        <v>2954</v>
      </c>
      <c r="AL138" t="s">
        <v>2970</v>
      </c>
      <c r="AM138" t="s">
        <v>2957</v>
      </c>
      <c r="AN138" t="s">
        <v>2971</v>
      </c>
      <c r="AO138" t="s">
        <v>2972</v>
      </c>
      <c r="AP138" t="s">
        <v>2973</v>
      </c>
    </row>
    <row r="139" spans="1:42" x14ac:dyDescent="0.25">
      <c r="A139" t="s">
        <v>2974</v>
      </c>
      <c r="B139" t="s">
        <v>2975</v>
      </c>
      <c r="C139" t="s">
        <v>2974</v>
      </c>
      <c r="D139" t="s">
        <v>2974</v>
      </c>
      <c r="E139" t="s">
        <v>2976</v>
      </c>
      <c r="F139" t="s">
        <v>2974</v>
      </c>
      <c r="G139" t="s">
        <v>2977</v>
      </c>
      <c r="H139" t="s">
        <v>2978</v>
      </c>
      <c r="I139" t="s">
        <v>2974</v>
      </c>
      <c r="J139" t="s">
        <v>2974</v>
      </c>
      <c r="K139" t="s">
        <v>2979</v>
      </c>
      <c r="L139" t="s">
        <v>2979</v>
      </c>
      <c r="M139" t="s">
        <v>2974</v>
      </c>
      <c r="N139" t="s">
        <v>2979</v>
      </c>
      <c r="O139" t="s">
        <v>2974</v>
      </c>
      <c r="P139" t="s">
        <v>2980</v>
      </c>
      <c r="Q139" t="s">
        <v>2974</v>
      </c>
      <c r="R139" t="s">
        <v>2981</v>
      </c>
      <c r="S139" t="s">
        <v>2974</v>
      </c>
      <c r="T139" t="s">
        <v>2982</v>
      </c>
      <c r="U139" t="s">
        <v>2974</v>
      </c>
      <c r="V139" t="s">
        <v>2974</v>
      </c>
      <c r="W139" t="s">
        <v>2974</v>
      </c>
      <c r="X139" t="s">
        <v>2983</v>
      </c>
      <c r="Y139" t="s">
        <v>2984</v>
      </c>
      <c r="Z139" t="s">
        <v>2985</v>
      </c>
      <c r="AA139" t="s">
        <v>2986</v>
      </c>
      <c r="AB139" t="s">
        <v>2979</v>
      </c>
      <c r="AC139" t="s">
        <v>2987</v>
      </c>
      <c r="AD139" t="s">
        <v>2974</v>
      </c>
      <c r="AE139" t="s">
        <v>2974</v>
      </c>
      <c r="AF139" t="s">
        <v>2988</v>
      </c>
      <c r="AG139" t="s">
        <v>2989</v>
      </c>
      <c r="AH139" t="s">
        <v>2979</v>
      </c>
      <c r="AI139" t="s">
        <v>2974</v>
      </c>
      <c r="AJ139" t="s">
        <v>2974</v>
      </c>
      <c r="AK139" t="s">
        <v>2974</v>
      </c>
      <c r="AL139" t="s">
        <v>2990</v>
      </c>
      <c r="AM139" t="s">
        <v>2977</v>
      </c>
      <c r="AN139" t="s">
        <v>2991</v>
      </c>
      <c r="AO139" t="s">
        <v>2992</v>
      </c>
      <c r="AP139" t="s">
        <v>2993</v>
      </c>
    </row>
    <row r="140" spans="1:42" x14ac:dyDescent="0.25">
      <c r="A140" t="s">
        <v>2994</v>
      </c>
      <c r="B140" t="s">
        <v>2995</v>
      </c>
      <c r="C140" t="s">
        <v>2994</v>
      </c>
      <c r="D140" t="s">
        <v>2994</v>
      </c>
      <c r="E140" t="s">
        <v>2996</v>
      </c>
      <c r="F140" t="s">
        <v>2994</v>
      </c>
      <c r="G140" t="s">
        <v>2997</v>
      </c>
      <c r="H140" t="s">
        <v>2998</v>
      </c>
      <c r="I140" t="s">
        <v>2994</v>
      </c>
      <c r="J140" t="s">
        <v>2994</v>
      </c>
      <c r="K140" t="s">
        <v>2999</v>
      </c>
      <c r="L140" t="s">
        <v>2999</v>
      </c>
      <c r="M140" t="s">
        <v>2994</v>
      </c>
      <c r="N140" t="s">
        <v>2999</v>
      </c>
      <c r="O140" t="s">
        <v>2994</v>
      </c>
      <c r="P140" t="s">
        <v>3000</v>
      </c>
      <c r="Q140" t="s">
        <v>2994</v>
      </c>
      <c r="R140" t="s">
        <v>3001</v>
      </c>
      <c r="S140" t="s">
        <v>2994</v>
      </c>
      <c r="T140" t="s">
        <v>3002</v>
      </c>
      <c r="U140" t="s">
        <v>2994</v>
      </c>
      <c r="V140" t="s">
        <v>2994</v>
      </c>
      <c r="W140" t="s">
        <v>2994</v>
      </c>
      <c r="X140" t="s">
        <v>3003</v>
      </c>
      <c r="Y140" t="s">
        <v>3004</v>
      </c>
      <c r="Z140" t="s">
        <v>3005</v>
      </c>
      <c r="AA140" t="s">
        <v>3006</v>
      </c>
      <c r="AB140" t="s">
        <v>2999</v>
      </c>
      <c r="AC140" t="s">
        <v>3007</v>
      </c>
      <c r="AD140" t="s">
        <v>2994</v>
      </c>
      <c r="AE140" t="s">
        <v>2994</v>
      </c>
      <c r="AF140" t="s">
        <v>3008</v>
      </c>
      <c r="AG140" t="s">
        <v>3009</v>
      </c>
      <c r="AH140" t="s">
        <v>2999</v>
      </c>
      <c r="AI140" t="s">
        <v>2994</v>
      </c>
      <c r="AJ140" t="s">
        <v>2994</v>
      </c>
      <c r="AK140" t="s">
        <v>2994</v>
      </c>
      <c r="AL140" t="s">
        <v>3010</v>
      </c>
      <c r="AM140" t="s">
        <v>2997</v>
      </c>
      <c r="AN140" t="s">
        <v>3011</v>
      </c>
      <c r="AO140" t="s">
        <v>3012</v>
      </c>
      <c r="AP140" t="s">
        <v>3013</v>
      </c>
    </row>
    <row r="141" spans="1:42" x14ac:dyDescent="0.25">
      <c r="A141" t="s">
        <v>3014</v>
      </c>
      <c r="B141" t="s">
        <v>3015</v>
      </c>
      <c r="C141" t="s">
        <v>3014</v>
      </c>
      <c r="D141" t="s">
        <v>3014</v>
      </c>
      <c r="E141" t="s">
        <v>3016</v>
      </c>
      <c r="F141" t="s">
        <v>3014</v>
      </c>
      <c r="G141" t="s">
        <v>3017</v>
      </c>
      <c r="H141" t="s">
        <v>3018</v>
      </c>
      <c r="I141" t="s">
        <v>3014</v>
      </c>
      <c r="J141" t="s">
        <v>3014</v>
      </c>
      <c r="K141" t="s">
        <v>3019</v>
      </c>
      <c r="L141" t="s">
        <v>3019</v>
      </c>
      <c r="M141" t="s">
        <v>3014</v>
      </c>
      <c r="N141" t="s">
        <v>3019</v>
      </c>
      <c r="O141" t="s">
        <v>3014</v>
      </c>
      <c r="P141" t="s">
        <v>3020</v>
      </c>
      <c r="Q141" t="s">
        <v>3014</v>
      </c>
      <c r="R141" t="s">
        <v>3021</v>
      </c>
      <c r="S141" t="s">
        <v>3014</v>
      </c>
      <c r="T141" t="s">
        <v>3022</v>
      </c>
      <c r="U141" t="s">
        <v>3014</v>
      </c>
      <c r="V141" t="s">
        <v>3014</v>
      </c>
      <c r="W141" t="s">
        <v>3014</v>
      </c>
      <c r="X141" t="s">
        <v>3023</v>
      </c>
      <c r="Y141" t="s">
        <v>3024</v>
      </c>
      <c r="Z141" t="s">
        <v>3025</v>
      </c>
      <c r="AA141" t="s">
        <v>3026</v>
      </c>
      <c r="AB141" t="s">
        <v>3019</v>
      </c>
      <c r="AC141" t="s">
        <v>3027</v>
      </c>
      <c r="AD141" t="s">
        <v>3014</v>
      </c>
      <c r="AE141" t="s">
        <v>3014</v>
      </c>
      <c r="AF141" t="s">
        <v>3028</v>
      </c>
      <c r="AG141" t="s">
        <v>3029</v>
      </c>
      <c r="AH141" t="s">
        <v>3019</v>
      </c>
      <c r="AI141" t="s">
        <v>3014</v>
      </c>
      <c r="AJ141" t="s">
        <v>3014</v>
      </c>
      <c r="AK141" t="s">
        <v>3014</v>
      </c>
      <c r="AL141" t="s">
        <v>3030</v>
      </c>
      <c r="AM141" t="s">
        <v>3017</v>
      </c>
      <c r="AN141" t="s">
        <v>3031</v>
      </c>
      <c r="AO141" t="s">
        <v>3032</v>
      </c>
      <c r="AP141" t="s">
        <v>3033</v>
      </c>
    </row>
    <row r="142" spans="1:42" x14ac:dyDescent="0.25">
      <c r="A142" t="s">
        <v>3004</v>
      </c>
      <c r="B142" t="s">
        <v>3034</v>
      </c>
      <c r="C142" t="s">
        <v>3004</v>
      </c>
      <c r="D142" t="s">
        <v>3004</v>
      </c>
      <c r="E142" t="s">
        <v>3035</v>
      </c>
      <c r="F142" t="s">
        <v>3004</v>
      </c>
      <c r="G142" t="s">
        <v>3009</v>
      </c>
      <c r="H142" t="s">
        <v>3036</v>
      </c>
      <c r="I142" t="s">
        <v>3004</v>
      </c>
      <c r="J142" t="s">
        <v>3004</v>
      </c>
      <c r="K142" t="s">
        <v>3009</v>
      </c>
      <c r="L142" t="s">
        <v>3011</v>
      </c>
      <c r="M142" t="s">
        <v>2999</v>
      </c>
      <c r="N142" t="s">
        <v>3011</v>
      </c>
      <c r="O142" t="s">
        <v>3004</v>
      </c>
      <c r="P142" t="s">
        <v>3037</v>
      </c>
      <c r="Q142" t="s">
        <v>3004</v>
      </c>
      <c r="R142" t="s">
        <v>3038</v>
      </c>
      <c r="S142" t="s">
        <v>3004</v>
      </c>
      <c r="T142" t="s">
        <v>2999</v>
      </c>
      <c r="U142" t="s">
        <v>3004</v>
      </c>
      <c r="V142" t="s">
        <v>3004</v>
      </c>
      <c r="W142" t="s">
        <v>3004</v>
      </c>
      <c r="X142" t="s">
        <v>3039</v>
      </c>
      <c r="Y142" t="s">
        <v>3009</v>
      </c>
      <c r="Z142" t="s">
        <v>3040</v>
      </c>
      <c r="AA142" t="s">
        <v>3011</v>
      </c>
      <c r="AB142" t="s">
        <v>3011</v>
      </c>
      <c r="AC142" t="s">
        <v>3041</v>
      </c>
      <c r="AD142" t="s">
        <v>3004</v>
      </c>
      <c r="AE142" t="s">
        <v>3004</v>
      </c>
      <c r="AF142" t="s">
        <v>3009</v>
      </c>
      <c r="AG142" t="s">
        <v>3042</v>
      </c>
      <c r="AH142" t="s">
        <v>3009</v>
      </c>
      <c r="AI142" t="s">
        <v>3004</v>
      </c>
      <c r="AJ142" t="s">
        <v>3004</v>
      </c>
      <c r="AK142" t="s">
        <v>3004</v>
      </c>
      <c r="AL142" t="s">
        <v>3043</v>
      </c>
      <c r="AM142" t="s">
        <v>3035</v>
      </c>
      <c r="AN142" t="s">
        <v>3044</v>
      </c>
      <c r="AO142" t="s">
        <v>3045</v>
      </c>
      <c r="AP142" t="s">
        <v>3046</v>
      </c>
    </row>
    <row r="143" spans="1:42" x14ac:dyDescent="0.25">
      <c r="A143" t="s">
        <v>3024</v>
      </c>
      <c r="B143" t="s">
        <v>3047</v>
      </c>
      <c r="C143" t="s">
        <v>3024</v>
      </c>
      <c r="D143" t="s">
        <v>3024</v>
      </c>
      <c r="E143" t="s">
        <v>3048</v>
      </c>
      <c r="F143" t="s">
        <v>3024</v>
      </c>
      <c r="G143" t="s">
        <v>3029</v>
      </c>
      <c r="H143" t="s">
        <v>3049</v>
      </c>
      <c r="I143" t="s">
        <v>3024</v>
      </c>
      <c r="J143" t="s">
        <v>3024</v>
      </c>
      <c r="K143" t="s">
        <v>3029</v>
      </c>
      <c r="L143" t="s">
        <v>3031</v>
      </c>
      <c r="M143" t="s">
        <v>3019</v>
      </c>
      <c r="N143" t="s">
        <v>3031</v>
      </c>
      <c r="O143" t="s">
        <v>3024</v>
      </c>
      <c r="P143" t="s">
        <v>3050</v>
      </c>
      <c r="Q143" t="s">
        <v>3024</v>
      </c>
      <c r="R143" t="s">
        <v>3051</v>
      </c>
      <c r="S143" t="s">
        <v>3024</v>
      </c>
      <c r="T143" t="s">
        <v>3019</v>
      </c>
      <c r="U143" t="s">
        <v>3024</v>
      </c>
      <c r="V143" t="s">
        <v>3024</v>
      </c>
      <c r="W143" t="s">
        <v>3024</v>
      </c>
      <c r="X143" t="s">
        <v>3052</v>
      </c>
      <c r="Y143" t="s">
        <v>3029</v>
      </c>
      <c r="Z143" t="s">
        <v>3053</v>
      </c>
      <c r="AA143" t="s">
        <v>3031</v>
      </c>
      <c r="AB143" t="s">
        <v>3031</v>
      </c>
      <c r="AC143" t="s">
        <v>3054</v>
      </c>
      <c r="AD143" t="s">
        <v>3024</v>
      </c>
      <c r="AE143" t="s">
        <v>3024</v>
      </c>
      <c r="AF143" t="s">
        <v>3029</v>
      </c>
      <c r="AG143" t="s">
        <v>3055</v>
      </c>
      <c r="AH143" t="s">
        <v>3029</v>
      </c>
      <c r="AI143" t="s">
        <v>3024</v>
      </c>
      <c r="AJ143" t="s">
        <v>3024</v>
      </c>
      <c r="AK143" t="s">
        <v>3024</v>
      </c>
      <c r="AL143" t="s">
        <v>3056</v>
      </c>
      <c r="AM143" t="s">
        <v>3048</v>
      </c>
      <c r="AN143" t="s">
        <v>3057</v>
      </c>
      <c r="AO143" t="s">
        <v>3058</v>
      </c>
      <c r="AP143" t="s">
        <v>3059</v>
      </c>
    </row>
    <row r="144" spans="1:42" x14ac:dyDescent="0.25">
      <c r="A144" t="s">
        <v>3060</v>
      </c>
      <c r="B144" t="s">
        <v>3061</v>
      </c>
      <c r="C144" t="s">
        <v>3062</v>
      </c>
      <c r="D144" t="s">
        <v>3063</v>
      </c>
      <c r="E144" t="s">
        <v>3064</v>
      </c>
      <c r="F144" t="s">
        <v>3065</v>
      </c>
      <c r="G144" t="s">
        <v>3066</v>
      </c>
      <c r="H144" t="s">
        <v>3067</v>
      </c>
      <c r="I144" t="s">
        <v>3060</v>
      </c>
      <c r="J144" t="s">
        <v>3068</v>
      </c>
      <c r="K144" t="s">
        <v>3069</v>
      </c>
      <c r="L144" t="s">
        <v>3070</v>
      </c>
      <c r="M144" t="s">
        <v>3071</v>
      </c>
      <c r="N144" t="s">
        <v>3072</v>
      </c>
      <c r="O144" t="s">
        <v>3073</v>
      </c>
      <c r="P144" t="s">
        <v>3074</v>
      </c>
      <c r="Q144" t="s">
        <v>3075</v>
      </c>
      <c r="R144" t="s">
        <v>3076</v>
      </c>
      <c r="S144" t="s">
        <v>3077</v>
      </c>
      <c r="T144" t="s">
        <v>3078</v>
      </c>
      <c r="U144" t="s">
        <v>3079</v>
      </c>
      <c r="V144" t="s">
        <v>3080</v>
      </c>
      <c r="W144" t="s">
        <v>3081</v>
      </c>
      <c r="X144" t="s">
        <v>3082</v>
      </c>
      <c r="Y144" t="s">
        <v>3083</v>
      </c>
      <c r="Z144" t="s">
        <v>3084</v>
      </c>
      <c r="AA144" t="s">
        <v>3085</v>
      </c>
      <c r="AB144" t="s">
        <v>3086</v>
      </c>
      <c r="AC144" t="s">
        <v>3087</v>
      </c>
      <c r="AD144" t="s">
        <v>3088</v>
      </c>
      <c r="AE144" t="s">
        <v>3089</v>
      </c>
      <c r="AF144" t="s">
        <v>3090</v>
      </c>
      <c r="AG144" t="s">
        <v>3091</v>
      </c>
      <c r="AH144" t="s">
        <v>3092</v>
      </c>
      <c r="AI144" t="s">
        <v>3093</v>
      </c>
      <c r="AJ144" t="s">
        <v>3094</v>
      </c>
      <c r="AK144" t="s">
        <v>3095</v>
      </c>
      <c r="AL144" t="s">
        <v>3096</v>
      </c>
      <c r="AM144" t="s">
        <v>3097</v>
      </c>
      <c r="AN144" t="s">
        <v>3098</v>
      </c>
      <c r="AO144" t="s">
        <v>3099</v>
      </c>
      <c r="AP144" t="s">
        <v>3100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3101</v>
      </c>
      <c r="B157" t="s">
        <v>3102</v>
      </c>
      <c r="C157" t="s">
        <v>3103</v>
      </c>
      <c r="D157" t="s">
        <v>3104</v>
      </c>
      <c r="E157" t="s">
        <v>3105</v>
      </c>
      <c r="F157" t="s">
        <v>3106</v>
      </c>
      <c r="G157" t="s">
        <v>3107</v>
      </c>
      <c r="H157" t="s">
        <v>3108</v>
      </c>
      <c r="I157" t="s">
        <v>3109</v>
      </c>
      <c r="J157" t="s">
        <v>3110</v>
      </c>
      <c r="K157" t="s">
        <v>3111</v>
      </c>
      <c r="L157" t="s">
        <v>3112</v>
      </c>
      <c r="M157" t="s">
        <v>3113</v>
      </c>
      <c r="N157" t="s">
        <v>3114</v>
      </c>
      <c r="O157" t="s">
        <v>3114</v>
      </c>
      <c r="P157" t="s">
        <v>3115</v>
      </c>
      <c r="Q157" t="s">
        <v>3116</v>
      </c>
      <c r="R157" t="s">
        <v>3117</v>
      </c>
      <c r="S157" t="s">
        <v>3118</v>
      </c>
      <c r="T157" t="s">
        <v>3119</v>
      </c>
      <c r="U157" t="s">
        <v>3120</v>
      </c>
      <c r="V157" t="s">
        <v>3121</v>
      </c>
      <c r="W157" t="s">
        <v>3122</v>
      </c>
      <c r="X157" t="s">
        <v>3123</v>
      </c>
      <c r="Y157" t="s">
        <v>3124</v>
      </c>
      <c r="Z157" t="s">
        <v>3125</v>
      </c>
      <c r="AA157" t="s">
        <v>3126</v>
      </c>
      <c r="AB157" t="s">
        <v>3127</v>
      </c>
      <c r="AC157" t="s">
        <v>3128</v>
      </c>
      <c r="AD157" t="s">
        <v>3129</v>
      </c>
      <c r="AE157" t="s">
        <v>3130</v>
      </c>
      <c r="AF157" t="s">
        <v>3131</v>
      </c>
      <c r="AG157" t="s">
        <v>3132</v>
      </c>
      <c r="AH157" t="s">
        <v>3133</v>
      </c>
      <c r="AI157" t="s">
        <v>3134</v>
      </c>
      <c r="AJ157" t="s">
        <v>3135</v>
      </c>
      <c r="AK157" t="s">
        <v>3136</v>
      </c>
      <c r="AL157" t="s">
        <v>3137</v>
      </c>
      <c r="AM157" t="s">
        <v>3138</v>
      </c>
      <c r="AN157" t="s">
        <v>3139</v>
      </c>
      <c r="AO157" t="s">
        <v>3140</v>
      </c>
      <c r="AP157" t="s">
        <v>3141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G21" sqref="G21"/>
    </sheetView>
  </sheetViews>
  <sheetFormatPr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 customWidth="1"/>
    <col min="5" max="5" width="1.140625" style="10" customWidth="1"/>
    <col min="6" max="6" width="9.140625" style="10" customWidth="1"/>
    <col min="7" max="7" width="27.5703125" style="10" bestFit="1" customWidth="1"/>
    <col min="8" max="8" width="2.7109375" style="10" customWidth="1"/>
    <col min="9" max="9" width="1.140625" style="10" customWidth="1"/>
    <col min="10" max="10" width="9.140625" style="10" customWidth="1"/>
    <col min="11" max="16384" width="9.140625" style="10"/>
  </cols>
  <sheetData>
    <row r="1" spans="2:27" ht="7.5" customHeight="1" x14ac:dyDescent="0.25"/>
    <row r="2" spans="2:27" ht="16.5" customHeight="1" thickBot="1" x14ac:dyDescent="0.3">
      <c r="B2" s="39" t="s">
        <v>3142</v>
      </c>
      <c r="C2" s="40"/>
      <c r="D2" s="41"/>
      <c r="F2" s="39" t="s">
        <v>3143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3144</v>
      </c>
      <c r="C4" s="60" t="s">
        <v>58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3145</v>
      </c>
      <c r="G5" s="47" t="s">
        <v>3146</v>
      </c>
      <c r="H5" s="44"/>
    </row>
    <row r="6" spans="2:27" x14ac:dyDescent="0.25">
      <c r="B6" s="54" t="s">
        <v>3147</v>
      </c>
      <c r="C6" s="60" t="s">
        <v>3148</v>
      </c>
      <c r="D6" s="44"/>
      <c r="F6" s="46" t="s">
        <v>3149</v>
      </c>
      <c r="G6" s="48" t="s">
        <v>3150</v>
      </c>
      <c r="H6" s="44"/>
    </row>
    <row r="7" spans="2:27" x14ac:dyDescent="0.25">
      <c r="B7" s="54"/>
      <c r="C7" s="43"/>
      <c r="D7" s="44"/>
      <c r="F7" s="46" t="s">
        <v>3151</v>
      </c>
      <c r="G7" s="48" t="s">
        <v>3152</v>
      </c>
      <c r="H7" s="44"/>
      <c r="AA7" s="10" t="e">
        <f t="array" ref="AA7">IF(OR(E7=Settings!I15my_team,H7=my_team),1,0)</f>
        <v>#NAME?</v>
      </c>
    </row>
    <row r="8" spans="2:27" ht="15" customHeight="1" x14ac:dyDescent="0.25">
      <c r="B8" s="54" t="s">
        <v>3153</v>
      </c>
      <c r="C8" s="60" t="s">
        <v>3154</v>
      </c>
      <c r="D8" s="44"/>
      <c r="F8" s="46" t="s">
        <v>3155</v>
      </c>
      <c r="G8" s="48" t="s">
        <v>3156</v>
      </c>
      <c r="H8" s="44"/>
    </row>
    <row r="9" spans="2:27" x14ac:dyDescent="0.25">
      <c r="B9" s="54"/>
      <c r="C9" s="43"/>
      <c r="D9" s="44"/>
      <c r="F9" s="46" t="s">
        <v>3157</v>
      </c>
      <c r="G9" s="49" t="s">
        <v>3158</v>
      </c>
      <c r="H9" s="44"/>
    </row>
    <row r="10" spans="2:27" ht="15" customHeight="1" x14ac:dyDescent="0.25">
      <c r="B10" s="54" t="s">
        <v>3159</v>
      </c>
      <c r="C10" s="60" t="s">
        <v>3160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3161</v>
      </c>
      <c r="C12" s="60" t="s">
        <v>2422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3162</v>
      </c>
      <c r="C14" s="60" t="s">
        <v>3148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3163</v>
      </c>
      <c r="G15" s="118">
        <f>IF(ISERROR(MATCH(C4,lang_list,0)),1,MATCH(C4,lang_list,0))</f>
        <v>28</v>
      </c>
      <c r="H15" s="118"/>
      <c r="I15" s="118" t="str">
        <f>IFERROR(VLOOKUP(C12,T,lang,FALSE),"")</f>
        <v>Norge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3164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2453</v>
      </c>
      <c r="J17" s="118"/>
      <c r="K17" s="76"/>
      <c r="L17" s="76"/>
      <c r="M17" s="76"/>
      <c r="N17" s="76"/>
      <c r="O17" s="76"/>
      <c r="P17" s="76"/>
      <c r="Q17" s="76"/>
    </row>
    <row r="18" spans="2:17" ht="15.75" customHeight="1" x14ac:dyDescent="0.25">
      <c r="B18" s="42"/>
      <c r="C18" s="58" t="s">
        <v>3158</v>
      </c>
      <c r="D18" s="44"/>
      <c r="F18" s="118" t="s">
        <v>3165</v>
      </c>
      <c r="G18" s="118">
        <v>0</v>
      </c>
      <c r="H18" s="118"/>
      <c r="I18" s="118" t="s">
        <v>1291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Frankrike</v>
      </c>
      <c r="C19" s="65">
        <v>1877.32</v>
      </c>
      <c r="D19" s="44"/>
      <c r="F19" s="118" t="s">
        <v>3166</v>
      </c>
      <c r="G19" s="118">
        <v>1</v>
      </c>
      <c r="H19" s="118"/>
      <c r="I19" s="118" t="s">
        <v>1446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Spania</v>
      </c>
      <c r="C20" s="66">
        <v>1876.4</v>
      </c>
      <c r="D20" s="44"/>
      <c r="F20" s="118" t="s">
        <v>3167</v>
      </c>
      <c r="G20" s="118">
        <v>2</v>
      </c>
      <c r="H20" s="118"/>
      <c r="I20" s="118" t="s">
        <v>2485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3168</v>
      </c>
      <c r="G21" s="118">
        <v>3</v>
      </c>
      <c r="H21" s="118"/>
      <c r="I21" s="118" t="s">
        <v>1660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3169</v>
      </c>
      <c r="G22" s="118">
        <v>4</v>
      </c>
      <c r="H22" s="118"/>
      <c r="I22" s="118" t="s">
        <v>2022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3170</v>
      </c>
      <c r="G23" s="118">
        <v>5</v>
      </c>
      <c r="H23" s="118"/>
      <c r="I23" s="118" t="s">
        <v>1766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Brasil</v>
      </c>
      <c r="C24" s="66">
        <v>1761.16</v>
      </c>
      <c r="D24" s="44"/>
      <c r="F24" s="118" t="s">
        <v>3171</v>
      </c>
      <c r="G24" s="118">
        <v>6</v>
      </c>
      <c r="H24" s="118"/>
      <c r="I24" s="118" t="s">
        <v>1689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Nederland</v>
      </c>
      <c r="C25" s="66">
        <v>1757.87</v>
      </c>
      <c r="D25" s="44"/>
      <c r="F25" s="118" t="s">
        <v>3172</v>
      </c>
      <c r="G25" s="118">
        <v>7</v>
      </c>
      <c r="H25" s="118"/>
      <c r="I25" s="118" t="s">
        <v>2367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Marokko</v>
      </c>
      <c r="C26" s="66">
        <v>1755.87</v>
      </c>
      <c r="D26" s="44"/>
      <c r="F26" s="118" t="s">
        <v>3173</v>
      </c>
      <c r="G26" s="118">
        <v>8</v>
      </c>
      <c r="H26" s="118"/>
      <c r="I26" s="118" t="s">
        <v>2600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Belgia</v>
      </c>
      <c r="C27" s="66">
        <v>1734.71</v>
      </c>
      <c r="D27" s="44"/>
      <c r="F27" s="118" t="s">
        <v>3174</v>
      </c>
      <c r="G27" s="118">
        <v>9</v>
      </c>
      <c r="H27" s="118"/>
      <c r="I27" s="118" t="s">
        <v>1730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Tyskland</v>
      </c>
      <c r="C28" s="66">
        <v>1730.37</v>
      </c>
      <c r="D28" s="44"/>
      <c r="F28" s="118" t="s">
        <v>3175</v>
      </c>
      <c r="G28" s="118">
        <v>10</v>
      </c>
      <c r="H28" s="118"/>
      <c r="I28" s="118" t="s">
        <v>2210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Kroatia</v>
      </c>
      <c r="C29" s="66">
        <v>1717.07</v>
      </c>
      <c r="D29" s="44"/>
      <c r="F29" s="118" t="s">
        <v>3154</v>
      </c>
      <c r="G29" s="118">
        <v>11</v>
      </c>
      <c r="H29" s="118"/>
      <c r="I29" s="118" t="s">
        <v>2060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3176</v>
      </c>
      <c r="G30" s="118">
        <v>12</v>
      </c>
      <c r="H30" s="118"/>
      <c r="I30" s="118" t="s">
        <v>2551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3177</v>
      </c>
      <c r="G31" s="118">
        <v>13</v>
      </c>
      <c r="H31" s="118"/>
      <c r="I31" s="118" t="s">
        <v>1120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3178</v>
      </c>
      <c r="G32" s="118">
        <v>14</v>
      </c>
      <c r="H32" s="118"/>
      <c r="I32" s="118" t="s">
        <v>2301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USA</v>
      </c>
      <c r="C33" s="66">
        <v>1673.13</v>
      </c>
      <c r="D33" s="44"/>
      <c r="F33" s="118" t="s">
        <v>3179</v>
      </c>
      <c r="G33" s="118">
        <v>15</v>
      </c>
      <c r="H33" s="118"/>
      <c r="I33" s="118" t="s">
        <v>1175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3180</v>
      </c>
      <c r="G34" s="118">
        <v>16</v>
      </c>
      <c r="H34" s="118"/>
      <c r="I34" s="118" t="s">
        <v>1411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3181</v>
      </c>
      <c r="G35" s="118">
        <v>17</v>
      </c>
      <c r="H35" s="118"/>
      <c r="I35" s="118" t="s">
        <v>1592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Sveits</v>
      </c>
      <c r="C36" s="66">
        <v>1649.4</v>
      </c>
      <c r="D36" s="44"/>
      <c r="F36" s="118" t="s">
        <v>3182</v>
      </c>
      <c r="G36" s="118">
        <v>18</v>
      </c>
      <c r="H36" s="118"/>
      <c r="I36" s="118" t="s">
        <v>1910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3183</v>
      </c>
      <c r="G37" s="118">
        <v>19</v>
      </c>
      <c r="H37" s="118"/>
      <c r="I37" s="118" t="s">
        <v>2099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Tyrkia</v>
      </c>
      <c r="C38" s="66">
        <v>1599.04</v>
      </c>
      <c r="D38" s="44"/>
      <c r="F38" s="118" t="s">
        <v>3184</v>
      </c>
      <c r="G38" s="118">
        <v>20</v>
      </c>
      <c r="H38" s="118"/>
      <c r="I38" s="118" t="s">
        <v>1207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3185</v>
      </c>
      <c r="G39" s="118">
        <v>21</v>
      </c>
      <c r="H39" s="118"/>
      <c r="I39" s="118" t="s">
        <v>2402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Østerrike</v>
      </c>
      <c r="C40" s="66">
        <v>1593.45</v>
      </c>
      <c r="D40" s="44"/>
      <c r="F40" s="118" t="s">
        <v>3186</v>
      </c>
      <c r="G40" s="118">
        <v>22</v>
      </c>
      <c r="H40" s="118"/>
      <c r="I40" s="118" t="s">
        <v>2228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Sør-Korea</v>
      </c>
      <c r="C41" s="66">
        <v>1588.66</v>
      </c>
      <c r="D41" s="44"/>
      <c r="F41" s="118" t="s">
        <v>3187</v>
      </c>
      <c r="G41" s="118">
        <v>23</v>
      </c>
      <c r="H41" s="118"/>
      <c r="I41" s="118" t="s">
        <v>1631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3188</v>
      </c>
      <c r="G42" s="118">
        <v>24</v>
      </c>
      <c r="H42" s="118"/>
      <c r="I42" s="118" t="s">
        <v>2520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Algerie</v>
      </c>
      <c r="C43" s="66">
        <v>1564.26</v>
      </c>
      <c r="D43" s="44"/>
      <c r="F43" s="118"/>
      <c r="G43" s="118"/>
      <c r="H43" s="118"/>
      <c r="I43" s="118" t="s">
        <v>1947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3160</v>
      </c>
      <c r="G44" s="118">
        <v>0</v>
      </c>
      <c r="H44" s="118"/>
      <c r="I44" s="118" t="s">
        <v>1350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3189</v>
      </c>
      <c r="G45" s="118">
        <v>15</v>
      </c>
      <c r="H45" s="118"/>
      <c r="I45" s="118" t="s">
        <v>1704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Norge</v>
      </c>
      <c r="C46" s="66">
        <v>1550.94</v>
      </c>
      <c r="D46" s="44"/>
      <c r="F46" s="118" t="s">
        <v>3190</v>
      </c>
      <c r="G46" s="118">
        <v>30</v>
      </c>
      <c r="H46" s="118"/>
      <c r="I46" s="118" t="s">
        <v>1140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3191</v>
      </c>
      <c r="G47" s="118">
        <v>45</v>
      </c>
      <c r="H47" s="118"/>
      <c r="I47" s="118" t="s">
        <v>2331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Elfenbenskysten</v>
      </c>
      <c r="C48" s="66">
        <v>1532.98</v>
      </c>
      <c r="D48" s="44"/>
      <c r="F48" s="118"/>
      <c r="G48" s="118"/>
      <c r="H48" s="118"/>
      <c r="I48" s="118" t="s">
        <v>2422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Sverige</v>
      </c>
      <c r="C49" s="66">
        <v>1514.77</v>
      </c>
      <c r="D49" s="44"/>
      <c r="F49" s="118"/>
      <c r="G49" s="118"/>
      <c r="H49" s="118"/>
      <c r="I49" s="118" t="s">
        <v>2627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2153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Tsjekkia</v>
      </c>
      <c r="C51" s="66">
        <v>1501.38</v>
      </c>
      <c r="D51" s="44"/>
      <c r="F51" s="118"/>
      <c r="G51" s="118"/>
      <c r="H51" s="118"/>
      <c r="I51" s="118" t="s">
        <v>1885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Skottland</v>
      </c>
      <c r="C52" s="66">
        <v>1498.35</v>
      </c>
      <c r="D52" s="44"/>
      <c r="F52" s="118"/>
      <c r="G52" s="118"/>
      <c r="H52" s="118"/>
      <c r="I52" s="118" t="s">
        <v>1104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1312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Kongo</v>
      </c>
      <c r="C54" s="66">
        <v>1478.35</v>
      </c>
      <c r="D54" s="44"/>
      <c r="F54" s="118"/>
      <c r="G54" s="118"/>
      <c r="H54" s="118"/>
      <c r="I54" s="118" t="s">
        <v>2117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Usbekistan</v>
      </c>
      <c r="C55" s="66">
        <v>1465.34</v>
      </c>
      <c r="D55" s="44"/>
      <c r="F55" s="118"/>
      <c r="G55" s="118"/>
      <c r="H55" s="118"/>
      <c r="I55" s="118" t="s">
        <v>1085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1985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Irak</v>
      </c>
      <c r="C57" s="66">
        <v>1447.14</v>
      </c>
      <c r="D57" s="44"/>
      <c r="F57" s="118"/>
      <c r="G57" s="118"/>
      <c r="H57" s="118"/>
      <c r="I57" s="118" t="s">
        <v>1535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Sør-Afrika</v>
      </c>
      <c r="C58" s="66">
        <v>1429.73</v>
      </c>
      <c r="D58" s="44"/>
      <c r="F58" s="118"/>
      <c r="G58" s="118"/>
      <c r="H58" s="118"/>
      <c r="I58" s="118" t="s">
        <v>2267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Saudi-Arabia</v>
      </c>
      <c r="C59" s="66">
        <v>1421.43</v>
      </c>
      <c r="D59" s="44"/>
      <c r="F59" s="118"/>
      <c r="G59" s="118"/>
      <c r="H59" s="118"/>
      <c r="I59" s="118" t="s">
        <v>1825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1506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Bosnia-Hercegovina</v>
      </c>
      <c r="C61" s="66">
        <v>1385.84</v>
      </c>
      <c r="D61" s="44"/>
      <c r="F61" s="118"/>
      <c r="G61" s="118"/>
      <c r="H61" s="118"/>
      <c r="I61" s="118" t="s">
        <v>2173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Kapp Verde</v>
      </c>
      <c r="C62" s="66">
        <v>1366.13</v>
      </c>
      <c r="D62" s="44"/>
      <c r="F62" s="118"/>
      <c r="G62" s="118"/>
      <c r="H62" s="118"/>
      <c r="I62" s="118" t="s">
        <v>1225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1927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2576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3192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2000000}">
      <formula1>$F$44:$F$47</formula1>
    </dataValidation>
    <dataValidation type="list" allowBlank="1" showInputMessage="1" showErrorMessage="1" promptTitle="Select Your Favorite Team" prompt="Use drop-down List" sqref="C12" xr:uid="{00000000-0002-0000-0100-000003000000}">
      <formula1>teams</formula1>
    </dataValidation>
    <dataValidation type="list" allowBlank="1" showInputMessage="1" showErrorMessage="1" promptTitle="Select GTM-time" prompt="Use drop-down List" sqref="C8" xr:uid="{00000000-0002-0000-0100-000004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00000000-0002-0000-0100-000005000000}">
      <formula1>"Yes,No"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"/>
  <sheetViews>
    <sheetView workbookViewId="0">
      <selection activeCell="E33" sqref="E33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R111"/>
  <sheetViews>
    <sheetView showGridLines="0" tabSelected="1" topLeftCell="A13" zoomScaleNormal="100" workbookViewId="0">
      <selection activeCell="F81" sqref="F81"/>
    </sheetView>
  </sheetViews>
  <sheetFormatPr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97" width="9.140625" style="2" customWidth="1"/>
    <col min="98" max="16384" width="9.140625" style="2"/>
  </cols>
  <sheetData>
    <row r="1" spans="1:95" ht="46.5" customHeight="1" x14ac:dyDescent="0.25">
      <c r="A1" s="165" t="str">
        <f t="array" ref="A1">INDEX(T,2,lang)</f>
        <v>Verdensmesterskapet i fotball 2026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Norwegian</v>
      </c>
      <c r="P3" s="152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53" t="str">
        <f t="array" ref="A5">INDEX(T,3,lang)</f>
        <v>Gruppespill</v>
      </c>
      <c r="B5" s="154"/>
      <c r="C5" s="154"/>
      <c r="D5" s="154"/>
      <c r="E5" s="154"/>
      <c r="F5" s="154"/>
      <c r="G5" s="154"/>
      <c r="H5" s="155"/>
      <c r="J5" s="172" t="s">
        <v>0</v>
      </c>
      <c r="K5" s="154"/>
      <c r="L5" s="154"/>
      <c r="M5" s="154"/>
      <c r="N5" s="154"/>
      <c r="O5" s="154"/>
      <c r="P5" s="173"/>
    </row>
    <row r="6" spans="1:95" ht="15" customHeight="1" x14ac:dyDescent="0.25">
      <c r="A6" s="156"/>
      <c r="B6" s="157"/>
      <c r="C6" s="157"/>
      <c r="D6" s="157"/>
      <c r="E6" s="157"/>
      <c r="F6" s="157"/>
      <c r="G6" s="157"/>
      <c r="H6" s="158"/>
      <c r="J6" s="156"/>
      <c r="K6" s="157"/>
      <c r="L6" s="157"/>
      <c r="M6" s="157"/>
      <c r="N6" s="157"/>
      <c r="O6" s="157"/>
      <c r="P6" s="174"/>
      <c r="R6" s="123" t="s">
        <v>1</v>
      </c>
      <c r="V6" s="123" t="s">
        <v>2</v>
      </c>
      <c r="W6" s="123" t="s">
        <v>3</v>
      </c>
      <c r="Y6" s="123" t="s">
        <v>2</v>
      </c>
      <c r="Z6" s="123" t="s">
        <v>3</v>
      </c>
      <c r="AA6" s="123">
        <f>IF(Settings!C14="Yes",INT(MATCH(my_team,$AE$8:$AE$78,0)/6),-1)</f>
        <v>-1</v>
      </c>
      <c r="AD6" s="123" t="s">
        <v>4</v>
      </c>
      <c r="AE6" s="123" t="s">
        <v>5</v>
      </c>
      <c r="AF6" s="123" t="s">
        <v>6</v>
      </c>
      <c r="AG6" s="123" t="s">
        <v>7</v>
      </c>
      <c r="AH6" s="123" t="s">
        <v>8</v>
      </c>
      <c r="AI6" s="123" t="s">
        <v>2</v>
      </c>
      <c r="AJ6" s="123" t="s">
        <v>3</v>
      </c>
      <c r="AL6" s="123" t="s">
        <v>9</v>
      </c>
      <c r="AM6" s="123" t="s">
        <v>10</v>
      </c>
      <c r="AN6" s="123" t="s">
        <v>11</v>
      </c>
      <c r="AO6" s="123" t="s">
        <v>12</v>
      </c>
      <c r="AP6" s="123" t="s">
        <v>13</v>
      </c>
      <c r="AQ6" s="126" t="s">
        <v>14</v>
      </c>
      <c r="AR6" s="126" t="s">
        <v>15</v>
      </c>
      <c r="AT6" s="126" t="s">
        <v>6</v>
      </c>
      <c r="AU6" s="126" t="s">
        <v>7</v>
      </c>
      <c r="AV6" s="126" t="s">
        <v>2</v>
      </c>
      <c r="AW6" s="126" t="s">
        <v>3</v>
      </c>
      <c r="AX6" s="126" t="s">
        <v>9</v>
      </c>
      <c r="AY6" s="126" t="s">
        <v>10</v>
      </c>
      <c r="AZ6" s="126" t="s">
        <v>15</v>
      </c>
      <c r="BA6" s="128" t="s">
        <v>16</v>
      </c>
      <c r="BB6" s="128" t="s">
        <v>6</v>
      </c>
      <c r="BC6" s="128" t="s">
        <v>7</v>
      </c>
      <c r="BD6" s="128" t="s">
        <v>2</v>
      </c>
      <c r="BE6" s="128" t="s">
        <v>3</v>
      </c>
      <c r="BF6" s="128" t="s">
        <v>9</v>
      </c>
      <c r="BG6" s="128" t="s">
        <v>10</v>
      </c>
      <c r="BH6" s="128" t="s">
        <v>15</v>
      </c>
      <c r="BI6" s="128" t="s">
        <v>16</v>
      </c>
      <c r="BK6" s="159" t="s">
        <v>17</v>
      </c>
      <c r="BL6" s="160"/>
      <c r="BM6" s="160"/>
      <c r="BN6" s="160"/>
      <c r="BO6" s="161"/>
      <c r="BR6" s="159" t="str">
        <f t="array" ref="BR6">INDEX(T,4,lang)</f>
        <v>8-dels finale</v>
      </c>
      <c r="BS6" s="160"/>
      <c r="BT6" s="160"/>
      <c r="BU6" s="160"/>
      <c r="BV6" s="161"/>
      <c r="BY6" s="159" t="str">
        <f t="array" ref="BY6">INDEX(T,5,lang)</f>
        <v>Kvartfinale</v>
      </c>
      <c r="BZ6" s="160"/>
      <c r="CA6" s="160"/>
      <c r="CB6" s="160"/>
      <c r="CC6" s="161"/>
      <c r="CF6" s="159" t="str">
        <f t="array" ref="CF6">INDEX(T,6,lang)</f>
        <v>Semifinale</v>
      </c>
      <c r="CG6" s="160"/>
      <c r="CH6" s="160"/>
      <c r="CI6" s="160"/>
      <c r="CJ6" s="161"/>
    </row>
    <row r="7" spans="1:95" ht="15" customHeight="1" x14ac:dyDescent="0.25">
      <c r="A7" s="11">
        <v>1</v>
      </c>
      <c r="B7" s="12" t="str">
        <f t="array" ref="B7">INDEX(T,18+INT(MOD(R7-1,7)),lang)</f>
        <v>Tors</v>
      </c>
      <c r="C7" s="13" t="str">
        <f t="array" ref="C7">INDEX(T,24+MONTH(R7),lang) &amp; " " &amp; DAY(R7) &amp; ", " &amp; YEAR(R7)</f>
        <v>Jun 11, 2026</v>
      </c>
      <c r="D7" s="119">
        <f t="shared" ref="D7:D38" si="0">TIME(HOUR(R7),MINUTE(R7),0)</f>
        <v>0.79166666666666663</v>
      </c>
      <c r="E7" s="77" t="str">
        <f>AE8</f>
        <v>Mexico</v>
      </c>
      <c r="F7" s="14">
        <v>3</v>
      </c>
      <c r="G7" s="15">
        <v>0</v>
      </c>
      <c r="H7" s="79" t="str">
        <f>AE9</f>
        <v>Sør-Afrika</v>
      </c>
      <c r="R7" s="123">
        <f>DATE(2026,6,11)+TIME(8,0,0)+gmt_delta</f>
        <v>46184.791666666672</v>
      </c>
      <c r="S7" s="127" t="str">
        <f t="shared" ref="S7:S38" si="1">IF(OR(F7="",G7=""),"",IF(F7&gt;G7,E7&amp;"_win",IF(F7&lt;G7,E7&amp;"_lose",E7&amp;"_draw")))</f>
        <v>Mexico_win</v>
      </c>
      <c r="T7" s="127" t="str">
        <f t="shared" ref="T7:T38" si="2">IF(S7="","",IF(F7&lt;G7,H7&amp;"_win",IF(F7&gt;G7,H7&amp;"_lose",H7&amp;"_draw")))</f>
        <v>Sør-Afrika_lose</v>
      </c>
      <c r="U7" s="123">
        <f t="shared" ref="U7:U38" si="3">IF(S7="",0,IF(VLOOKUP(E7,$AE$8:$AN$77,10,FALSE)=VLOOKUP(H7,$AE$8:$AN$77,10,FALSE),1,0))</f>
        <v>0</v>
      </c>
      <c r="V7" s="123">
        <f t="shared" ref="V7:V38" si="4">U7*F7</f>
        <v>0</v>
      </c>
      <c r="W7" s="123">
        <f t="shared" ref="W7:W38" si="5">U7*G7</f>
        <v>0</v>
      </c>
      <c r="X7" s="123">
        <f t="shared" ref="X7:X38" si="6">IF(S7="",0,IF(VLOOKUP(E7,$AE$8:$AO$77,11,FALSE)=VLOOKUP(H7,$AE$8:$AO$77,11,FALSE),1,0))</f>
        <v>0</v>
      </c>
      <c r="Y7" s="123">
        <f t="shared" ref="Y7:Y38" si="7">X7*F7</f>
        <v>0</v>
      </c>
      <c r="Z7" s="123">
        <f t="shared" ref="Z7:Z38" si="8">X7*G7</f>
        <v>0</v>
      </c>
      <c r="AA7" s="123">
        <f t="shared" ref="AA7:AA38" si="9">IF(OR(E7=my_team,H7=my_team),1,IF(INT(MATCH(E7,$AE$8:$AE$78,0)/6)=$AA$6,1,0))</f>
        <v>0</v>
      </c>
      <c r="AB7" s="123">
        <f t="shared" ref="AB7:AB38" si="10">IF(OR(F7="",G7=""),"",IF(F7&gt;G7,1,IF(F7&lt;G7,-1,0)))</f>
        <v>1</v>
      </c>
      <c r="AY7" s="126"/>
      <c r="BK7" s="162"/>
      <c r="BL7" s="163"/>
      <c r="BM7" s="163"/>
      <c r="BN7" s="163"/>
      <c r="BO7" s="164"/>
      <c r="BR7" s="162"/>
      <c r="BS7" s="163"/>
      <c r="BT7" s="163"/>
      <c r="BU7" s="163"/>
      <c r="BV7" s="164"/>
      <c r="BY7" s="162"/>
      <c r="BZ7" s="163"/>
      <c r="CA7" s="163"/>
      <c r="CB7" s="163"/>
      <c r="CC7" s="164"/>
      <c r="CF7" s="162"/>
      <c r="CG7" s="163"/>
      <c r="CH7" s="163"/>
      <c r="CI7" s="163"/>
      <c r="CJ7" s="164"/>
    </row>
    <row r="8" spans="1:95" x14ac:dyDescent="0.25">
      <c r="A8" s="16">
        <v>2</v>
      </c>
      <c r="B8" s="17" t="str">
        <f t="array" ref="B8">INDEX(T,18+INT(MOD(R8-1,7)),lang)</f>
        <v>Fre</v>
      </c>
      <c r="C8" s="18" t="str">
        <f t="array" ref="C8">INDEX(T,24+MONTH(R8),lang) &amp; " " &amp; DAY(R8) &amp; ", " &amp; YEAR(R8)</f>
        <v>Jun 12, 2026</v>
      </c>
      <c r="D8" s="120">
        <f t="shared" si="0"/>
        <v>8.3333333333333329E-2</v>
      </c>
      <c r="E8" s="78" t="str">
        <f>AE10</f>
        <v>Sør-Korea</v>
      </c>
      <c r="F8" s="19">
        <v>1</v>
      </c>
      <c r="G8" s="20">
        <v>1</v>
      </c>
      <c r="H8" s="80" t="str">
        <f>AE11</f>
        <v>Tsjekkia</v>
      </c>
      <c r="J8" s="38" t="str">
        <f t="array" ref="J8">INDEX(T,9,lang) &amp; " " &amp; "A"</f>
        <v>Gruppe A</v>
      </c>
      <c r="K8" s="94" t="str">
        <f t="array" ref="K8">INDEX(T,10,lang)</f>
        <v>S</v>
      </c>
      <c r="L8" s="94" t="str">
        <f t="array" ref="L8">INDEX(T,11,lang)</f>
        <v>V</v>
      </c>
      <c r="M8" s="94" t="str">
        <f t="array" ref="M8">INDEX(T,12,lang)</f>
        <v>T</v>
      </c>
      <c r="N8" s="94" t="str">
        <f t="array" ref="N8">INDEX(T,13,lang)</f>
        <v>U</v>
      </c>
      <c r="O8" s="94" t="str">
        <f t="array" ref="O8">INDEX(T,14,lang)</f>
        <v>Mål</v>
      </c>
      <c r="P8" s="95" t="str">
        <f t="array" ref="P8">INDEX(T,15,lang)</f>
        <v>P</v>
      </c>
      <c r="R8" s="123">
        <f>DATE(2026,6,11)+TIME(15,0,0)+gmt_delta</f>
        <v>46185.083333333336</v>
      </c>
      <c r="S8" s="127" t="str">
        <f t="shared" si="1"/>
        <v>Sør-Korea_draw</v>
      </c>
      <c r="T8" s="127" t="str">
        <f t="shared" si="2"/>
        <v>Tsjekkia_draw</v>
      </c>
      <c r="U8" s="123">
        <f t="shared" si="3"/>
        <v>1</v>
      </c>
      <c r="V8" s="123">
        <f t="shared" si="4"/>
        <v>1</v>
      </c>
      <c r="W8" s="123">
        <f t="shared" si="5"/>
        <v>1</v>
      </c>
      <c r="X8" s="123">
        <f t="shared" si="6"/>
        <v>1</v>
      </c>
      <c r="Y8" s="123">
        <f t="shared" si="7"/>
        <v>1</v>
      </c>
      <c r="Z8" s="123">
        <f t="shared" si="8"/>
        <v>1</v>
      </c>
      <c r="AA8" s="123">
        <f t="shared" si="9"/>
        <v>0</v>
      </c>
      <c r="AB8" s="123">
        <f t="shared" si="10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7</v>
      </c>
      <c r="AJ8" s="123">
        <f>SUMIF($E$7:$E$78,$AE8,$G$7:$G$78) + SUMIF($H$7:$H$78,$AE8,$F$7:$F$78)</f>
        <v>2</v>
      </c>
      <c r="AL8" s="123">
        <f>AI8-AJ8</f>
        <v>5</v>
      </c>
      <c r="AM8" s="123">
        <f>AL8-AL12</f>
        <v>12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90000010.106609747</v>
      </c>
      <c r="AQ8" s="126">
        <f>VLOOKUP(AE8,db_fifarank,2,FALSE)</f>
        <v>1681.03</v>
      </c>
      <c r="AR8" s="125">
        <f>AP8/AP12</f>
        <v>0.9999999888888903</v>
      </c>
      <c r="AS8" s="125" t="str">
        <f>IF(SUM(AF8:AH11)=12,J9,"1A")</f>
        <v>Mexico</v>
      </c>
      <c r="AT8" s="126">
        <f t="array" ref="AT8">SUMPRODUCT(($S$7:$S$78=AE8&amp;"_win")*($U$7:$U$78))+SUMPRODUCT(($T$7:$T$78=AE8&amp;"_win")*($U$7:$U$78))</f>
        <v>0</v>
      </c>
      <c r="AU8" s="126">
        <f t="array" ref="AU8">SUMPRODUCT(($S$7:$S$78=AE8&amp;"_draw")*($U$7:$U$78))+SUMPRODUCT(($T$7:$T$78=AE8&amp;"_draw")*($U$7:$U$78))</f>
        <v>0</v>
      </c>
      <c r="AV8" s="126">
        <f t="array" ref="AV8">SUMPRODUCT(($E$7:$E$78=AE8)*($U$7:$U$78)*($F$7:$F$78))+SUMPRODUCT(($H$7:$H$78=AE8)*($U$7:$U$78)*($G$7:$G$78))</f>
        <v>0</v>
      </c>
      <c r="AW8" s="126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>
        <f t="array" ref="BB8">SUMPRODUCT(($S$7:$S$78=AE8&amp;"_win")*($X$7:$X$78))+SUMPRODUCT(($T$7:$T$78=AE8&amp;"_win")*($X$7:$X$78))</f>
        <v>0</v>
      </c>
      <c r="BC8" s="126">
        <f t="array" ref="BC8">SUMPRODUCT(($S$7:$S$78=AE8&amp;"_draw")*($X$7:$X$78))+SUMPRODUCT(($T$7:$T$78=AE8&amp;"_draw")*($X$7:$X$78))</f>
        <v>0</v>
      </c>
      <c r="BD8" s="126">
        <f t="array" ref="BD8">SUMPRODUCT(($E$7:$E$78=AE8)*($X$7:$X$78)*($F$7:$F$78))+SUMPRODUCT(($H$7:$H$78=AE8)*($X$7:$X$78)*($G$7:$G$78))</f>
        <v>0</v>
      </c>
      <c r="BE8" s="126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>
        <f t="array" ref="B9">INDEX(T,18+INT(MOD(R9-1,7)),lang)</f>
        <v>Fre</v>
      </c>
      <c r="C9" s="18" t="str">
        <f t="array" ref="C9">INDEX(T,24+MONTH(R9),lang) &amp; " " &amp; DAY(R9) &amp; ", " &amp; YEAR(R9)</f>
        <v>Jun 12, 2026</v>
      </c>
      <c r="D9" s="120">
        <f t="shared" si="0"/>
        <v>0.79166666666666663</v>
      </c>
      <c r="E9" s="78" t="str">
        <f>AE14</f>
        <v>Canada</v>
      </c>
      <c r="F9" s="19">
        <v>1</v>
      </c>
      <c r="G9" s="20">
        <v>1</v>
      </c>
      <c r="H9" s="80" t="str">
        <f>AE15</f>
        <v>Bosnia-Hercegovina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7 - 2</v>
      </c>
      <c r="P9" s="32">
        <f>L9*3+M9</f>
        <v>9</v>
      </c>
      <c r="R9" s="123">
        <f>DATE(2026,6,12)+TIME(8,0,0)+gmt_delta</f>
        <v>46185.791666666672</v>
      </c>
      <c r="S9" s="127" t="str">
        <f t="shared" si="1"/>
        <v>Canada_draw</v>
      </c>
      <c r="T9" s="127" t="str">
        <f t="shared" si="2"/>
        <v>Bosnia-Hercegovina_draw</v>
      </c>
      <c r="U9" s="123">
        <f t="shared" si="3"/>
        <v>0</v>
      </c>
      <c r="V9" s="123">
        <f t="shared" si="4"/>
        <v>0</v>
      </c>
      <c r="W9" s="123">
        <f t="shared" si="5"/>
        <v>0</v>
      </c>
      <c r="X9" s="123">
        <f t="shared" si="6"/>
        <v>0</v>
      </c>
      <c r="Y9" s="123">
        <f t="shared" si="7"/>
        <v>0</v>
      </c>
      <c r="Z9" s="123">
        <f t="shared" si="8"/>
        <v>0</v>
      </c>
      <c r="AA9" s="123">
        <f t="shared" si="9"/>
        <v>0</v>
      </c>
      <c r="AB9" s="123">
        <f t="shared" si="10"/>
        <v>0</v>
      </c>
      <c r="AD9" s="123">
        <f>COUNTIF(AR8:AR11,CONCATENATE("&gt;=",AR9))</f>
        <v>4</v>
      </c>
      <c r="AE9" s="124" t="str">
        <f>VLOOKUP("South Africa",T,lang,FALSE)</f>
        <v>Sør-Afrika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1</v>
      </c>
      <c r="AJ9" s="123">
        <f>SUMIF($E$7:$E$78,$AE9,$G$7:$G$78) + SUMIF($H$7:$H$78,$AE9,$F$7:$F$78)</f>
        <v>8</v>
      </c>
      <c r="AL9" s="123">
        <f>AI9-AJ9</f>
        <v>-7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0.12571486500000001</v>
      </c>
      <c r="AQ9" s="126">
        <f>VLOOKUP(AE9,db_fifarank,2,FALSE)</f>
        <v>1429.73</v>
      </c>
      <c r="AR9" s="125">
        <f>AP9/AP12</f>
        <v>1.3968316609548429E-9</v>
      </c>
      <c r="AS9" s="125" t="str">
        <f>IF(SUM(AF8:AH11)=12,J10,"2A")</f>
        <v>Tsjekkia</v>
      </c>
      <c r="AT9" s="126">
        <f t="array" ref="AT9">SUMPRODUCT(($S$7:$S$78=AE9&amp;"_win")*($U$7:$U$78))+SUMPRODUCT(($T$7:$T$78=AE9&amp;"_win")*($U$7:$U$78))</f>
        <v>0</v>
      </c>
      <c r="AU9" s="126">
        <f t="array" ref="AU9">SUMPRODUCT(($S$7:$S$78=AE9&amp;"_draw")*($U$7:$U$78))+SUMPRODUCT(($T$7:$T$78=AE9&amp;"_draw")*($U$7:$U$78))</f>
        <v>0</v>
      </c>
      <c r="AV9" s="126">
        <f t="array" ref="AV9">SUMPRODUCT(($E$7:$E$78=AE9)*($U$7:$U$78)*($F$7:$F$78))+SUMPRODUCT(($H$7:$H$78=AE9)*($U$7:$U$78)*($G$7:$G$78))</f>
        <v>0</v>
      </c>
      <c r="AW9" s="126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>
        <f t="array" ref="BB9">SUMPRODUCT(($S$7:$S$78=AE9&amp;"_win")*($X$7:$X$78))+SUMPRODUCT(($T$7:$T$78=AE9&amp;"_win")*($X$7:$X$78))</f>
        <v>0</v>
      </c>
      <c r="BC9" s="126">
        <f t="array" ref="BC9">SUMPRODUCT(($S$7:$S$78=AE9&amp;"_draw")*($X$7:$X$78))+SUMPRODUCT(($T$7:$T$78=AE9&amp;"_draw")*($X$7:$X$78))</f>
        <v>0</v>
      </c>
      <c r="BD9" s="126">
        <f t="array" ref="BD9">SUMPRODUCT(($E$7:$E$78=AE9)*($X$7:$X$78)*($F$7:$F$78))+SUMPRODUCT(($H$7:$H$78=AE9)*($X$7:$X$78)*($G$7:$G$78))</f>
        <v>0</v>
      </c>
      <c r="BE9" s="126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>
        <f t="array" ref="B10">INDEX(T,18+INT(MOD(R10-1,7)),lang)</f>
        <v>Lør</v>
      </c>
      <c r="C10" s="18" t="str">
        <f t="array" ref="C10">INDEX(T,24+MONTH(R10),lang) &amp; " " &amp; DAY(R10) &amp; ", " &amp; YEAR(R10)</f>
        <v>Jun 13, 2026</v>
      </c>
      <c r="D10" s="120">
        <f t="shared" si="0"/>
        <v>4.1666666666666664E-2</v>
      </c>
      <c r="E10" s="78" t="str">
        <f>AE26</f>
        <v>USA</v>
      </c>
      <c r="F10" s="19">
        <v>3</v>
      </c>
      <c r="G10" s="20">
        <v>1</v>
      </c>
      <c r="H10" s="80" t="str">
        <f>AE27</f>
        <v>Paraguay</v>
      </c>
      <c r="J10" s="33" t="str">
        <f>VLOOKUP(2,AD8:AN11,2,FALSE)</f>
        <v>Tsjekkia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5 - 4</v>
      </c>
      <c r="P10" s="34">
        <f>L10*3+M10</f>
        <v>4</v>
      </c>
      <c r="R10" s="123">
        <f>DATE(2026,6,12)+TIME(14,0,0)+gmt_delta</f>
        <v>46186.041666666672</v>
      </c>
      <c r="S10" s="127" t="str">
        <f t="shared" si="1"/>
        <v>USA_win</v>
      </c>
      <c r="T10" s="127" t="str">
        <f t="shared" si="2"/>
        <v>Paraguay_lose</v>
      </c>
      <c r="U10" s="123">
        <f t="shared" si="3"/>
        <v>0</v>
      </c>
      <c r="V10" s="123">
        <f t="shared" si="4"/>
        <v>0</v>
      </c>
      <c r="W10" s="123">
        <f t="shared" si="5"/>
        <v>0</v>
      </c>
      <c r="X10" s="123">
        <f t="shared" si="6"/>
        <v>0</v>
      </c>
      <c r="Y10" s="123">
        <f t="shared" si="7"/>
        <v>0</v>
      </c>
      <c r="Z10" s="123">
        <f t="shared" si="8"/>
        <v>0</v>
      </c>
      <c r="AA10" s="123">
        <f t="shared" si="9"/>
        <v>0</v>
      </c>
      <c r="AB10" s="123">
        <f t="shared" si="10"/>
        <v>1</v>
      </c>
      <c r="AD10" s="123">
        <f>COUNTIF(AR8:AR11,CONCATENATE("&gt;=",AR10))</f>
        <v>3</v>
      </c>
      <c r="AE10" s="124" t="str">
        <f>VLOOKUP("Korea Republic",T,lang,FALSE)</f>
        <v>Sør-Korea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3</v>
      </c>
      <c r="AL10" s="123">
        <f>AI10-AJ10</f>
        <v>1</v>
      </c>
      <c r="AM10" s="123">
        <f>AL10-AL12</f>
        <v>8</v>
      </c>
      <c r="AN10" s="123">
        <f>AF10*3+AG10</f>
        <v>4</v>
      </c>
      <c r="AO10" s="123">
        <f>AN10/AN12*10+BA10</f>
        <v>4.9805825242718447</v>
      </c>
      <c r="AP10" s="123">
        <f>AO10*10000000+BI10*100+AM10/AM12*10+AI10/AI12*1++IF(AQ10=0,ROW(),AQ10)/2000000</f>
        <v>49805929.955611348</v>
      </c>
      <c r="AQ10" s="126">
        <f>VLOOKUP(AE10,db_fifarank,2,FALSE)</f>
        <v>1588.66</v>
      </c>
      <c r="AR10" s="125">
        <f>AP10/AP12</f>
        <v>0.55339915343581014</v>
      </c>
      <c r="AT10" s="126">
        <f t="array" ref="AT10">SUMPRODUCT(($S$7:$S$78=AE10&amp;"_win")*($U$7:$U$78))+SUMPRODUCT(($T$7:$T$78=AE10&amp;"_win")*($U$7:$U$78))</f>
        <v>0</v>
      </c>
      <c r="AU10" s="126">
        <f t="array" ref="AU10">SUMPRODUCT(($S$7:$S$78=AE10&amp;"_draw")*($U$7:$U$78))+SUMPRODUCT(($T$7:$T$78=AE10&amp;"_draw")*($U$7:$U$78))</f>
        <v>1</v>
      </c>
      <c r="AV10" s="126">
        <f t="array" ref="AV10">SUMPRODUCT(($E$7:$E$78=AE10)*($U$7:$U$78)*($F$7:$F$78))+SUMPRODUCT(($H$7:$H$78=AE10)*($U$7:$U$78)*($G$7:$G$78))</f>
        <v>1</v>
      </c>
      <c r="AW10" s="126">
        <f t="array" ref="AW10">SUMPRODUCT(($E$7:$E$78=AE10)*($U$7:$U$78)*($G$7:$G$78))+SUMPRODUCT(($H$7:$H$78=AE10)*($U$7:$U$78)*($F$7:$F$78))</f>
        <v>1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50.5</v>
      </c>
      <c r="BA10" s="126">
        <f>AZ10/AZ12</f>
        <v>0.98058252427184467</v>
      </c>
      <c r="BB10" s="126">
        <f t="array" ref="BB10">SUMPRODUCT(($S$7:$S$78=AE10&amp;"_win")*($X$7:$X$78))+SUMPRODUCT(($T$7:$T$78=AE10&amp;"_win")*($X$7:$X$78))</f>
        <v>0</v>
      </c>
      <c r="BC10" s="126">
        <f t="array" ref="BC10">SUMPRODUCT(($S$7:$S$78=AE10&amp;"_draw")*($X$7:$X$78))+SUMPRODUCT(($T$7:$T$78=AE10&amp;"_draw")*($X$7:$X$78))</f>
        <v>1</v>
      </c>
      <c r="BD10" s="126">
        <f t="array" ref="BD10">SUMPRODUCT(($E$7:$E$78=AE10)*($X$7:$X$78)*($F$7:$F$78))+SUMPRODUCT(($H$7:$H$78=AE10)*($X$7:$X$78)*($G$7:$G$78))</f>
        <v>1</v>
      </c>
      <c r="BE10" s="126">
        <f t="array" ref="BE10">SUMPRODUCT(($E$7:$E$78=AE10)*($X$7:$X$78)*($G$7:$G$78))+SUMPRODUCT(($H$7:$H$78=AE10)*($X$7:$X$78)*($F$7:$F$78))</f>
        <v>1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50.5</v>
      </c>
      <c r="BI10" s="126">
        <f>BH10/BH12</f>
        <v>0.98058252427184467</v>
      </c>
      <c r="BK10" s="149">
        <v>74</v>
      </c>
      <c r="BL10" s="24" t="str">
        <f>AS32</f>
        <v>Tyskland</v>
      </c>
      <c r="BM10" s="61">
        <v>4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4000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>
        <f t="array" ref="B11">INDEX(T,18+INT(MOD(R11-1,7)),lang)</f>
        <v>Søn</v>
      </c>
      <c r="C11" s="18" t="str">
        <f t="array" ref="C11">INDEX(T,24+MONTH(R11),lang) &amp; " " &amp; DAY(R11) &amp; ", " &amp; YEAR(R11)</f>
        <v>Jun 14, 2026</v>
      </c>
      <c r="D11" s="120">
        <f t="shared" si="0"/>
        <v>4.1666666666666664E-2</v>
      </c>
      <c r="E11" s="78" t="str">
        <f>AE22</f>
        <v>Haiti</v>
      </c>
      <c r="F11" s="19">
        <v>0</v>
      </c>
      <c r="G11" s="20">
        <v>2</v>
      </c>
      <c r="H11" s="80" t="str">
        <f>AE23</f>
        <v>Skottland</v>
      </c>
      <c r="J11" s="33" t="str">
        <f>VLOOKUP(3,AD8:AN11,2,FALSE)</f>
        <v>Sør-Korea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4 - 3</v>
      </c>
      <c r="P11" s="34">
        <f>L11*3+M11</f>
        <v>4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Skottland_win</v>
      </c>
      <c r="U11" s="123">
        <f t="shared" si="3"/>
        <v>0</v>
      </c>
      <c r="V11" s="123">
        <f t="shared" si="4"/>
        <v>0</v>
      </c>
      <c r="W11" s="123">
        <f t="shared" si="5"/>
        <v>0</v>
      </c>
      <c r="X11" s="123">
        <f t="shared" si="6"/>
        <v>0</v>
      </c>
      <c r="Y11" s="123">
        <f t="shared" si="7"/>
        <v>0</v>
      </c>
      <c r="Z11" s="123">
        <f t="shared" si="8"/>
        <v>0</v>
      </c>
      <c r="AA11" s="123">
        <f t="shared" si="9"/>
        <v>0</v>
      </c>
      <c r="AB11" s="123">
        <f t="shared" si="10"/>
        <v>-1</v>
      </c>
      <c r="AD11" s="123">
        <f>COUNTIF(AR8:AR11,CONCATENATE("&gt;=",AR11))</f>
        <v>2</v>
      </c>
      <c r="AE11" s="124" t="str">
        <f>VLOOKUP("Czech Republic",T,lang,FALSE)</f>
        <v>Tsjekkia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5</v>
      </c>
      <c r="AJ11" s="123">
        <f>SUMIF($E$7:$E$78,$AE11,$G$7:$G$78) + SUMIF($H$7:$H$78,$AE11,$F$7:$F$78)</f>
        <v>4</v>
      </c>
      <c r="AL11" s="123">
        <f>AI11-AJ11</f>
        <v>1</v>
      </c>
      <c r="AM11" s="123">
        <f>AL11-AL12</f>
        <v>8</v>
      </c>
      <c r="AN11" s="123">
        <f>AF11*3+AG11</f>
        <v>4</v>
      </c>
      <c r="AO11" s="123">
        <f>AN11/AN12*10+BA11</f>
        <v>4.9805825242718447</v>
      </c>
      <c r="AP11" s="123">
        <f>AO11*10000000+BI11*100+AM11/AM12*10+AI11/AI12*1++IF(AQ11=0,ROW(),AQ11)/2000000</f>
        <v>49805930.08056771</v>
      </c>
      <c r="AQ11" s="126">
        <f>VLOOKUP(AE11,db_fifarank,2,FALSE)</f>
        <v>1501.38</v>
      </c>
      <c r="AR11" s="125">
        <f>AP11/AP12</f>
        <v>0.55339915482421409</v>
      </c>
      <c r="AT11" s="126">
        <f t="array" ref="AT11">SUMPRODUCT(($S$7:$S$78=AE11&amp;"_win")*($U$7:$U$78))+SUMPRODUCT(($T$7:$T$78=AE11&amp;"_win")*($U$7:$U$78))</f>
        <v>0</v>
      </c>
      <c r="AU11" s="126">
        <f t="array" ref="AU11">SUMPRODUCT(($S$7:$S$78=AE11&amp;"_draw")*($U$7:$U$78))+SUMPRODUCT(($T$7:$T$78=AE11&amp;"_draw")*($U$7:$U$78))</f>
        <v>1</v>
      </c>
      <c r="AV11" s="126">
        <f t="array" ref="AV11">SUMPRODUCT(($E$7:$E$78=AE11)*($U$7:$U$78)*($F$7:$F$78))+SUMPRODUCT(($H$7:$H$78=AE11)*($U$7:$U$78)*($G$7:$G$78))</f>
        <v>1</v>
      </c>
      <c r="AW11" s="126">
        <f t="array" ref="AW11">SUMPRODUCT(($E$7:$E$78=AE11)*($U$7:$U$78)*($G$7:$G$78))+SUMPRODUCT(($H$7:$H$78=AE11)*($U$7:$U$78)*($F$7:$F$78))</f>
        <v>1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50.5</v>
      </c>
      <c r="BA11" s="126">
        <f>AZ11/AZ12</f>
        <v>0.98058252427184467</v>
      </c>
      <c r="BB11" s="126">
        <f t="array" ref="BB11">SUMPRODUCT(($S$7:$S$78=AE11&amp;"_win")*($X$7:$X$78))+SUMPRODUCT(($T$7:$T$78=AE11&amp;"_win")*($X$7:$X$78))</f>
        <v>0</v>
      </c>
      <c r="BC11" s="126">
        <f t="array" ref="BC11">SUMPRODUCT(($S$7:$S$78=AE11&amp;"_draw")*($X$7:$X$78))+SUMPRODUCT(($T$7:$T$78=AE11&amp;"_draw")*($X$7:$X$78))</f>
        <v>1</v>
      </c>
      <c r="BD11" s="126">
        <f t="array" ref="BD11">SUMPRODUCT(($E$7:$E$78=AE11)*($X$7:$X$78)*($F$7:$F$78))+SUMPRODUCT(($H$7:$H$78=AE11)*($X$7:$X$78)*($G$7:$G$78))</f>
        <v>1</v>
      </c>
      <c r="BE11" s="126">
        <f t="array" ref="BE11">SUMPRODUCT(($E$7:$E$78=AE11)*($X$7:$X$78)*($G$7:$G$78))+SUMPRODUCT(($H$7:$H$78=AE11)*($X$7:$X$78)*($F$7:$F$78))</f>
        <v>1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50.5</v>
      </c>
      <c r="BI11" s="126">
        <f>BH11/BH12</f>
        <v>0.98058252427184467</v>
      </c>
      <c r="BK11" s="150"/>
      <c r="BL11" s="26" t="str">
        <f>IF(group_round_completed,VLOOKUP('3rd places'!G3,AK80:AS91,9,FALSE),"3rd Group A/B/C/D/F")</f>
        <v>Skottland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>
        <f t="array" ref="B12">INDEX(T,18+INT(MOD(R12-1,7)),lang)</f>
        <v>Søn</v>
      </c>
      <c r="C12" s="18" t="str">
        <f t="array" ref="C12">INDEX(T,24+MONTH(R12),lang) &amp; " " &amp; DAY(R12) &amp; ", " &amp; YEAR(R12)</f>
        <v>Jun 14, 2026</v>
      </c>
      <c r="D12" s="120">
        <f t="shared" si="0"/>
        <v>0.16666666666666666</v>
      </c>
      <c r="E12" s="78" t="str">
        <f>AE28</f>
        <v>Australia</v>
      </c>
      <c r="F12" s="19">
        <v>1</v>
      </c>
      <c r="G12" s="20">
        <v>3</v>
      </c>
      <c r="H12" s="80" t="str">
        <f>AE29</f>
        <v>Tyrkia</v>
      </c>
      <c r="J12" s="35" t="str">
        <f>VLOOKUP(4,AD8:AN11,2,FALSE)</f>
        <v>Sør-Afrika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1 - 8</v>
      </c>
      <c r="P12" s="37">
        <f>L12*3+M12</f>
        <v>0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Tyrkia_win</v>
      </c>
      <c r="U12" s="123">
        <f t="shared" si="3"/>
        <v>0</v>
      </c>
      <c r="V12" s="123">
        <f t="shared" si="4"/>
        <v>0</v>
      </c>
      <c r="W12" s="123">
        <f t="shared" si="5"/>
        <v>0</v>
      </c>
      <c r="X12" s="123">
        <f t="shared" si="6"/>
        <v>0</v>
      </c>
      <c r="Y12" s="123">
        <f t="shared" si="7"/>
        <v>0</v>
      </c>
      <c r="Z12" s="123">
        <f t="shared" si="8"/>
        <v>0</v>
      </c>
      <c r="AA12" s="123">
        <f t="shared" si="9"/>
        <v>0</v>
      </c>
      <c r="AB12" s="123">
        <f t="shared" si="10"/>
        <v>-1</v>
      </c>
      <c r="AF12" s="123">
        <f>MAX(AF8:AF11)-MIN(AF8:AF11)+1</f>
        <v>4</v>
      </c>
      <c r="AG12" s="123">
        <f>MAX(AG8:AG11)-MIN(AG8:AG11)+1</f>
        <v>2</v>
      </c>
      <c r="AH12" s="123">
        <f>MAX(AH8:AH11)-MIN(AH8:AH11)+1</f>
        <v>4</v>
      </c>
      <c r="AI12" s="123">
        <f>MAX(AI8:AI11)+1</f>
        <v>8</v>
      </c>
      <c r="AL12" s="123">
        <f>MIN(AL8:AL11)</f>
        <v>-7</v>
      </c>
      <c r="AM12" s="123">
        <f>MAX(AM8:AM11)+1</f>
        <v>13</v>
      </c>
      <c r="AN12" s="123">
        <f>MAX(AN8:AN11)+1</f>
        <v>10</v>
      </c>
      <c r="AO12" s="123">
        <f>MAX(AO8:AO11)+1</f>
        <v>10</v>
      </c>
      <c r="AP12" s="123">
        <f>MAX(AP8:AP11)+1</f>
        <v>90000011.106609747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51.5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51.5</v>
      </c>
      <c r="BK12" s="21"/>
      <c r="BL12" s="21"/>
      <c r="BM12" s="21"/>
      <c r="BN12" s="21"/>
      <c r="BO12" s="21"/>
      <c r="BP12" s="114"/>
      <c r="BQ12" s="112"/>
      <c r="BR12" s="149">
        <v>89</v>
      </c>
      <c r="BS12" s="24" t="str">
        <f>IF(BP10&gt;BP11,BL10,IF(BP10&lt;BP11,BL11,""))</f>
        <v>Tyskland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>
        <f t="array" ref="B13">INDEX(T,18+INT(MOD(R13-1,7)),lang)</f>
        <v>Lør</v>
      </c>
      <c r="C13" s="18" t="str">
        <f t="array" ref="C13">INDEX(T,24+MONTH(R13),lang) &amp; " " &amp; DAY(R13) &amp; ", " &amp; YEAR(R13)</f>
        <v>Jun 13, 2026</v>
      </c>
      <c r="D13" s="120">
        <f t="shared" si="0"/>
        <v>0.91666666666666663</v>
      </c>
      <c r="E13" s="78" t="str">
        <f>AE20</f>
        <v>Brasil</v>
      </c>
      <c r="F13" s="19">
        <v>2</v>
      </c>
      <c r="G13" s="20">
        <v>2</v>
      </c>
      <c r="H13" s="80" t="str">
        <f>AE21</f>
        <v>Marokko</v>
      </c>
      <c r="R13" s="123">
        <f>DATE(2026,6,13)+TIME(11,0,0)+gmt_delta</f>
        <v>46186.916666666672</v>
      </c>
      <c r="S13" s="127" t="str">
        <f t="shared" si="1"/>
        <v>Brasil_draw</v>
      </c>
      <c r="T13" s="127" t="str">
        <f t="shared" si="2"/>
        <v>Marokko_draw</v>
      </c>
      <c r="U13" s="123">
        <f t="shared" si="3"/>
        <v>1</v>
      </c>
      <c r="V13" s="123">
        <f t="shared" si="4"/>
        <v>2</v>
      </c>
      <c r="W13" s="123">
        <f t="shared" si="5"/>
        <v>2</v>
      </c>
      <c r="X13" s="123">
        <f t="shared" si="6"/>
        <v>1</v>
      </c>
      <c r="Y13" s="123">
        <f t="shared" si="7"/>
        <v>2</v>
      </c>
      <c r="Z13" s="123">
        <f t="shared" si="8"/>
        <v>2</v>
      </c>
      <c r="AA13" s="123">
        <f t="shared" si="9"/>
        <v>0</v>
      </c>
      <c r="AB13" s="123">
        <f t="shared" si="10"/>
        <v>0</v>
      </c>
      <c r="BK13" s="21" t="str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50"/>
      <c r="BS13" s="26" t="str">
        <f>IF(BP14&gt;BP15,BL14,IF(BP14&lt;BP15,BL15,""))</f>
        <v>Frankrike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>
        <f t="array" ref="B14">INDEX(T,18+INT(MOD(R14-1,7)),lang)</f>
        <v>Lør</v>
      </c>
      <c r="C14" s="18" t="str">
        <f t="array" ref="C14">INDEX(T,24+MONTH(R14),lang) &amp; " " &amp; DAY(R14) &amp; ", " &amp; YEAR(R14)</f>
        <v>Jun 13, 2026</v>
      </c>
      <c r="D14" s="120">
        <f t="shared" si="0"/>
        <v>0.79166666666666663</v>
      </c>
      <c r="E14" s="78" t="str">
        <f>AE16</f>
        <v>Qatar</v>
      </c>
      <c r="F14" s="19">
        <v>0</v>
      </c>
      <c r="G14" s="20">
        <v>2</v>
      </c>
      <c r="H14" s="80" t="str">
        <f>AE17</f>
        <v>Sveits</v>
      </c>
      <c r="J14" s="38" t="str">
        <f t="array" ref="J14">INDEX(T,9,lang) &amp; " " &amp; "B"</f>
        <v>Gruppe B</v>
      </c>
      <c r="K14" s="94" t="str">
        <f t="array" ref="K14">INDEX(T,10,lang)</f>
        <v>S</v>
      </c>
      <c r="L14" s="94" t="str">
        <f t="array" ref="L14">INDEX(T,11,lang)</f>
        <v>V</v>
      </c>
      <c r="M14" s="94" t="str">
        <f t="array" ref="M14">INDEX(T,12,lang)</f>
        <v>T</v>
      </c>
      <c r="N14" s="94" t="str">
        <f t="array" ref="N14">INDEX(T,13,lang)</f>
        <v>U</v>
      </c>
      <c r="O14" s="94" t="str">
        <f t="array" ref="O14">INDEX(T,14,lang)</f>
        <v>Mål</v>
      </c>
      <c r="P14" s="95" t="str">
        <f t="array" ref="P14">INDEX(T,15,lang)</f>
        <v>P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Sveits_win</v>
      </c>
      <c r="U14" s="123">
        <f t="shared" si="3"/>
        <v>0</v>
      </c>
      <c r="V14" s="123">
        <f t="shared" si="4"/>
        <v>0</v>
      </c>
      <c r="W14" s="123">
        <f t="shared" si="5"/>
        <v>0</v>
      </c>
      <c r="X14" s="123">
        <f t="shared" si="6"/>
        <v>0</v>
      </c>
      <c r="Y14" s="123">
        <f t="shared" si="7"/>
        <v>0</v>
      </c>
      <c r="Z14" s="123">
        <f t="shared" si="8"/>
        <v>0</v>
      </c>
      <c r="AA14" s="123">
        <f t="shared" si="9"/>
        <v>0</v>
      </c>
      <c r="AB14" s="123">
        <f t="shared" si="10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2</v>
      </c>
      <c r="AH14" s="123">
        <f>COUNTIF($S$7:$T$78,"=" &amp; AE14 &amp; "_lose")</f>
        <v>0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2</v>
      </c>
      <c r="AL14" s="123">
        <f>AI14-AJ14</f>
        <v>3</v>
      </c>
      <c r="AM14" s="123">
        <f>AL14-AL18</f>
        <v>10</v>
      </c>
      <c r="AN14" s="123">
        <f>AF14*3+AG14</f>
        <v>5</v>
      </c>
      <c r="AO14" s="123">
        <f>AN14/AN18*10+BA14</f>
        <v>6.25</v>
      </c>
      <c r="AP14" s="123">
        <f>AO14*10000000+BI14*100+AM14/AM18*10+AI14/AI18*1++IF(AQ14=0,ROW(),AQ14)/2000000</f>
        <v>62500009.048397295</v>
      </c>
      <c r="AQ14" s="126">
        <f>VLOOKUP(AE14,db_fifarank,2,FALSE)</f>
        <v>1556.48</v>
      </c>
      <c r="AR14" s="125">
        <f>AP14/AP18</f>
        <v>0.71428572769895327</v>
      </c>
      <c r="AS14" s="125" t="str">
        <f>IF(SUM(AF14:AH17)=12,J15,"1B")</f>
        <v>Sveits</v>
      </c>
      <c r="AT14" s="126">
        <f t="array" ref="AT14">SUMPRODUCT(($S$7:$S$78=AE14&amp;"_win")*($U$7:$U$78))+SUMPRODUCT(($T$7:$T$78=AE14&amp;"_win")*($U$7:$U$78))</f>
        <v>0</v>
      </c>
      <c r="AU14" s="126">
        <f t="array" ref="AU14">SUMPRODUCT(($S$7:$S$78=AE14&amp;"_draw")*($U$7:$U$78))+SUMPRODUCT(($T$7:$T$78=AE14&amp;"_draw")*($U$7:$U$78))</f>
        <v>0</v>
      </c>
      <c r="AV14" s="126">
        <f t="array" ref="AV14">SUMPRODUCT(($E$7:$E$78=AE14)*($U$7:$U$78)*($F$7:$F$78))+SUMPRODUCT(($H$7:$H$78=AE14)*($U$7:$U$78)*($G$7:$G$78))</f>
        <v>0</v>
      </c>
      <c r="AW14" s="126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>
        <f t="array" ref="BB14">SUMPRODUCT(($S$7:$S$78=AE14&amp;"_win")*($X$7:$X$78))+SUMPRODUCT(($T$7:$T$78=AE14&amp;"_win")*($X$7:$X$78))</f>
        <v>0</v>
      </c>
      <c r="BC14" s="126">
        <f t="array" ref="BC14">SUMPRODUCT(($S$7:$S$78=AE14&amp;"_draw")*($X$7:$X$78))+SUMPRODUCT(($T$7:$T$78=AE14&amp;"_draw")*($X$7:$X$78))</f>
        <v>0</v>
      </c>
      <c r="BD14" s="126">
        <f t="array" ref="BD14">SUMPRODUCT(($E$7:$E$78=AE14)*($X$7:$X$78)*($F$7:$F$78))+SUMPRODUCT(($H$7:$H$78=AE14)*($X$7:$X$78)*($G$7:$G$78))</f>
        <v>0</v>
      </c>
      <c r="BE14" s="126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9">
        <v>77</v>
      </c>
      <c r="BL14" s="24" t="str">
        <f>AS56</f>
        <v>Frankrike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>
        <f t="array" ref="B15">INDEX(T,18+INT(MOD(R15-1,7)),lang)</f>
        <v>Søn</v>
      </c>
      <c r="C15" s="18" t="str">
        <f t="array" ref="C15">INDEX(T,24+MONTH(R15),lang) &amp; " " &amp; DAY(R15) &amp; ", " &amp; YEAR(R15)</f>
        <v>Jun 14, 2026</v>
      </c>
      <c r="D15" s="120">
        <f t="shared" si="0"/>
        <v>0.95833333333333337</v>
      </c>
      <c r="E15" s="78" t="str">
        <f>AE34</f>
        <v>Elfenbenskysten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Sveits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6 - 2</v>
      </c>
      <c r="P15" s="32">
        <f>L15*3+M15</f>
        <v>7</v>
      </c>
      <c r="R15" s="123">
        <f>DATE(2026,6,14)+TIME(12,0,0)+gmt_delta</f>
        <v>46187.958333333336</v>
      </c>
      <c r="S15" s="127" t="str">
        <f t="shared" si="1"/>
        <v>Elfenbenskysten_draw</v>
      </c>
      <c r="T15" s="127" t="str">
        <f t="shared" si="2"/>
        <v>Ecuador_draw</v>
      </c>
      <c r="U15" s="123">
        <f t="shared" si="3"/>
        <v>1</v>
      </c>
      <c r="V15" s="123">
        <f t="shared" si="4"/>
        <v>1</v>
      </c>
      <c r="W15" s="123">
        <f t="shared" si="5"/>
        <v>1</v>
      </c>
      <c r="X15" s="123">
        <f t="shared" si="6"/>
        <v>1</v>
      </c>
      <c r="Y15" s="123">
        <f t="shared" si="7"/>
        <v>1</v>
      </c>
      <c r="Z15" s="123">
        <f t="shared" si="8"/>
        <v>1</v>
      </c>
      <c r="AA15" s="123">
        <f t="shared" si="9"/>
        <v>0</v>
      </c>
      <c r="AB15" s="123">
        <f t="shared" si="10"/>
        <v>0</v>
      </c>
      <c r="AD15" s="123">
        <f>COUNTIF(AR14:AR17,CONCATENATE("&gt;=",AR15))</f>
        <v>3</v>
      </c>
      <c r="AE15" s="124" t="str">
        <f>VLOOKUP("Bosnia and Herzegovina",T,lang,FALSE)</f>
        <v>Bosnia-Hercegovina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4</v>
      </c>
      <c r="AJ15" s="123">
        <f>SUMIF($E$7:$E$78,$AE15,$G$7:$G$78) + SUMIF($H$7:$H$78,$AE15,$F$7:$F$78)</f>
        <v>4</v>
      </c>
      <c r="AL15" s="123">
        <f>AI15-AJ15</f>
        <v>0</v>
      </c>
      <c r="AM15" s="123">
        <f>AL15-AL18</f>
        <v>7</v>
      </c>
      <c r="AN15" s="123">
        <f>AF15*3+AG15</f>
        <v>4</v>
      </c>
      <c r="AO15" s="123">
        <f>AN15/AN18*10+BA15</f>
        <v>5</v>
      </c>
      <c r="AP15" s="123">
        <f>AO15*10000000+BI15*100+AM15/AM18*10+AI15/AI18*1++IF(AQ15=0,ROW(),AQ15)/2000000</f>
        <v>50000006.405454829</v>
      </c>
      <c r="AQ15" s="126">
        <f>VLOOKUP(AE15,db_fifarank,2,FALSE)</f>
        <v>1385.84</v>
      </c>
      <c r="AR15" s="125">
        <f>AP15/AP18</f>
        <v>0.57142857263615809</v>
      </c>
      <c r="AS15" s="125" t="str">
        <f>IF(SUM(AF14:AH17)=12,J16,"2B")</f>
        <v>Canada</v>
      </c>
      <c r="AT15" s="126">
        <f t="array" ref="AT15">SUMPRODUCT(($S$7:$S$78=AE15&amp;"_win")*($U$7:$U$78))+SUMPRODUCT(($T$7:$T$78=AE15&amp;"_win")*($U$7:$U$78))</f>
        <v>0</v>
      </c>
      <c r="AU15" s="126">
        <f t="array" ref="AU15">SUMPRODUCT(($S$7:$S$78=AE15&amp;"_draw")*($U$7:$U$78))+SUMPRODUCT(($T$7:$T$78=AE15&amp;"_draw")*($U$7:$U$78))</f>
        <v>0</v>
      </c>
      <c r="AV15" s="126">
        <f t="array" ref="AV15">SUMPRODUCT(($E$7:$E$78=AE15)*($U$7:$U$78)*($F$7:$F$78))+SUMPRODUCT(($H$7:$H$78=AE15)*($U$7:$U$78)*($G$7:$G$78))</f>
        <v>0</v>
      </c>
      <c r="AW15" s="126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>
        <f t="array" ref="BB15">SUMPRODUCT(($S$7:$S$78=AE15&amp;"_win")*($X$7:$X$78))+SUMPRODUCT(($T$7:$T$78=AE15&amp;"_win")*($X$7:$X$78))</f>
        <v>0</v>
      </c>
      <c r="BC15" s="126">
        <f t="array" ref="BC15">SUMPRODUCT(($S$7:$S$78=AE15&amp;"_draw")*($X$7:$X$78))+SUMPRODUCT(($T$7:$T$78=AE15&amp;"_draw")*($X$7:$X$78))</f>
        <v>0</v>
      </c>
      <c r="BD15" s="126">
        <f t="array" ref="BD15">SUMPRODUCT(($E$7:$E$78=AE15)*($X$7:$X$78)*($F$7:$F$78))+SUMPRODUCT(($H$7:$H$78=AE15)*($X$7:$X$78)*($G$7:$G$78))</f>
        <v>0</v>
      </c>
      <c r="BE15" s="126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50"/>
      <c r="BL15" s="26" t="str">
        <f>IF(group_round_completed,VLOOKUP('3rd places'!I3,AK80:AS91,9,FALSE),"3rd Group C/D/F/G/H")</f>
        <v>Sverige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>
        <f t="array" ref="B16">INDEX(T,18+INT(MOD(R16-1,7)),lang)</f>
        <v>Søn</v>
      </c>
      <c r="C16" s="18" t="str">
        <f t="array" ref="C16">INDEX(T,24+MONTH(R16),lang) &amp; " " &amp; DAY(R16) &amp; ", " &amp; YEAR(R16)</f>
        <v>Jun 14, 2026</v>
      </c>
      <c r="D16" s="120">
        <f t="shared" si="0"/>
        <v>0.70833333333333337</v>
      </c>
      <c r="E16" s="78" t="str">
        <f>AE32</f>
        <v>Tyskland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5 - 2</v>
      </c>
      <c r="P16" s="34">
        <f>L16*3+M16</f>
        <v>5</v>
      </c>
      <c r="R16" s="123">
        <f>DATE(2026,6,14)+TIME(6,0,0)+gmt_delta</f>
        <v>46187.708333333336</v>
      </c>
      <c r="S16" s="127" t="str">
        <f t="shared" si="1"/>
        <v>Tyskland_win</v>
      </c>
      <c r="T16" s="127" t="str">
        <f t="shared" si="2"/>
        <v>Curaçao_lose</v>
      </c>
      <c r="U16" s="123">
        <f t="shared" si="3"/>
        <v>0</v>
      </c>
      <c r="V16" s="123">
        <f t="shared" si="4"/>
        <v>0</v>
      </c>
      <c r="W16" s="123">
        <f t="shared" si="5"/>
        <v>0</v>
      </c>
      <c r="X16" s="123">
        <f t="shared" si="6"/>
        <v>0</v>
      </c>
      <c r="Y16" s="123">
        <f t="shared" si="7"/>
        <v>0</v>
      </c>
      <c r="Z16" s="123">
        <f t="shared" si="8"/>
        <v>0</v>
      </c>
      <c r="AA16" s="123">
        <f t="shared" si="9"/>
        <v>0</v>
      </c>
      <c r="AB16" s="123">
        <f t="shared" si="10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7</v>
      </c>
      <c r="AL16" s="123">
        <f>AI16-AJ16</f>
        <v>-7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8.3140560953208287E-12</v>
      </c>
      <c r="AT16" s="126">
        <f t="array" ref="AT16">SUMPRODUCT(($S$7:$S$78=AE16&amp;"_win")*($U$7:$U$78))+SUMPRODUCT(($T$7:$T$78=AE16&amp;"_win")*($U$7:$U$78))</f>
        <v>0</v>
      </c>
      <c r="AU16" s="126">
        <f t="array" ref="AU16">SUMPRODUCT(($S$7:$S$78=AE16&amp;"_draw")*($U$7:$U$78))+SUMPRODUCT(($T$7:$T$78=AE16&amp;"_draw")*($U$7:$U$78))</f>
        <v>0</v>
      </c>
      <c r="AV16" s="126">
        <f t="array" ref="AV16">SUMPRODUCT(($E$7:$E$78=AE16)*($U$7:$U$78)*($F$7:$F$78))+SUMPRODUCT(($H$7:$H$78=AE16)*($U$7:$U$78)*($G$7:$G$78))</f>
        <v>0</v>
      </c>
      <c r="AW16" s="126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>
        <f t="array" ref="BB16">SUMPRODUCT(($S$7:$S$78=AE16&amp;"_win")*($X$7:$X$78))+SUMPRODUCT(($T$7:$T$78=AE16&amp;"_win")*($X$7:$X$78))</f>
        <v>0</v>
      </c>
      <c r="BC16" s="126">
        <f t="array" ref="BC16">SUMPRODUCT(($S$7:$S$78=AE16&amp;"_draw")*($X$7:$X$78))+SUMPRODUCT(($T$7:$T$78=AE16&amp;"_draw")*($X$7:$X$78))</f>
        <v>0</v>
      </c>
      <c r="BD16" s="126">
        <f t="array" ref="BD16">SUMPRODUCT(($E$7:$E$78=AE16)*($X$7:$X$78)*($F$7:$F$78))+SUMPRODUCT(($H$7:$H$78=AE16)*($X$7:$X$78)*($G$7:$G$78))</f>
        <v>0</v>
      </c>
      <c r="BE16" s="126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9">
        <v>97</v>
      </c>
      <c r="BZ16" s="24" t="str">
        <f>IF(BW12&gt;BW13,BS12,IF(BW12&lt;BW13,BS13,""))</f>
        <v>Frankrike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>
        <f t="array" ref="B17">INDEX(T,18+INT(MOD(R17-1,7)),lang)</f>
        <v>Søn</v>
      </c>
      <c r="C17" s="18" t="str">
        <f t="array" ref="C17">INDEX(T,24+MONTH(R17),lang) &amp; " " &amp; DAY(R17) &amp; ", " &amp; YEAR(R17)</f>
        <v>Jun 14, 2026</v>
      </c>
      <c r="D17" s="120">
        <f t="shared" si="0"/>
        <v>0.83333333333333337</v>
      </c>
      <c r="E17" s="78" t="str">
        <f>AE38</f>
        <v>Nederland</v>
      </c>
      <c r="F17" s="19">
        <v>1</v>
      </c>
      <c r="G17" s="20">
        <v>2</v>
      </c>
      <c r="H17" s="80" t="str">
        <f>AE39</f>
        <v>Japan</v>
      </c>
      <c r="J17" s="33" t="str">
        <f>VLOOKUP(3,AD14:AN17,2,FALSE)</f>
        <v>Bosnia-Hercegovina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4 - 4</v>
      </c>
      <c r="P17" s="34">
        <f>L17*3+M17</f>
        <v>4</v>
      </c>
      <c r="R17" s="123">
        <f>DATE(2026,6,14)+TIME(9,0,0)+gmt_delta</f>
        <v>46187.833333333336</v>
      </c>
      <c r="S17" s="127" t="str">
        <f t="shared" si="1"/>
        <v>Nederland_lose</v>
      </c>
      <c r="T17" s="127" t="str">
        <f t="shared" si="2"/>
        <v>Japan_win</v>
      </c>
      <c r="U17" s="123">
        <f t="shared" si="3"/>
        <v>0</v>
      </c>
      <c r="V17" s="123">
        <f t="shared" si="4"/>
        <v>0</v>
      </c>
      <c r="W17" s="123">
        <f t="shared" si="5"/>
        <v>0</v>
      </c>
      <c r="X17" s="123">
        <f t="shared" si="6"/>
        <v>0</v>
      </c>
      <c r="Y17" s="123">
        <f t="shared" si="7"/>
        <v>0</v>
      </c>
      <c r="Z17" s="123">
        <f t="shared" si="8"/>
        <v>0</v>
      </c>
      <c r="AA17" s="123">
        <f t="shared" si="9"/>
        <v>0</v>
      </c>
      <c r="AB17" s="123">
        <f t="shared" si="10"/>
        <v>-1</v>
      </c>
      <c r="AD17" s="123">
        <f>COUNTIF(AR14:AR17,CONCATENATE("&gt;=",AR17))</f>
        <v>1</v>
      </c>
      <c r="AE17" s="124" t="str">
        <f>VLOOKUP("Switzerland",T,lang,FALSE)</f>
        <v>Sveits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2</v>
      </c>
      <c r="AL17" s="123">
        <f>AI17-AJ17</f>
        <v>4</v>
      </c>
      <c r="AM17" s="123">
        <f>AL17-AL18</f>
        <v>11</v>
      </c>
      <c r="AN17" s="123">
        <f>AF17*3+AG17</f>
        <v>7</v>
      </c>
      <c r="AO17" s="123">
        <f>AN17/AN18*10+BA17</f>
        <v>8.75</v>
      </c>
      <c r="AP17" s="123">
        <f>AO17*10000000+BI17*100+AM17/AM18*10+AI17/AI18*1++IF(AQ17=0,ROW(),AQ17)/2000000</f>
        <v>87500010.024634227</v>
      </c>
      <c r="AQ17" s="126">
        <f>VLOOKUP(AE17,db_fifarank,2,FALSE)</f>
        <v>1649.4</v>
      </c>
      <c r="AR17" s="125">
        <f>AP17/AP18</f>
        <v>0.99999998857143002</v>
      </c>
      <c r="AT17" s="126">
        <f t="array" ref="AT17">SUMPRODUCT(($S$7:$S$78=AE17&amp;"_win")*($U$7:$U$78))+SUMPRODUCT(($T$7:$T$78=AE17&amp;"_win")*($U$7:$U$78))</f>
        <v>0</v>
      </c>
      <c r="AU17" s="126">
        <f t="array" ref="AU17">SUMPRODUCT(($S$7:$S$78=AE17&amp;"_draw")*($U$7:$U$78))+SUMPRODUCT(($T$7:$T$78=AE17&amp;"_draw")*($U$7:$U$78))</f>
        <v>0</v>
      </c>
      <c r="AV17" s="126">
        <f t="array" ref="AV17">SUMPRODUCT(($E$7:$E$78=AE17)*($U$7:$U$78)*($F$7:$F$78))+SUMPRODUCT(($H$7:$H$78=AE17)*($U$7:$U$78)*($G$7:$G$78))</f>
        <v>0</v>
      </c>
      <c r="AW17" s="126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>
        <f t="array" ref="BB17">SUMPRODUCT(($S$7:$S$78=AE17&amp;"_win")*($X$7:$X$78))+SUMPRODUCT(($T$7:$T$78=AE17&amp;"_win")*($X$7:$X$78))</f>
        <v>0</v>
      </c>
      <c r="BC17" s="126">
        <f t="array" ref="BC17">SUMPRODUCT(($S$7:$S$78=AE17&amp;"_draw")*($X$7:$X$78))+SUMPRODUCT(($T$7:$T$78=AE17&amp;"_draw")*($X$7:$X$78))</f>
        <v>0</v>
      </c>
      <c r="BD17" s="126">
        <f t="array" ref="BD17">SUMPRODUCT(($E$7:$E$78=AE17)*($X$7:$X$78)*($F$7:$F$78))+SUMPRODUCT(($H$7:$H$78=AE17)*($X$7:$X$78)*($G$7:$G$78))</f>
        <v>0</v>
      </c>
      <c r="BE17" s="126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50"/>
      <c r="BZ17" s="26" t="str">
        <f>IF(BW20&gt;BW21,BS20,IF(BW20&lt;BW21,BS21,""))</f>
        <v>Marokko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>
        <f t="array" ref="B18">INDEX(T,18+INT(MOD(R18-1,7)),lang)</f>
        <v>Man</v>
      </c>
      <c r="C18" s="18" t="str">
        <f t="array" ref="C18">INDEX(T,24+MONTH(R18),lang) &amp; " " &amp; DAY(R18) &amp; ", " &amp; YEAR(R18)</f>
        <v>Jun 15, 2026</v>
      </c>
      <c r="D18" s="120">
        <f t="shared" si="0"/>
        <v>8.3333333333333329E-2</v>
      </c>
      <c r="E18" s="78" t="str">
        <f>AE40</f>
        <v>Sverige</v>
      </c>
      <c r="F18" s="19">
        <v>2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0 - 7</v>
      </c>
      <c r="P18" s="37">
        <f>L18*3+M18</f>
        <v>0</v>
      </c>
      <c r="R18" s="123">
        <f>DATE(2026,6,14)+TIME(15,0,0)+gmt_delta</f>
        <v>46188.083333333336</v>
      </c>
      <c r="S18" s="127" t="str">
        <f t="shared" si="1"/>
        <v>Sverige_win</v>
      </c>
      <c r="T18" s="127" t="str">
        <f t="shared" si="2"/>
        <v>Tunisia_lose</v>
      </c>
      <c r="U18" s="123">
        <f t="shared" si="3"/>
        <v>0</v>
      </c>
      <c r="V18" s="123">
        <f t="shared" si="4"/>
        <v>0</v>
      </c>
      <c r="W18" s="123">
        <f t="shared" si="5"/>
        <v>0</v>
      </c>
      <c r="X18" s="123">
        <f t="shared" si="6"/>
        <v>0</v>
      </c>
      <c r="Y18" s="123">
        <f t="shared" si="7"/>
        <v>0</v>
      </c>
      <c r="Z18" s="123">
        <f t="shared" si="8"/>
        <v>0</v>
      </c>
      <c r="AA18" s="123">
        <f t="shared" si="9"/>
        <v>0</v>
      </c>
      <c r="AB18" s="123">
        <f t="shared" si="10"/>
        <v>1</v>
      </c>
      <c r="AF18" s="123">
        <f>MAX(AF14:AF17)-MIN(AF14:AF17)+1</f>
        <v>3</v>
      </c>
      <c r="AG18" s="123">
        <f>MAX(AG14:AG17)-MIN(AG14:AG17)+1</f>
        <v>3</v>
      </c>
      <c r="AH18" s="123">
        <f>MAX(AH14:AH17)-MIN(AH14:AH17)+1</f>
        <v>4</v>
      </c>
      <c r="AI18" s="123">
        <f>MAX(AI14:AI17)+1</f>
        <v>7</v>
      </c>
      <c r="AL18" s="123">
        <f>MIN(AL14:AL17)</f>
        <v>-7</v>
      </c>
      <c r="AM18" s="123">
        <f>MAX(AM14:AM17)+1</f>
        <v>12</v>
      </c>
      <c r="AN18" s="123">
        <f>MAX(AN14:AN17)+1</f>
        <v>8</v>
      </c>
      <c r="AO18" s="123">
        <f>MAX(AO14:AO17)+1</f>
        <v>9.75</v>
      </c>
      <c r="AP18" s="123">
        <f>MAX(AP14:AP17)+1</f>
        <v>87500011.024634227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49">
        <v>73</v>
      </c>
      <c r="BL18" s="24" t="str">
        <f>AS9</f>
        <v>Tsjekkia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>
        <f t="array" ref="B19">INDEX(T,18+INT(MOD(R19-1,7)),lang)</f>
        <v>Man</v>
      </c>
      <c r="C19" s="18" t="str">
        <f t="array" ref="C19">INDEX(T,24+MONTH(R19),lang) &amp; " " &amp; DAY(R19) &amp; ", " &amp; YEAR(R19)</f>
        <v>Jun 15, 2026</v>
      </c>
      <c r="D19" s="120">
        <f t="shared" si="0"/>
        <v>0.91666666666666663</v>
      </c>
      <c r="E19" s="78" t="str">
        <f>AE52</f>
        <v>Saudi-Arabia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Saudi-Arabia_lose</v>
      </c>
      <c r="T19" s="127" t="str">
        <f t="shared" si="2"/>
        <v>Uruguay_win</v>
      </c>
      <c r="U19" s="123">
        <f t="shared" si="3"/>
        <v>0</v>
      </c>
      <c r="V19" s="123">
        <f t="shared" si="4"/>
        <v>0</v>
      </c>
      <c r="W19" s="123">
        <f t="shared" si="5"/>
        <v>0</v>
      </c>
      <c r="X19" s="123">
        <f t="shared" si="6"/>
        <v>0</v>
      </c>
      <c r="Y19" s="123">
        <f t="shared" si="7"/>
        <v>0</v>
      </c>
      <c r="Z19" s="123">
        <f t="shared" si="8"/>
        <v>0</v>
      </c>
      <c r="AA19" s="123">
        <f t="shared" si="9"/>
        <v>0</v>
      </c>
      <c r="AB19" s="123">
        <f t="shared" si="10"/>
        <v>-1</v>
      </c>
      <c r="BK19" s="150"/>
      <c r="BL19" s="26" t="str">
        <f>AS15</f>
        <v>Canada</v>
      </c>
      <c r="BM19" s="62">
        <v>2</v>
      </c>
      <c r="BN19" s="64"/>
      <c r="BO19" s="27"/>
      <c r="BP19" s="113">
        <f>IF(BP18="","",BM19*1000+BN19*10+BO19)</f>
        <v>2000</v>
      </c>
      <c r="BQ19" s="112"/>
      <c r="BR19" s="21" t="str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>
        <f t="array" ref="B20">INDEX(T,18+INT(MOD(R20-1,7)),lang)</f>
        <v>Man</v>
      </c>
      <c r="C20" s="18" t="str">
        <f t="array" ref="C20">INDEX(T,24+MONTH(R20),lang) &amp; " " &amp; DAY(R20) &amp; ", " &amp; YEAR(R20)</f>
        <v>Jun 15, 2026</v>
      </c>
      <c r="D20" s="120">
        <f t="shared" si="0"/>
        <v>0.66666666666666663</v>
      </c>
      <c r="E20" s="78" t="str">
        <f>AE50</f>
        <v>Spania</v>
      </c>
      <c r="F20" s="19">
        <v>3</v>
      </c>
      <c r="G20" s="20">
        <v>0</v>
      </c>
      <c r="H20" s="80" t="str">
        <f>AE51</f>
        <v>Kapp Verde</v>
      </c>
      <c r="J20" s="38" t="str">
        <f t="array" ref="J20">INDEX(T,9,lang) &amp; " " &amp; "C"</f>
        <v>Gruppe C</v>
      </c>
      <c r="K20" s="94" t="str">
        <f t="array" ref="K20">INDEX(T,10,lang)</f>
        <v>S</v>
      </c>
      <c r="L20" s="94" t="str">
        <f t="array" ref="L20">INDEX(T,11,lang)</f>
        <v>V</v>
      </c>
      <c r="M20" s="94" t="str">
        <f t="array" ref="M20">INDEX(T,12,lang)</f>
        <v>T</v>
      </c>
      <c r="N20" s="94" t="str">
        <f t="array" ref="N20">INDEX(T,13,lang)</f>
        <v>U</v>
      </c>
      <c r="O20" s="94" t="str">
        <f t="array" ref="O20">INDEX(T,14,lang)</f>
        <v>Mål</v>
      </c>
      <c r="P20" s="95" t="str">
        <f t="array" ref="P20">INDEX(T,15,lang)</f>
        <v>P</v>
      </c>
      <c r="R20" s="123">
        <f>DATE(2026,6,15)+TIME(5,0,0)+gmt_delta</f>
        <v>46188.666666666672</v>
      </c>
      <c r="S20" s="127" t="str">
        <f t="shared" si="1"/>
        <v>Spania_win</v>
      </c>
      <c r="T20" s="127" t="str">
        <f t="shared" si="2"/>
        <v>Kapp Verde_lose</v>
      </c>
      <c r="U20" s="123">
        <f t="shared" si="3"/>
        <v>0</v>
      </c>
      <c r="V20" s="123">
        <f t="shared" si="4"/>
        <v>0</v>
      </c>
      <c r="W20" s="123">
        <f t="shared" si="5"/>
        <v>0</v>
      </c>
      <c r="X20" s="123">
        <f t="shared" si="6"/>
        <v>0</v>
      </c>
      <c r="Y20" s="123">
        <f t="shared" si="7"/>
        <v>0</v>
      </c>
      <c r="Z20" s="123">
        <f t="shared" si="8"/>
        <v>0</v>
      </c>
      <c r="AA20" s="123">
        <f t="shared" si="9"/>
        <v>0</v>
      </c>
      <c r="AB20" s="123">
        <f t="shared" si="10"/>
        <v>1</v>
      </c>
      <c r="AD20" s="123">
        <f>COUNTIF(AR20:AR23,CONCATENATE("&gt;=",AR20))</f>
        <v>1</v>
      </c>
      <c r="AE20" s="124" t="str">
        <f>VLOOKUP("Brazil",T,lang,FALSE)</f>
        <v>Brasil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9</v>
      </c>
      <c r="AJ20" s="123">
        <f>SUMIF($E$7:$E$78,$AE20,$G$7:$G$78) + SUMIF($H$7:$H$78,$AE20,$F$7:$F$78)</f>
        <v>2</v>
      </c>
      <c r="AL20" s="123">
        <f>AI20-AJ20</f>
        <v>7</v>
      </c>
      <c r="AM20" s="123">
        <f>AL20-AL24</f>
        <v>16</v>
      </c>
      <c r="AN20" s="123">
        <f>AF20*3+AG20</f>
        <v>7</v>
      </c>
      <c r="AO20" s="123">
        <f>AN20/AN24*10+BA20</f>
        <v>9.7306451612903224</v>
      </c>
      <c r="AP20" s="123">
        <f>AO20*10000000+BI20*100+AM20/AM24*10+AI20/AI24*1++IF(AQ20=0,ROW(),AQ20)/2000000</f>
        <v>97306559.990064651</v>
      </c>
      <c r="AQ20" s="126">
        <f>VLOOKUP(AE20,db_fifarank,2,FALSE)</f>
        <v>1761.16</v>
      </c>
      <c r="AR20" s="125">
        <f>AP20/AP24</f>
        <v>0.9999999897232007</v>
      </c>
      <c r="AS20" s="125" t="str">
        <f>IF(SUM(AF20:AH23)=12,J21,"1C")</f>
        <v>Brasil</v>
      </c>
      <c r="AT20" s="126">
        <f t="array" ref="AT20">SUMPRODUCT(($S$7:$S$78=AE20&amp;"_win")*($U$7:$U$78))+SUMPRODUCT(($T$7:$T$78=AE20&amp;"_win")*($U$7:$U$78))</f>
        <v>0</v>
      </c>
      <c r="AU20" s="126">
        <f t="array" ref="AU20">SUMPRODUCT(($S$7:$S$78=AE20&amp;"_draw")*($U$7:$U$78))+SUMPRODUCT(($T$7:$T$78=AE20&amp;"_draw")*($U$7:$U$78))</f>
        <v>1</v>
      </c>
      <c r="AV20" s="126">
        <f t="array" ref="AV20">SUMPRODUCT(($E$7:$E$78=AE20)*($U$7:$U$78)*($F$7:$F$78))+SUMPRODUCT(($H$7:$H$78=AE20)*($U$7:$U$78)*($G$7:$G$78))</f>
        <v>2</v>
      </c>
      <c r="AW20" s="126">
        <f t="array" ref="AW20">SUMPRODUCT(($E$7:$E$78=AE20)*($U$7:$U$78)*($G$7:$G$78))+SUMPRODUCT(($H$7:$H$78=AE20)*($U$7:$U$78)*($F$7:$F$78))</f>
        <v>2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50.666666666666664</v>
      </c>
      <c r="BA20" s="126">
        <f>AZ20/AZ24</f>
        <v>0.98064516129032253</v>
      </c>
      <c r="BB20" s="126">
        <f t="array" ref="BB20">SUMPRODUCT(($S$7:$S$78=AE20&amp;"_win")*($X$7:$X$78))+SUMPRODUCT(($T$7:$T$78=AE20&amp;"_win")*($X$7:$X$78))</f>
        <v>0</v>
      </c>
      <c r="BC20" s="126">
        <f t="array" ref="BC20">SUMPRODUCT(($S$7:$S$78=AE20&amp;"_draw")*($X$7:$X$78))+SUMPRODUCT(($T$7:$T$78=AE20&amp;"_draw")*($X$7:$X$78))</f>
        <v>1</v>
      </c>
      <c r="BD20" s="126">
        <f t="array" ref="BD20">SUMPRODUCT(($E$7:$E$78=AE20)*($X$7:$X$78)*($F$7:$F$78))+SUMPRODUCT(($H$7:$H$78=AE20)*($X$7:$X$78)*($G$7:$G$78))</f>
        <v>2</v>
      </c>
      <c r="BE20" s="126">
        <f t="array" ref="BE20">SUMPRODUCT(($E$7:$E$78=AE20)*($X$7:$X$78)*($G$7:$G$78))+SUMPRODUCT(($H$7:$H$78=AE20)*($X$7:$X$78)*($F$7:$F$78))</f>
        <v>2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50.666666666666664</v>
      </c>
      <c r="BI20" s="126">
        <f>BH20/BH24</f>
        <v>0.98064516129032253</v>
      </c>
      <c r="BK20" s="21"/>
      <c r="BL20" s="21"/>
      <c r="BM20" s="21"/>
      <c r="BN20" s="21"/>
      <c r="BO20" s="21"/>
      <c r="BP20" s="114"/>
      <c r="BQ20" s="112"/>
      <c r="BR20" s="149">
        <v>90</v>
      </c>
      <c r="BS20" s="24" t="str">
        <f>IF(BP18&gt;BP19,BL18,IF(BP18&lt;BP19,BL19,""))</f>
        <v>Canada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>
        <f t="array" ref="B21">INDEX(T,18+INT(MOD(R21-1,7)),lang)</f>
        <v>Tirs</v>
      </c>
      <c r="C21" s="18" t="str">
        <f t="array" ref="C21">INDEX(T,24+MONTH(R21),lang) &amp; " " &amp; DAY(R21) &amp; ", " &amp; YEAR(R21)</f>
        <v>Jun 16, 2026</v>
      </c>
      <c r="D21" s="120">
        <f t="shared" si="0"/>
        <v>4.1666666666666664E-2</v>
      </c>
      <c r="E21" s="78" t="str">
        <f>AE46</f>
        <v>Iran</v>
      </c>
      <c r="F21" s="19">
        <v>2</v>
      </c>
      <c r="G21" s="20">
        <v>0</v>
      </c>
      <c r="H21" s="80" t="str">
        <f>AE47</f>
        <v>New Zealand</v>
      </c>
      <c r="J21" s="30" t="str">
        <f>VLOOKUP(1,AD20:AN23,2,FALSE)</f>
        <v>Brasil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9 - 2</v>
      </c>
      <c r="P21" s="32">
        <f>L21*3+M21</f>
        <v>7</v>
      </c>
      <c r="R21" s="123">
        <f>DATE(2026,6,15)+TIME(14,0,0)+gmt_delta</f>
        <v>46189.041666666672</v>
      </c>
      <c r="S21" s="127" t="str">
        <f t="shared" si="1"/>
        <v>Iran_win</v>
      </c>
      <c r="T21" s="127" t="str">
        <f t="shared" si="2"/>
        <v>New Zealand_lose</v>
      </c>
      <c r="U21" s="123">
        <f t="shared" si="3"/>
        <v>0</v>
      </c>
      <c r="V21" s="123">
        <f t="shared" si="4"/>
        <v>0</v>
      </c>
      <c r="W21" s="123">
        <f t="shared" si="5"/>
        <v>0</v>
      </c>
      <c r="X21" s="123">
        <f t="shared" si="6"/>
        <v>0</v>
      </c>
      <c r="Y21" s="123">
        <f t="shared" si="7"/>
        <v>0</v>
      </c>
      <c r="Z21" s="123">
        <f t="shared" si="8"/>
        <v>0</v>
      </c>
      <c r="AA21" s="123">
        <f t="shared" si="9"/>
        <v>0</v>
      </c>
      <c r="AB21" s="123">
        <f t="shared" si="10"/>
        <v>1</v>
      </c>
      <c r="AD21" s="123">
        <f>COUNTIF(AR20:AR23,CONCATENATE("&gt;=",AR21))</f>
        <v>2</v>
      </c>
      <c r="AE21" s="124" t="str">
        <f>VLOOKUP("Morocco",T,lang,FALSE)</f>
        <v>Marokko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2</v>
      </c>
      <c r="AL21" s="123">
        <f>AI21-AJ21</f>
        <v>5</v>
      </c>
      <c r="AM21" s="123">
        <f>AL21-AL24</f>
        <v>14</v>
      </c>
      <c r="AN21" s="123">
        <f>AF21*3+AG21</f>
        <v>7</v>
      </c>
      <c r="AO21" s="123">
        <f>AN21/AN24*10+BA21</f>
        <v>9.7306451612903224</v>
      </c>
      <c r="AP21" s="123">
        <f>AO21*10000000+BI21*100+AM21/AM24*10+AI21/AI24*1++IF(AQ21=0,ROW(),AQ21)/2000000</f>
        <v>97306558.613591403</v>
      </c>
      <c r="AQ21" s="126">
        <f>VLOOKUP(AE21,db_fifarank,2,FALSE)</f>
        <v>1755.87</v>
      </c>
      <c r="AR21" s="125">
        <f>AP21/AP24</f>
        <v>0.99999997557746134</v>
      </c>
      <c r="AS21" s="125" t="str">
        <f>IF(SUM(AF20:AH23)=12,J22,"2C")</f>
        <v>Marokko</v>
      </c>
      <c r="AT21" s="126">
        <f t="array" ref="AT21">SUMPRODUCT(($S$7:$S$78=AE21&amp;"_win")*($U$7:$U$78))+SUMPRODUCT(($T$7:$T$78=AE21&amp;"_win")*($U$7:$U$78))</f>
        <v>0</v>
      </c>
      <c r="AU21" s="126">
        <f t="array" ref="AU21">SUMPRODUCT(($S$7:$S$78=AE21&amp;"_draw")*($U$7:$U$78))+SUMPRODUCT(($T$7:$T$78=AE21&amp;"_draw")*($U$7:$U$78))</f>
        <v>1</v>
      </c>
      <c r="AV21" s="126">
        <f t="array" ref="AV21">SUMPRODUCT(($E$7:$E$78=AE21)*($U$7:$U$78)*($F$7:$F$78))+SUMPRODUCT(($H$7:$H$78=AE21)*($U$7:$U$78)*($G$7:$G$78))</f>
        <v>2</v>
      </c>
      <c r="AW21" s="126">
        <f t="array" ref="AW21">SUMPRODUCT(($E$7:$E$78=AE21)*($U$7:$U$78)*($G$7:$G$78))+SUMPRODUCT(($H$7:$H$78=AE21)*($U$7:$U$78)*($F$7:$F$78))</f>
        <v>2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50.666666666666664</v>
      </c>
      <c r="BA21" s="126">
        <f>AZ21/AZ24</f>
        <v>0.98064516129032253</v>
      </c>
      <c r="BB21" s="126">
        <f t="array" ref="BB21">SUMPRODUCT(($S$7:$S$78=AE21&amp;"_win")*($X$7:$X$78))+SUMPRODUCT(($T$7:$T$78=AE21&amp;"_win")*($X$7:$X$78))</f>
        <v>0</v>
      </c>
      <c r="BC21" s="126">
        <f t="array" ref="BC21">SUMPRODUCT(($S$7:$S$78=AE21&amp;"_draw")*($X$7:$X$78))+SUMPRODUCT(($T$7:$T$78=AE21&amp;"_draw")*($X$7:$X$78))</f>
        <v>1</v>
      </c>
      <c r="BD21" s="126">
        <f t="array" ref="BD21">SUMPRODUCT(($E$7:$E$78=AE21)*($X$7:$X$78)*($F$7:$F$78))+SUMPRODUCT(($H$7:$H$78=AE21)*($X$7:$X$78)*($G$7:$G$78))</f>
        <v>2</v>
      </c>
      <c r="BE21" s="126">
        <f t="array" ref="BE21">SUMPRODUCT(($E$7:$E$78=AE21)*($X$7:$X$78)*($G$7:$G$78))+SUMPRODUCT(($H$7:$H$78=AE21)*($X$7:$X$78)*($F$7:$F$78))</f>
        <v>2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50.666666666666664</v>
      </c>
      <c r="BI21" s="126">
        <f>BH21/BH24</f>
        <v>0.98064516129032253</v>
      </c>
      <c r="BK21" s="21" t="str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50"/>
      <c r="BS21" s="26" t="str">
        <f>IF(BP22&gt;BP23,BL22,IF(BP22&lt;BP23,BL23,""))</f>
        <v>Marokko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>
        <f t="array" ref="B22">INDEX(T,18+INT(MOD(R22-1,7)),lang)</f>
        <v>Man</v>
      </c>
      <c r="C22" s="18" t="str">
        <f t="array" ref="C22">INDEX(T,24+MONTH(R22),lang) &amp; " " &amp; DAY(R22) &amp; ", " &amp; YEAR(R22)</f>
        <v>Jun 15, 2026</v>
      </c>
      <c r="D22" s="120">
        <f t="shared" si="0"/>
        <v>0.79166666666666663</v>
      </c>
      <c r="E22" s="78" t="str">
        <f>AE44</f>
        <v>Belgia</v>
      </c>
      <c r="F22" s="19">
        <v>3</v>
      </c>
      <c r="G22" s="20">
        <v>1</v>
      </c>
      <c r="H22" s="80" t="str">
        <f>AE45</f>
        <v>Egypt</v>
      </c>
      <c r="J22" s="33" t="str">
        <f>VLOOKUP(2,AD20:AN23,2,FALSE)</f>
        <v>Marokko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7 - 2</v>
      </c>
      <c r="P22" s="34">
        <f>L22*3+M22</f>
        <v>7</v>
      </c>
      <c r="R22" s="123">
        <f>DATE(2026,6,15)+TIME(8,0,0)+gmt_delta</f>
        <v>46188.791666666672</v>
      </c>
      <c r="S22" s="127" t="str">
        <f t="shared" si="1"/>
        <v>Belgia_win</v>
      </c>
      <c r="T22" s="127" t="str">
        <f t="shared" si="2"/>
        <v>Egypt_lose</v>
      </c>
      <c r="U22" s="123">
        <f t="shared" si="3"/>
        <v>0</v>
      </c>
      <c r="V22" s="123">
        <f t="shared" si="4"/>
        <v>0</v>
      </c>
      <c r="W22" s="123">
        <f t="shared" si="5"/>
        <v>0</v>
      </c>
      <c r="X22" s="123">
        <f t="shared" si="6"/>
        <v>0</v>
      </c>
      <c r="Y22" s="123">
        <f t="shared" si="7"/>
        <v>0</v>
      </c>
      <c r="Z22" s="123">
        <f t="shared" si="8"/>
        <v>0</v>
      </c>
      <c r="AA22" s="123">
        <f t="shared" si="9"/>
        <v>0</v>
      </c>
      <c r="AB22" s="123">
        <f t="shared" si="10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9</v>
      </c>
      <c r="AL22" s="123">
        <f>AI22-AJ22</f>
        <v>-9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6.6373222260515827E-12</v>
      </c>
      <c r="AT22" s="126">
        <f t="array" ref="AT22">SUMPRODUCT(($S$7:$S$78=AE22&amp;"_win")*($U$7:$U$78))+SUMPRODUCT(($T$7:$T$78=AE22&amp;"_win")*($U$7:$U$78))</f>
        <v>0</v>
      </c>
      <c r="AU22" s="126">
        <f t="array" ref="AU22">SUMPRODUCT(($S$7:$S$78=AE22&amp;"_draw")*($U$7:$U$78))+SUMPRODUCT(($T$7:$T$78=AE22&amp;"_draw")*($U$7:$U$78))</f>
        <v>0</v>
      </c>
      <c r="AV22" s="126">
        <f t="array" ref="AV22">SUMPRODUCT(($E$7:$E$78=AE22)*($U$7:$U$78)*($F$7:$F$78))+SUMPRODUCT(($H$7:$H$78=AE22)*($U$7:$U$78)*($G$7:$G$78))</f>
        <v>0</v>
      </c>
      <c r="AW22" s="126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>
        <f t="array" ref="BB22">SUMPRODUCT(($S$7:$S$78=AE22&amp;"_win")*($X$7:$X$78))+SUMPRODUCT(($T$7:$T$78=AE22&amp;"_win")*($X$7:$X$78))</f>
        <v>0</v>
      </c>
      <c r="BC22" s="126">
        <f t="array" ref="BC22">SUMPRODUCT(($S$7:$S$78=AE22&amp;"_draw")*($X$7:$X$78))+SUMPRODUCT(($T$7:$T$78=AE22&amp;"_draw")*($X$7:$X$78))</f>
        <v>0</v>
      </c>
      <c r="BD22" s="126">
        <f t="array" ref="BD22">SUMPRODUCT(($E$7:$E$78=AE22)*($X$7:$X$78)*($F$7:$F$78))+SUMPRODUCT(($H$7:$H$78=AE22)*($X$7:$X$78)*($G$7:$G$78))</f>
        <v>0</v>
      </c>
      <c r="BE22" s="126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9">
        <v>75</v>
      </c>
      <c r="BL22" s="24" t="str">
        <f>AS38</f>
        <v>Japan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5">
      <c r="A23" s="16">
        <v>17</v>
      </c>
      <c r="B23" s="17" t="str">
        <f t="array" ref="B23">INDEX(T,18+INT(MOD(R23-1,7)),lang)</f>
        <v>Tirs</v>
      </c>
      <c r="C23" s="18" t="str">
        <f t="array" ref="C23">INDEX(T,24+MONTH(R23),lang) &amp; " " &amp; DAY(R23) &amp; ", " &amp; YEAR(R23)</f>
        <v>Jun 16, 2026</v>
      </c>
      <c r="D23" s="120">
        <f t="shared" si="0"/>
        <v>0.79166666666666663</v>
      </c>
      <c r="E23" s="78" t="str">
        <f>AE56</f>
        <v>Frankrike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Skottland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2 - 5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Frankrike_win</v>
      </c>
      <c r="T23" s="127" t="str">
        <f t="shared" si="2"/>
        <v>Senegal_lose</v>
      </c>
      <c r="U23" s="123">
        <f t="shared" si="3"/>
        <v>0</v>
      </c>
      <c r="V23" s="123">
        <f t="shared" si="4"/>
        <v>0</v>
      </c>
      <c r="W23" s="123">
        <f t="shared" si="5"/>
        <v>0</v>
      </c>
      <c r="X23" s="123">
        <f t="shared" si="6"/>
        <v>0</v>
      </c>
      <c r="Y23" s="123">
        <f t="shared" si="7"/>
        <v>0</v>
      </c>
      <c r="Z23" s="123">
        <f t="shared" si="8"/>
        <v>0</v>
      </c>
      <c r="AA23" s="123">
        <f t="shared" si="9"/>
        <v>0</v>
      </c>
      <c r="AB23" s="123">
        <f t="shared" si="10"/>
        <v>1</v>
      </c>
      <c r="AD23" s="123">
        <f>COUNTIF(AR20:AR23,CONCATENATE("&gt;=",AR23))</f>
        <v>3</v>
      </c>
      <c r="AE23" s="124" t="str">
        <f>VLOOKUP("Scotland",T,lang,FALSE)</f>
        <v>Skottland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2</v>
      </c>
      <c r="AJ23" s="123">
        <f>SUMIF($E$7:$E$78,$AE23,$G$7:$G$78) + SUMIF($H$7:$H$78,$AE23,$F$7:$F$78)</f>
        <v>5</v>
      </c>
      <c r="AL23" s="123">
        <f>AI23-AJ23</f>
        <v>-3</v>
      </c>
      <c r="AM23" s="123">
        <f>AL23-AL24</f>
        <v>6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37500003.730160944</v>
      </c>
      <c r="AQ23" s="126">
        <f>VLOOKUP(AE23,db_fifarank,2,FALSE)</f>
        <v>1498.35</v>
      </c>
      <c r="AR23" s="125">
        <f>AP23/AP24</f>
        <v>0.38538001290570562</v>
      </c>
      <c r="AT23" s="126">
        <f t="array" ref="AT23">SUMPRODUCT(($S$7:$S$78=AE23&amp;"_win")*($U$7:$U$78))+SUMPRODUCT(($T$7:$T$78=AE23&amp;"_win")*($U$7:$U$78))</f>
        <v>0</v>
      </c>
      <c r="AU23" s="126">
        <f t="array" ref="AU23">SUMPRODUCT(($S$7:$S$78=AE23&amp;"_draw")*($U$7:$U$78))+SUMPRODUCT(($T$7:$T$78=AE23&amp;"_draw")*($U$7:$U$78))</f>
        <v>0</v>
      </c>
      <c r="AV23" s="126">
        <f t="array" ref="AV23">SUMPRODUCT(($E$7:$E$78=AE23)*($U$7:$U$78)*($F$7:$F$78))+SUMPRODUCT(($H$7:$H$78=AE23)*($U$7:$U$78)*($G$7:$G$78))</f>
        <v>0</v>
      </c>
      <c r="AW23" s="126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>
        <f t="array" ref="BB23">SUMPRODUCT(($S$7:$S$78=AE23&amp;"_win")*($X$7:$X$78))+SUMPRODUCT(($T$7:$T$78=AE23&amp;"_win")*($X$7:$X$78))</f>
        <v>0</v>
      </c>
      <c r="BC23" s="126">
        <f t="array" ref="BC23">SUMPRODUCT(($S$7:$S$78=AE23&amp;"_draw")*($X$7:$X$78))+SUMPRODUCT(($T$7:$T$78=AE23&amp;"_draw")*($X$7:$X$78))</f>
        <v>0</v>
      </c>
      <c r="BD23" s="126">
        <f t="array" ref="BD23">SUMPRODUCT(($E$7:$E$78=AE23)*($X$7:$X$78)*($F$7:$F$78))+SUMPRODUCT(($H$7:$H$78=AE23)*($X$7:$X$78)*($G$7:$G$78))</f>
        <v>0</v>
      </c>
      <c r="BE23" s="126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50"/>
      <c r="BL23" s="26" t="str">
        <f>AS21</f>
        <v>Marokko</v>
      </c>
      <c r="BM23" s="62">
        <v>2</v>
      </c>
      <c r="BN23" s="64"/>
      <c r="BO23" s="27"/>
      <c r="BP23" s="112">
        <f>IF(BP22="","",BM23*1000+BN23*10+BO23)</f>
        <v>2000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9">
        <v>101</v>
      </c>
      <c r="CG23" s="24" t="str">
        <f>IF(CD16&gt;CD17,BZ16,IF(CD16&lt;CD17,BZ17,""))</f>
        <v>Frankrike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25">
      <c r="A24" s="16">
        <v>18</v>
      </c>
      <c r="B24" s="17" t="str">
        <f t="array" ref="B24">INDEX(T,18+INT(MOD(R24-1,7)),lang)</f>
        <v>Tirs</v>
      </c>
      <c r="C24" s="18" t="str">
        <f t="array" ref="C24">INDEX(T,24+MONTH(R24),lang) &amp; " " &amp; DAY(R24) &amp; ", " &amp; YEAR(R24)</f>
        <v>Jun 16, 2026</v>
      </c>
      <c r="D24" s="120">
        <f t="shared" si="0"/>
        <v>0.91666666666666663</v>
      </c>
      <c r="E24" s="78" t="str">
        <f>AE58</f>
        <v>Irak</v>
      </c>
      <c r="F24" s="19">
        <v>0</v>
      </c>
      <c r="G24" s="20">
        <v>3</v>
      </c>
      <c r="H24" s="80" t="str">
        <f>AE59</f>
        <v>Norge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0 - 9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Irak_lose</v>
      </c>
      <c r="T24" s="127" t="str">
        <f t="shared" si="2"/>
        <v>Norge_win</v>
      </c>
      <c r="U24" s="123">
        <f t="shared" si="3"/>
        <v>0</v>
      </c>
      <c r="V24" s="123">
        <f t="shared" si="4"/>
        <v>0</v>
      </c>
      <c r="W24" s="123">
        <f t="shared" si="5"/>
        <v>0</v>
      </c>
      <c r="X24" s="123">
        <f t="shared" si="6"/>
        <v>0</v>
      </c>
      <c r="Y24" s="123">
        <f t="shared" si="7"/>
        <v>0</v>
      </c>
      <c r="Z24" s="123">
        <f t="shared" si="8"/>
        <v>0</v>
      </c>
      <c r="AA24" s="123">
        <f t="shared" si="9"/>
        <v>1</v>
      </c>
      <c r="AB24" s="123">
        <f t="shared" si="10"/>
        <v>-1</v>
      </c>
      <c r="AF24" s="123">
        <f>MAX(AF20:AF23)-MIN(AF20:AF23)+1</f>
        <v>3</v>
      </c>
      <c r="AG24" s="123">
        <f>MAX(AG20:AG23)-MIN(AG20:AG23)+1</f>
        <v>2</v>
      </c>
      <c r="AH24" s="123">
        <f>MAX(AH20:AH23)-MIN(AH20:AH23)+1</f>
        <v>4</v>
      </c>
      <c r="AI24" s="123">
        <f>MAX(AI20:AI23)+1</f>
        <v>10</v>
      </c>
      <c r="AL24" s="123">
        <f>MIN(AL20:AL23)</f>
        <v>-9</v>
      </c>
      <c r="AM24" s="123">
        <f>MAX(AM20:AM23)+1</f>
        <v>17</v>
      </c>
      <c r="AN24" s="123">
        <f>MAX(AN20:AN23)+1</f>
        <v>8</v>
      </c>
      <c r="AO24" s="123">
        <f>MAX(AO20:AO23)+1</f>
        <v>10.730645161290322</v>
      </c>
      <c r="AP24" s="123">
        <f>MAX(AP20:AP23)+1</f>
        <v>97306560.990064651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3</v>
      </c>
      <c r="AW24" s="126">
        <f>MAX(AW20:AW23)-MIN(AW20:AW23)+1</f>
        <v>3</v>
      </c>
      <c r="AY24" s="126">
        <f>MAX(AY20:AY23)-MIN(AY20:AY23)+1</f>
        <v>1</v>
      </c>
      <c r="AZ24" s="126">
        <f>MAX(AZ20:AZ23)+1</f>
        <v>51.666666666666664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3</v>
      </c>
      <c r="BE24" s="126">
        <f>MAX(BE20:BE23)-MIN(BE20:BE23)+1</f>
        <v>3</v>
      </c>
      <c r="BG24" s="126">
        <f>MAX(BG20:BG23)-MIN(BG20:BG23)+1</f>
        <v>1</v>
      </c>
      <c r="BH24" s="126">
        <f>MAX(BH20:BH23)+1</f>
        <v>51.666666666666664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50"/>
      <c r="CG24" s="26" t="str">
        <f>IF(CD32&gt;CD33,BZ32,IF(CD32&lt;CD33,BZ33,""))</f>
        <v>Spania</v>
      </c>
      <c r="CH24" s="62">
        <v>2</v>
      </c>
      <c r="CI24" s="64"/>
      <c r="CJ24" s="27"/>
      <c r="CK24" s="113">
        <f>IF(CK23="","",CH24*1000+CI24*10+CJ24)</f>
        <v>2000</v>
      </c>
    </row>
    <row r="25" spans="1:95" x14ac:dyDescent="0.25">
      <c r="A25" s="16">
        <v>19</v>
      </c>
      <c r="B25" s="17" t="str">
        <f t="array" ref="B25">INDEX(T,18+INT(MOD(R25-1,7)),lang)</f>
        <v>Ons</v>
      </c>
      <c r="C25" s="18" t="str">
        <f t="array" ref="C25">INDEX(T,24+MONTH(R25),lang) &amp; " " &amp; DAY(R25) &amp; ", " &amp; YEAR(R25)</f>
        <v>Jun 17, 2026</v>
      </c>
      <c r="D25" s="120">
        <f t="shared" si="0"/>
        <v>4.1666666666666664E-2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Algerie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Algerie_lose</v>
      </c>
      <c r="U25" s="123">
        <f t="shared" si="3"/>
        <v>0</v>
      </c>
      <c r="V25" s="123">
        <f t="shared" si="4"/>
        <v>0</v>
      </c>
      <c r="W25" s="123">
        <f t="shared" si="5"/>
        <v>0</v>
      </c>
      <c r="X25" s="123">
        <f t="shared" si="6"/>
        <v>0</v>
      </c>
      <c r="Y25" s="123">
        <f t="shared" si="7"/>
        <v>0</v>
      </c>
      <c r="Z25" s="123">
        <f t="shared" si="8"/>
        <v>0</v>
      </c>
      <c r="AA25" s="123">
        <f t="shared" si="9"/>
        <v>0</v>
      </c>
      <c r="AB25" s="123">
        <f t="shared" si="10"/>
        <v>1</v>
      </c>
      <c r="BK25" s="21" t="str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>
        <f t="array" ref="B26">INDEX(T,18+INT(MOD(R26-1,7)),lang)</f>
        <v>Ons</v>
      </c>
      <c r="C26" s="18" t="str">
        <f t="array" ref="C26">INDEX(T,24+MONTH(R26),lang) &amp; " " &amp; DAY(R26) &amp; ", " &amp; YEAR(R26)</f>
        <v>Jun 17, 2026</v>
      </c>
      <c r="D26" s="120">
        <f t="shared" si="0"/>
        <v>0.16666666666666666</v>
      </c>
      <c r="E26" s="78" t="str">
        <f>AE64</f>
        <v>Østerrike</v>
      </c>
      <c r="F26" s="19">
        <v>3</v>
      </c>
      <c r="G26" s="20">
        <v>1</v>
      </c>
      <c r="H26" s="80" t="str">
        <f>AE65</f>
        <v>Jordan</v>
      </c>
      <c r="J26" s="38" t="str">
        <f t="array" ref="J26">INDEX(T,9,lang) &amp; " " &amp; "D"</f>
        <v>Gruppe D</v>
      </c>
      <c r="K26" s="94" t="str">
        <f t="array" ref="K26">INDEX(T,10,lang)</f>
        <v>S</v>
      </c>
      <c r="L26" s="94" t="str">
        <f t="array" ref="L26">INDEX(T,11,lang)</f>
        <v>V</v>
      </c>
      <c r="M26" s="94" t="str">
        <f t="array" ref="M26">INDEX(T,12,lang)</f>
        <v>T</v>
      </c>
      <c r="N26" s="94" t="str">
        <f t="array" ref="N26">INDEX(T,13,lang)</f>
        <v>U</v>
      </c>
      <c r="O26" s="94" t="str">
        <f t="array" ref="O26">INDEX(T,14,lang)</f>
        <v>Mål</v>
      </c>
      <c r="P26" s="95" t="str">
        <f t="array" ref="P26">INDEX(T,15,lang)</f>
        <v>P</v>
      </c>
      <c r="R26" s="123">
        <f>DATE(2026,6,16)+TIME(17,0,0)+gmt_delta</f>
        <v>46190.166666666672</v>
      </c>
      <c r="S26" s="127" t="str">
        <f t="shared" si="1"/>
        <v>Østerrike_win</v>
      </c>
      <c r="T26" s="127" t="str">
        <f t="shared" si="2"/>
        <v>Jordan_lose</v>
      </c>
      <c r="U26" s="123">
        <f t="shared" si="3"/>
        <v>0</v>
      </c>
      <c r="V26" s="123">
        <f t="shared" si="4"/>
        <v>0</v>
      </c>
      <c r="W26" s="123">
        <f t="shared" si="5"/>
        <v>0</v>
      </c>
      <c r="X26" s="123">
        <f t="shared" si="6"/>
        <v>0</v>
      </c>
      <c r="Y26" s="123">
        <f t="shared" si="7"/>
        <v>0</v>
      </c>
      <c r="Z26" s="123">
        <f t="shared" si="8"/>
        <v>0</v>
      </c>
      <c r="AA26" s="123">
        <f t="shared" si="9"/>
        <v>0</v>
      </c>
      <c r="AB26" s="123">
        <f t="shared" si="10"/>
        <v>1</v>
      </c>
      <c r="AD26" s="123">
        <f>COUNTIF(AR26:AR29,CONCATENATE("&gt;=",AR26))</f>
        <v>1</v>
      </c>
      <c r="AE26" s="124" t="str">
        <f>VLOOKUP("United States",T,lang,FALSE)</f>
        <v>USA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7</v>
      </c>
      <c r="AJ26" s="123">
        <f>SUMIF($E$7:$E$78,$AE26,$G$7:$G$78) + SUMIF($H$7:$H$78,$AE26,$F$7:$F$78)</f>
        <v>2</v>
      </c>
      <c r="AL26" s="123">
        <f>AI26-AJ26</f>
        <v>5</v>
      </c>
      <c r="AM26" s="123">
        <f>AL26-AL30</f>
        <v>10</v>
      </c>
      <c r="AN26" s="123">
        <f>AF26*3+AG26</f>
        <v>7</v>
      </c>
      <c r="AO26" s="123">
        <f>AN26/AN30*10+BA26</f>
        <v>9.7401960784313726</v>
      </c>
      <c r="AP26" s="123">
        <f>AO26*10000000+BI26*100+AM26/AM30*10+AI26/AI30*1++IF(AQ26=0,ROW(),AQ26)/2000000</f>
        <v>97402069.770667225</v>
      </c>
      <c r="AQ26" s="126">
        <f>VLOOKUP(AE26,db_fifarank,2,FALSE)</f>
        <v>1673.13</v>
      </c>
      <c r="AR26" s="125">
        <f>AP26/AP30</f>
        <v>0.99999998973327786</v>
      </c>
      <c r="AS26" s="125" t="str">
        <f>IF(SUM(AF26:AH29)=12,J27,"1D")</f>
        <v>USA</v>
      </c>
      <c r="AT26" s="126">
        <f t="array" ref="AT26">SUMPRODUCT(($S$7:$S$78=AE26&amp;"_win")*($U$7:$U$78))+SUMPRODUCT(($T$7:$T$78=AE26&amp;"_win")*($U$7:$U$78))</f>
        <v>0</v>
      </c>
      <c r="AU26" s="126">
        <f t="array" ref="AU26">SUMPRODUCT(($S$7:$S$78=AE26&amp;"_draw")*($U$7:$U$78))+SUMPRODUCT(($T$7:$T$78=AE26&amp;"_draw")*($U$7:$U$78))</f>
        <v>1</v>
      </c>
      <c r="AV26" s="126">
        <f t="array" ref="AV26">SUMPRODUCT(($E$7:$E$78=AE26)*($U$7:$U$78)*($F$7:$F$78))+SUMPRODUCT(($H$7:$H$78=AE26)*($U$7:$U$78)*($G$7:$G$78))</f>
        <v>1</v>
      </c>
      <c r="AW26" s="126">
        <f t="array" ref="AW26">SUMPRODUCT(($E$7:$E$78=AE26)*($U$7:$U$78)*($G$7:$G$78))+SUMPRODUCT(($H$7:$H$78=AE26)*($U$7:$U$78)*($F$7:$F$78))</f>
        <v>1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101</v>
      </c>
      <c r="BA26" s="126">
        <f>AZ26/AZ30</f>
        <v>0.99019607843137258</v>
      </c>
      <c r="BB26" s="126">
        <f t="array" ref="BB26">SUMPRODUCT(($S$7:$S$78=AE26&amp;"_win")*($X$7:$X$78))+SUMPRODUCT(($T$7:$T$78=AE26&amp;"_win")*($X$7:$X$78))</f>
        <v>0</v>
      </c>
      <c r="BC26" s="126">
        <f t="array" ref="BC26">SUMPRODUCT(($S$7:$S$78=AE26&amp;"_draw")*($X$7:$X$78))+SUMPRODUCT(($T$7:$T$78=AE26&amp;"_draw")*($X$7:$X$78))</f>
        <v>1</v>
      </c>
      <c r="BD26" s="126">
        <f t="array" ref="BD26">SUMPRODUCT(($E$7:$E$78=AE26)*($X$7:$X$78)*($F$7:$F$78))+SUMPRODUCT(($H$7:$H$78=AE26)*($X$7:$X$78)*($G$7:$G$78))</f>
        <v>1</v>
      </c>
      <c r="BE26" s="126">
        <f t="array" ref="BE26">SUMPRODUCT(($E$7:$E$78=AE26)*($X$7:$X$78)*($G$7:$G$78))+SUMPRODUCT(($H$7:$H$78=AE26)*($X$7:$X$78)*($F$7:$F$78))</f>
        <v>1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101</v>
      </c>
      <c r="BI26" s="126">
        <f>BH26/BH30</f>
        <v>0.99019607843137258</v>
      </c>
      <c r="BK26" s="149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>
        <f t="array" ref="B27">INDEX(T,18+INT(MOD(R27-1,7)),lang)</f>
        <v>Ons</v>
      </c>
      <c r="C27" s="18" t="str">
        <f t="array" ref="C27">INDEX(T,24+MONTH(R27),lang) &amp; " " &amp; DAY(R27) &amp; ", " &amp; YEAR(R27)</f>
        <v>Jun 17, 2026</v>
      </c>
      <c r="D27" s="120">
        <f t="shared" si="0"/>
        <v>0.95833333333333337</v>
      </c>
      <c r="E27" s="78" t="str">
        <f>AE76</f>
        <v>Ghana</v>
      </c>
      <c r="F27" s="19">
        <v>2</v>
      </c>
      <c r="G27" s="20">
        <v>1</v>
      </c>
      <c r="H27" s="80" t="str">
        <f>AE77</f>
        <v>Panama</v>
      </c>
      <c r="J27" s="30" t="str">
        <f>VLOOKUP(1,AD26:AN29,2,FALSE)</f>
        <v>USA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7 - 2</v>
      </c>
      <c r="P27" s="32">
        <f>L27*3+M27</f>
        <v>7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3"/>
        <v>0</v>
      </c>
      <c r="V27" s="123">
        <f t="shared" si="4"/>
        <v>0</v>
      </c>
      <c r="W27" s="123">
        <f t="shared" si="5"/>
        <v>0</v>
      </c>
      <c r="X27" s="123">
        <f t="shared" si="6"/>
        <v>0</v>
      </c>
      <c r="Y27" s="123">
        <f t="shared" si="7"/>
        <v>0</v>
      </c>
      <c r="Z27" s="123">
        <f t="shared" si="8"/>
        <v>0</v>
      </c>
      <c r="AA27" s="123">
        <f t="shared" si="9"/>
        <v>0</v>
      </c>
      <c r="AB27" s="123">
        <f t="shared" si="10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7</v>
      </c>
      <c r="AL27" s="123">
        <f>AI27-AJ27</f>
        <v>-4</v>
      </c>
      <c r="AM27" s="123">
        <f>AL27-AL30</f>
        <v>1</v>
      </c>
      <c r="AN27" s="123">
        <f>AF27*3+AG27</f>
        <v>1</v>
      </c>
      <c r="AO27" s="123">
        <f>AN27/AN30*10+BA27</f>
        <v>2.2401960784313726</v>
      </c>
      <c r="AP27" s="123">
        <f>AO27*10000000+BI27*100+AM27/AM30*10+AI27/AI30*1++IF(AQ27=0,ROW(),AQ27)/2000000</f>
        <v>22402061.088764228</v>
      </c>
      <c r="AQ27" s="126">
        <f>VLOOKUP(AE27,db_fifarank,2,FALSE)</f>
        <v>1503.5</v>
      </c>
      <c r="AR27" s="125">
        <f>AP27/AP30</f>
        <v>0.22999573737513024</v>
      </c>
      <c r="AS27" s="125" t="str">
        <f>IF(SUM(AF26:AH29)=12,J28,"2D")</f>
        <v>Tyrkia</v>
      </c>
      <c r="AT27" s="126">
        <f t="array" ref="AT27">SUMPRODUCT(($S$7:$S$78=AE27&amp;"_win")*($U$7:$U$78))+SUMPRODUCT(($T$7:$T$78=AE27&amp;"_win")*($U$7:$U$78))</f>
        <v>0</v>
      </c>
      <c r="AU27" s="126">
        <f t="array" ref="AU27">SUMPRODUCT(($S$7:$S$78=AE27&amp;"_draw")*($U$7:$U$78))+SUMPRODUCT(($T$7:$T$78=AE27&amp;"_draw")*($U$7:$U$78))</f>
        <v>1</v>
      </c>
      <c r="AV27" s="126">
        <f t="array" ref="AV27">SUMPRODUCT(($E$7:$E$78=AE27)*($U$7:$U$78)*($F$7:$F$78))+SUMPRODUCT(($H$7:$H$78=AE27)*($U$7:$U$78)*($G$7:$G$78))</f>
        <v>1</v>
      </c>
      <c r="AW27" s="126">
        <f t="array" ref="AW27">SUMPRODUCT(($E$7:$E$78=AE27)*($U$7:$U$78)*($G$7:$G$78))+SUMPRODUCT(($H$7:$H$78=AE27)*($U$7:$U$78)*($F$7:$F$78))</f>
        <v>1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101</v>
      </c>
      <c r="BA27" s="126">
        <f>AZ27/AZ30</f>
        <v>0.99019607843137258</v>
      </c>
      <c r="BB27" s="126">
        <f t="array" ref="BB27">SUMPRODUCT(($S$7:$S$78=AE27&amp;"_win")*($X$7:$X$78))+SUMPRODUCT(($T$7:$T$78=AE27&amp;"_win")*($X$7:$X$78))</f>
        <v>0</v>
      </c>
      <c r="BC27" s="126">
        <f t="array" ref="BC27">SUMPRODUCT(($S$7:$S$78=AE27&amp;"_draw")*($X$7:$X$78))+SUMPRODUCT(($T$7:$T$78=AE27&amp;"_draw")*($X$7:$X$78))</f>
        <v>1</v>
      </c>
      <c r="BD27" s="126">
        <f t="array" ref="BD27">SUMPRODUCT(($E$7:$E$78=AE27)*($X$7:$X$78)*($F$7:$F$78))+SUMPRODUCT(($H$7:$H$78=AE27)*($X$7:$X$78)*($G$7:$G$78))</f>
        <v>1</v>
      </c>
      <c r="BE27" s="126">
        <f t="array" ref="BE27">SUMPRODUCT(($E$7:$E$78=AE27)*($X$7:$X$78)*($G$7:$G$78))+SUMPRODUCT(($H$7:$H$78=AE27)*($X$7:$X$78)*($F$7:$F$78))</f>
        <v>1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101</v>
      </c>
      <c r="BI27" s="126">
        <f>BH27/BH30</f>
        <v>0.99019607843137258</v>
      </c>
      <c r="BK27" s="150"/>
      <c r="BL27" s="26" t="str">
        <f>AS75</f>
        <v>Kroatia</v>
      </c>
      <c r="BM27" s="62">
        <v>2</v>
      </c>
      <c r="BN27" s="64"/>
      <c r="BO27" s="27"/>
      <c r="BP27" s="113">
        <f>IF(BP26="","",BM27*1000+BN27*10+BO27)</f>
        <v>2000</v>
      </c>
      <c r="BQ27" s="112"/>
      <c r="BR27" s="21" t="str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>
        <f t="array" ref="B28">INDEX(T,18+INT(MOD(R28-1,7)),lang)</f>
        <v>Ons</v>
      </c>
      <c r="C28" s="18" t="str">
        <f t="array" ref="C28">INDEX(T,24+MONTH(R28),lang) &amp; " " &amp; DAY(R28) &amp; ", " &amp; YEAR(R28)</f>
        <v>Jun 17, 2026</v>
      </c>
      <c r="D28" s="120">
        <f t="shared" si="0"/>
        <v>0.83333333333333337</v>
      </c>
      <c r="E28" s="78" t="str">
        <f>AE74</f>
        <v>England</v>
      </c>
      <c r="F28" s="19">
        <v>2</v>
      </c>
      <c r="G28" s="20">
        <v>1</v>
      </c>
      <c r="H28" s="80" t="str">
        <f>AE75</f>
        <v>Kroatia</v>
      </c>
      <c r="J28" s="33" t="str">
        <f>VLOOKUP(2,AD26:AN29,2,FALSE)</f>
        <v>Tyrkia</v>
      </c>
      <c r="K28" s="23">
        <f>L28+M28+N28</f>
        <v>3</v>
      </c>
      <c r="L28" s="23">
        <f>VLOOKUP(2,AD26:AN29,3,FALSE)</f>
        <v>2</v>
      </c>
      <c r="M28" s="23">
        <f>VLOOKUP(2,AD26:AN29,4,FALSE)</f>
        <v>1</v>
      </c>
      <c r="N28" s="23">
        <f>VLOOKUP(2,AD26:AN29,5,FALSE)</f>
        <v>0</v>
      </c>
      <c r="O28" s="23" t="str">
        <f>VLOOKUP(2,AD26:AN29,6,FALSE) &amp; " - " &amp; VLOOKUP(2,AD26:AN29,7,FALSE)</f>
        <v>7 - 3</v>
      </c>
      <c r="P28" s="34">
        <f>L28*3+M28</f>
        <v>7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Kroatia_lose</v>
      </c>
      <c r="U28" s="123">
        <f t="shared" si="3"/>
        <v>0</v>
      </c>
      <c r="V28" s="123">
        <f t="shared" si="4"/>
        <v>0</v>
      </c>
      <c r="W28" s="123">
        <f t="shared" si="5"/>
        <v>0</v>
      </c>
      <c r="X28" s="123">
        <f t="shared" si="6"/>
        <v>0</v>
      </c>
      <c r="Y28" s="123">
        <f t="shared" si="7"/>
        <v>0</v>
      </c>
      <c r="Z28" s="123">
        <f t="shared" si="8"/>
        <v>0</v>
      </c>
      <c r="AA28" s="123">
        <f t="shared" si="9"/>
        <v>0</v>
      </c>
      <c r="AB28" s="123">
        <f t="shared" si="10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7</v>
      </c>
      <c r="AL28" s="123">
        <f>AI28-AJ28</f>
        <v>-5</v>
      </c>
      <c r="AM28" s="123">
        <f>AL28-AL30</f>
        <v>0</v>
      </c>
      <c r="AN28" s="123">
        <f>AF28*3+AG28</f>
        <v>1</v>
      </c>
      <c r="AO28" s="123">
        <f>AN28/AN30*10+BA28</f>
        <v>2.2401960784313726</v>
      </c>
      <c r="AP28" s="123">
        <f>AO28*10000000+BI28*100+AM28/AM30*10+AI28/AI30*1++IF(AQ28=0,ROW(),AQ28)/2000000</f>
        <v>22402060.054711904</v>
      </c>
      <c r="AQ28" s="126">
        <f>VLOOKUP(AE28,db_fifarank,2,FALSE)</f>
        <v>1580.67</v>
      </c>
      <c r="AR28" s="125">
        <f>AP28/AP30</f>
        <v>0.22999572675880231</v>
      </c>
      <c r="AT28" s="126">
        <f t="array" ref="AT28">SUMPRODUCT(($S$7:$S$78=AE28&amp;"_win")*($U$7:$U$78))+SUMPRODUCT(($T$7:$T$78=AE28&amp;"_win")*($U$7:$U$78))</f>
        <v>0</v>
      </c>
      <c r="AU28" s="126">
        <f t="array" ref="AU28">SUMPRODUCT(($S$7:$S$78=AE28&amp;"_draw")*($U$7:$U$78))+SUMPRODUCT(($T$7:$T$78=AE28&amp;"_draw")*($U$7:$U$78))</f>
        <v>1</v>
      </c>
      <c r="AV28" s="126">
        <f t="array" ref="AV28">SUMPRODUCT(($E$7:$E$78=AE28)*($U$7:$U$78)*($F$7:$F$78))+SUMPRODUCT(($H$7:$H$78=AE28)*($U$7:$U$78)*($G$7:$G$78))</f>
        <v>1</v>
      </c>
      <c r="AW28" s="126">
        <f t="array" ref="AW28">SUMPRODUCT(($E$7:$E$78=AE28)*($U$7:$U$78)*($G$7:$G$78))+SUMPRODUCT(($H$7:$H$78=AE28)*($U$7:$U$78)*($F$7:$F$78))</f>
        <v>1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101</v>
      </c>
      <c r="BA28" s="126">
        <f>AZ28/AZ30</f>
        <v>0.99019607843137258</v>
      </c>
      <c r="BB28" s="126">
        <f t="array" ref="BB28">SUMPRODUCT(($S$7:$S$78=AE28&amp;"_win")*($X$7:$X$78))+SUMPRODUCT(($T$7:$T$78=AE28&amp;"_win")*($X$7:$X$78))</f>
        <v>0</v>
      </c>
      <c r="BC28" s="126">
        <f t="array" ref="BC28">SUMPRODUCT(($S$7:$S$78=AE28&amp;"_draw")*($X$7:$X$78))+SUMPRODUCT(($T$7:$T$78=AE28&amp;"_draw")*($X$7:$X$78))</f>
        <v>1</v>
      </c>
      <c r="BD28" s="126">
        <f t="array" ref="BD28">SUMPRODUCT(($E$7:$E$78=AE28)*($X$7:$X$78)*($F$7:$F$78))+SUMPRODUCT(($H$7:$H$78=AE28)*($X$7:$X$78)*($G$7:$G$78))</f>
        <v>1</v>
      </c>
      <c r="BE28" s="126">
        <f t="array" ref="BE28">SUMPRODUCT(($E$7:$E$78=AE28)*($X$7:$X$78)*($G$7:$G$78))+SUMPRODUCT(($H$7:$H$78=AE28)*($X$7:$X$78)*($F$7:$F$78))</f>
        <v>1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101</v>
      </c>
      <c r="BI28" s="126">
        <f>BH28/BH30</f>
        <v>0.99019607843137258</v>
      </c>
      <c r="BK28" s="21"/>
      <c r="BL28" s="21"/>
      <c r="BM28" s="21"/>
      <c r="BN28" s="21"/>
      <c r="BO28" s="21"/>
      <c r="BP28" s="114"/>
      <c r="BQ28" s="112"/>
      <c r="BR28" s="149">
        <v>93</v>
      </c>
      <c r="BS28" s="24" t="str">
        <f>IF(BP26&gt;BP27,BL26,IF(BP26&lt;BP27,BL27,""))</f>
        <v>Kroatia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>
        <f t="array" ref="B29">INDEX(T,18+INT(MOD(R29-1,7)),lang)</f>
        <v>Ons</v>
      </c>
      <c r="C29" s="18" t="str">
        <f t="array" ref="C29">INDEX(T,24+MONTH(R29),lang) &amp; " " &amp; DAY(R29) &amp; ", " &amp; YEAR(R29)</f>
        <v>Jun 17, 2026</v>
      </c>
      <c r="D29" s="120">
        <f t="shared" si="0"/>
        <v>0.70833333333333337</v>
      </c>
      <c r="E29" s="78" t="str">
        <f>AE68</f>
        <v>Portugal</v>
      </c>
      <c r="F29" s="19">
        <v>4</v>
      </c>
      <c r="G29" s="20">
        <v>0</v>
      </c>
      <c r="H29" s="80" t="str">
        <f>AE69</f>
        <v>DR Kongo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0</v>
      </c>
      <c r="M29" s="23">
        <f>VLOOKUP(3,AD26:AN29,4,FALSE)</f>
        <v>1</v>
      </c>
      <c r="N29" s="23">
        <f>VLOOKUP(3,AD26:AN29,5,FALSE)</f>
        <v>2</v>
      </c>
      <c r="O29" s="23" t="str">
        <f>VLOOKUP(3,AD26:AN29,6,FALSE) &amp; " - " &amp; VLOOKUP(3,AD26:AN29,7,FALSE)</f>
        <v>3 - 7</v>
      </c>
      <c r="P29" s="34">
        <f>L29*3+M29</f>
        <v>1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Kongo_lose</v>
      </c>
      <c r="U29" s="123">
        <f t="shared" si="3"/>
        <v>0</v>
      </c>
      <c r="V29" s="123">
        <f t="shared" si="4"/>
        <v>0</v>
      </c>
      <c r="W29" s="123">
        <f t="shared" si="5"/>
        <v>0</v>
      </c>
      <c r="X29" s="123">
        <f t="shared" si="6"/>
        <v>0</v>
      </c>
      <c r="Y29" s="123">
        <f t="shared" si="7"/>
        <v>0</v>
      </c>
      <c r="Z29" s="123">
        <f t="shared" si="8"/>
        <v>0</v>
      </c>
      <c r="AA29" s="123">
        <f t="shared" si="9"/>
        <v>0</v>
      </c>
      <c r="AB29" s="123">
        <f t="shared" si="10"/>
        <v>1</v>
      </c>
      <c r="AD29" s="123">
        <f>COUNTIF(AR26:AR29,CONCATENATE("&gt;=",AR29))</f>
        <v>2</v>
      </c>
      <c r="AE29" s="124" t="str">
        <f>VLOOKUP("Turkey",T,lang,FALSE)</f>
        <v>Tyrkia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7</v>
      </c>
      <c r="AJ29" s="123">
        <f>SUMIF($E$7:$E$78,$AE29,$G$7:$G$78) + SUMIF($H$7:$H$78,$AE29,$F$7:$F$78)</f>
        <v>3</v>
      </c>
      <c r="AL29" s="123">
        <f>AI29-AJ29</f>
        <v>4</v>
      </c>
      <c r="AM29" s="123">
        <f>AL29-AL30</f>
        <v>9</v>
      </c>
      <c r="AN29" s="123">
        <f>AF29*3+AG29</f>
        <v>7</v>
      </c>
      <c r="AO29" s="123">
        <f>AN29/AN30*10+BA29</f>
        <v>9.7401960784313726</v>
      </c>
      <c r="AP29" s="123">
        <f>AO29*10000000+BI29*100+AM29/AM30*10+AI29/AI30*1++IF(AQ29=0,ROW(),AQ29)/2000000</f>
        <v>97402068.861539274</v>
      </c>
      <c r="AQ29" s="126">
        <f>VLOOKUP(AE29,db_fifarank,2,FALSE)</f>
        <v>1599.04</v>
      </c>
      <c r="AR29" s="125">
        <f>AP29/AP30</f>
        <v>0.99999998039951377</v>
      </c>
      <c r="AT29" s="126">
        <f t="array" ref="AT29">SUMPRODUCT(($S$7:$S$78=AE29&amp;"_win")*($U$7:$U$78))+SUMPRODUCT(($T$7:$T$78=AE29&amp;"_win")*($U$7:$U$78))</f>
        <v>0</v>
      </c>
      <c r="AU29" s="126">
        <f t="array" ref="AU29">SUMPRODUCT(($S$7:$S$78=AE29&amp;"_draw")*($U$7:$U$78))+SUMPRODUCT(($T$7:$T$78=AE29&amp;"_draw")*($U$7:$U$78))</f>
        <v>1</v>
      </c>
      <c r="AV29" s="126">
        <f t="array" ref="AV29">SUMPRODUCT(($E$7:$E$78=AE29)*($U$7:$U$78)*($F$7:$F$78))+SUMPRODUCT(($H$7:$H$78=AE29)*($U$7:$U$78)*($G$7:$G$78))</f>
        <v>1</v>
      </c>
      <c r="AW29" s="126">
        <f t="array" ref="AW29">SUMPRODUCT(($E$7:$E$78=AE29)*($U$7:$U$78)*($G$7:$G$78))+SUMPRODUCT(($H$7:$H$78=AE29)*($U$7:$U$78)*($F$7:$F$78))</f>
        <v>1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101</v>
      </c>
      <c r="BA29" s="126">
        <f>AZ29/AZ30</f>
        <v>0.99019607843137258</v>
      </c>
      <c r="BB29" s="126">
        <f t="array" ref="BB29">SUMPRODUCT(($S$7:$S$78=AE29&amp;"_win")*($X$7:$X$78))+SUMPRODUCT(($T$7:$T$78=AE29&amp;"_win")*($X$7:$X$78))</f>
        <v>0</v>
      </c>
      <c r="BC29" s="126">
        <f t="array" ref="BC29">SUMPRODUCT(($S$7:$S$78=AE29&amp;"_draw")*($X$7:$X$78))+SUMPRODUCT(($T$7:$T$78=AE29&amp;"_draw")*($X$7:$X$78))</f>
        <v>1</v>
      </c>
      <c r="BD29" s="126">
        <f t="array" ref="BD29">SUMPRODUCT(($E$7:$E$78=AE29)*($X$7:$X$78)*($F$7:$F$78))+SUMPRODUCT(($H$7:$H$78=AE29)*($X$7:$X$78)*($G$7:$G$78))</f>
        <v>1</v>
      </c>
      <c r="BE29" s="126">
        <f t="array" ref="BE29">SUMPRODUCT(($E$7:$E$78=AE29)*($X$7:$X$78)*($G$7:$G$78))+SUMPRODUCT(($H$7:$H$78=AE29)*($X$7:$X$78)*($F$7:$F$78))</f>
        <v>1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101</v>
      </c>
      <c r="BI29" s="126">
        <f>BH29/BH30</f>
        <v>0.99019607843137258</v>
      </c>
      <c r="BK29" s="21" t="str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50"/>
      <c r="BS29" s="26" t="str">
        <f>IF(BP30&gt;BP31,BL30,IF(BP30&lt;BP31,BL31,""))</f>
        <v>Spania</v>
      </c>
      <c r="BT29" s="62">
        <v>3</v>
      </c>
      <c r="BU29" s="64"/>
      <c r="BV29" s="27"/>
      <c r="BW29" s="113">
        <f>IF(BW28="","",BT29*1000+BU29*10+BV29)</f>
        <v>3000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>
        <f t="array" ref="B30">INDEX(T,18+INT(MOD(R30-1,7)),lang)</f>
        <v>Tors</v>
      </c>
      <c r="C30" s="18" t="str">
        <f t="array" ref="C30">INDEX(T,24+MONTH(R30),lang) &amp; " " &amp; DAY(R30) &amp; ", " &amp; YEAR(R30)</f>
        <v>Jun 18, 2026</v>
      </c>
      <c r="D30" s="120">
        <f t="shared" si="0"/>
        <v>8.3333333333333329E-2</v>
      </c>
      <c r="E30" s="78" t="str">
        <f>AE70</f>
        <v>Usbekistan</v>
      </c>
      <c r="F30" s="19">
        <v>0</v>
      </c>
      <c r="G30" s="20">
        <v>3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2 - 7</v>
      </c>
      <c r="P30" s="37">
        <f>L30*3+M30</f>
        <v>1</v>
      </c>
      <c r="R30" s="123">
        <f>DATE(2026,6,17)+TIME(15,0,0)+gmt_delta</f>
        <v>46191.083333333336</v>
      </c>
      <c r="S30" s="127" t="str">
        <f t="shared" si="1"/>
        <v>Usbekistan_lose</v>
      </c>
      <c r="T30" s="127" t="str">
        <f t="shared" si="2"/>
        <v>Colombia_win</v>
      </c>
      <c r="U30" s="123">
        <f t="shared" si="3"/>
        <v>0</v>
      </c>
      <c r="V30" s="123">
        <f t="shared" si="4"/>
        <v>0</v>
      </c>
      <c r="W30" s="123">
        <f t="shared" si="5"/>
        <v>0</v>
      </c>
      <c r="X30" s="123">
        <f t="shared" si="6"/>
        <v>0</v>
      </c>
      <c r="Y30" s="123">
        <f t="shared" si="7"/>
        <v>0</v>
      </c>
      <c r="Z30" s="123">
        <f t="shared" si="8"/>
        <v>0</v>
      </c>
      <c r="AA30" s="123">
        <f t="shared" si="9"/>
        <v>0</v>
      </c>
      <c r="AB30" s="123">
        <f t="shared" si="10"/>
        <v>-1</v>
      </c>
      <c r="AF30" s="123">
        <f>MAX(AF26:AF29)-MIN(AF26:AF29)+1</f>
        <v>3</v>
      </c>
      <c r="AG30" s="123">
        <f>MAX(AG26:AG29)-MIN(AG26:AG29)+1</f>
        <v>1</v>
      </c>
      <c r="AH30" s="123">
        <f>MAX(AH26:AH29)-MIN(AH26:AH29)+1</f>
        <v>3</v>
      </c>
      <c r="AI30" s="123">
        <f>MAX(AI26:AI29)+1</f>
        <v>8</v>
      </c>
      <c r="AL30" s="123">
        <f>MIN(AL26:AL29)</f>
        <v>-5</v>
      </c>
      <c r="AM30" s="123">
        <f>MAX(AM26:AM29)+1</f>
        <v>11</v>
      </c>
      <c r="AN30" s="123">
        <f>MAX(AN26:AN29)+1</f>
        <v>8</v>
      </c>
      <c r="AO30" s="123">
        <f>MAX(AO26:AO29)+1</f>
        <v>10.740196078431373</v>
      </c>
      <c r="AP30" s="123">
        <f>MAX(AP26:AP29)+1</f>
        <v>97402070.770667225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102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102</v>
      </c>
      <c r="BK30" s="149">
        <v>84</v>
      </c>
      <c r="BL30" s="24" t="str">
        <f>AS50</f>
        <v>Spania</v>
      </c>
      <c r="BM30" s="61">
        <v>4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4000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>
        <f t="array" ref="B31">INDEX(T,18+INT(MOD(R31-1,7)),lang)</f>
        <v>Tors</v>
      </c>
      <c r="C31" s="18" t="str">
        <f t="array" ref="C31">INDEX(T,24+MONTH(R31),lang) &amp; " " &amp; DAY(R31) &amp; ", " &amp; YEAR(R31)</f>
        <v>Jun 18, 2026</v>
      </c>
      <c r="D31" s="120">
        <f t="shared" si="0"/>
        <v>0.66666666666666663</v>
      </c>
      <c r="E31" s="78" t="str">
        <f>AE11</f>
        <v>Tsjekkia</v>
      </c>
      <c r="F31" s="19">
        <v>3</v>
      </c>
      <c r="G31" s="20">
        <v>1</v>
      </c>
      <c r="H31" s="80" t="str">
        <f>AE9</f>
        <v>Sør-Afrika</v>
      </c>
      <c r="R31" s="123">
        <f>DATE(2026,6,18)+TIME(5,0,0)+gmt_delta</f>
        <v>46191.666666666672</v>
      </c>
      <c r="S31" s="127" t="str">
        <f t="shared" si="1"/>
        <v>Tsjekkia_win</v>
      </c>
      <c r="T31" s="127" t="str">
        <f t="shared" si="2"/>
        <v>Sør-Afrika_lose</v>
      </c>
      <c r="U31" s="123">
        <f t="shared" si="3"/>
        <v>0</v>
      </c>
      <c r="V31" s="123">
        <f t="shared" si="4"/>
        <v>0</v>
      </c>
      <c r="W31" s="123">
        <f t="shared" si="5"/>
        <v>0</v>
      </c>
      <c r="X31" s="123">
        <f t="shared" si="6"/>
        <v>0</v>
      </c>
      <c r="Y31" s="123">
        <f t="shared" si="7"/>
        <v>0</v>
      </c>
      <c r="Z31" s="123">
        <f t="shared" si="8"/>
        <v>0</v>
      </c>
      <c r="AA31" s="123">
        <f t="shared" si="9"/>
        <v>0</v>
      </c>
      <c r="AB31" s="123">
        <f t="shared" si="10"/>
        <v>1</v>
      </c>
      <c r="BK31" s="150"/>
      <c r="BL31" s="26" t="str">
        <f>AS63</f>
        <v>Østerrike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5">
      <c r="A32" s="16">
        <v>26</v>
      </c>
      <c r="B32" s="17" t="str">
        <f t="array" ref="B32">INDEX(T,18+INT(MOD(R32-1,7)),lang)</f>
        <v>Tors</v>
      </c>
      <c r="C32" s="18" t="str">
        <f t="array" ref="C32">INDEX(T,24+MONTH(R32),lang) &amp; " " &amp; DAY(R32) &amp; ", " &amp; YEAR(R32)</f>
        <v>Jun 18, 2026</v>
      </c>
      <c r="D32" s="120">
        <f t="shared" si="0"/>
        <v>0.79166666666666663</v>
      </c>
      <c r="E32" s="78" t="str">
        <f>AE17</f>
        <v>Sveits</v>
      </c>
      <c r="F32" s="19">
        <v>3</v>
      </c>
      <c r="G32" s="20">
        <v>1</v>
      </c>
      <c r="H32" s="80" t="str">
        <f>AE15</f>
        <v>Bosnia-Hercegovina</v>
      </c>
      <c r="J32" s="38" t="str">
        <f t="array" ref="J32">INDEX(T,9,lang) &amp; " " &amp; "E"</f>
        <v>Gruppe E</v>
      </c>
      <c r="K32" s="94" t="str">
        <f t="array" ref="K32">INDEX(T,10,lang)</f>
        <v>S</v>
      </c>
      <c r="L32" s="94" t="str">
        <f t="array" ref="L32">INDEX(T,11,lang)</f>
        <v>V</v>
      </c>
      <c r="M32" s="94" t="str">
        <f t="array" ref="M32">INDEX(T,12,lang)</f>
        <v>T</v>
      </c>
      <c r="N32" s="94" t="str">
        <f t="array" ref="N32">INDEX(T,13,lang)</f>
        <v>U</v>
      </c>
      <c r="O32" s="94" t="str">
        <f t="array" ref="O32">INDEX(T,14,lang)</f>
        <v>Mål</v>
      </c>
      <c r="P32" s="95" t="str">
        <f t="array" ref="P32">INDEX(T,15,lang)</f>
        <v>P</v>
      </c>
      <c r="R32" s="123">
        <f>DATE(2026,6,18)+TIME(8,0,0)+gmt_delta</f>
        <v>46191.791666666672</v>
      </c>
      <c r="S32" s="127" t="str">
        <f t="shared" si="1"/>
        <v>Sveits_win</v>
      </c>
      <c r="T32" s="127" t="str">
        <f t="shared" si="2"/>
        <v>Bosnia-Hercegovina_lose</v>
      </c>
      <c r="U32" s="123">
        <f t="shared" si="3"/>
        <v>0</v>
      </c>
      <c r="V32" s="123">
        <f t="shared" si="4"/>
        <v>0</v>
      </c>
      <c r="W32" s="123">
        <f t="shared" si="5"/>
        <v>0</v>
      </c>
      <c r="X32" s="123">
        <f t="shared" si="6"/>
        <v>0</v>
      </c>
      <c r="Y32" s="123">
        <f t="shared" si="7"/>
        <v>0</v>
      </c>
      <c r="Z32" s="123">
        <f t="shared" si="8"/>
        <v>0</v>
      </c>
      <c r="AA32" s="123">
        <f t="shared" si="9"/>
        <v>0</v>
      </c>
      <c r="AB32" s="123">
        <f t="shared" si="10"/>
        <v>1</v>
      </c>
      <c r="AD32" s="123">
        <f>COUNTIF(AR32:AR35,CONCATENATE("&gt;=",AR32))</f>
        <v>1</v>
      </c>
      <c r="AE32" s="124" t="str">
        <f>VLOOKUP("Germany",T,lang,FALSE)</f>
        <v>Tyskland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9</v>
      </c>
      <c r="AJ32" s="123">
        <f>SUMIF($E$7:$E$78,$AE32,$G$7:$G$78) + SUMIF($H$7:$H$78,$AE32,$F$7:$F$78)</f>
        <v>2</v>
      </c>
      <c r="AL32" s="123">
        <f>AI32-AJ32</f>
        <v>7</v>
      </c>
      <c r="AM32" s="123">
        <f>AL32-AL36</f>
        <v>16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90000010.312629908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Tyskland</v>
      </c>
      <c r="AT32" s="126">
        <f t="array" ref="AT32">SUMPRODUCT(($S$7:$S$78=AE32&amp;"_win")*($U$7:$U$78))+SUMPRODUCT(($T$7:$T$78=AE32&amp;"_win")*($U$7:$U$78))</f>
        <v>0</v>
      </c>
      <c r="AU32" s="126">
        <f t="array" ref="AU32">SUMPRODUCT(($S$7:$S$78=AE32&amp;"_draw")*($U$7:$U$78))+SUMPRODUCT(($T$7:$T$78=AE32&amp;"_draw")*($U$7:$U$78))</f>
        <v>0</v>
      </c>
      <c r="AV32" s="126">
        <f t="array" ref="AV32">SUMPRODUCT(($E$7:$E$78=AE32)*($U$7:$U$78)*($F$7:$F$78))+SUMPRODUCT(($H$7:$H$78=AE32)*($U$7:$U$78)*($G$7:$G$78))</f>
        <v>0</v>
      </c>
      <c r="AW32" s="126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>
        <f t="array" ref="BB32">SUMPRODUCT(($S$7:$S$78=AE32&amp;"_win")*($X$7:$X$78))+SUMPRODUCT(($T$7:$T$78=AE32&amp;"_win")*($X$7:$X$78))</f>
        <v>0</v>
      </c>
      <c r="BC32" s="126">
        <f t="array" ref="BC32">SUMPRODUCT(($S$7:$S$78=AE32&amp;"_draw")*($X$7:$X$78))+SUMPRODUCT(($T$7:$T$78=AE32&amp;"_draw")*($X$7:$X$78))</f>
        <v>0</v>
      </c>
      <c r="BD32" s="126">
        <f t="array" ref="BD32">SUMPRODUCT(($E$7:$E$78=AE32)*($X$7:$X$78)*($F$7:$F$78))+SUMPRODUCT(($H$7:$H$78=AE32)*($X$7:$X$78)*($G$7:$G$78))</f>
        <v>0</v>
      </c>
      <c r="BE32" s="126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9">
        <v>98</v>
      </c>
      <c r="BZ32" s="24" t="str">
        <f>IF(BW28&gt;BW29,BS28,IF(BW28&lt;BW29,BS29,""))</f>
        <v>Spania</v>
      </c>
      <c r="CA32" s="61">
        <v>3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3000</v>
      </c>
      <c r="CE32" s="112"/>
      <c r="CK32" s="114"/>
      <c r="CL32" s="112"/>
    </row>
    <row r="33" spans="1:96" x14ac:dyDescent="0.25">
      <c r="A33" s="16">
        <v>27</v>
      </c>
      <c r="B33" s="17" t="str">
        <f t="array" ref="B33">INDEX(T,18+INT(MOD(R33-1,7)),lang)</f>
        <v>Tors</v>
      </c>
      <c r="C33" s="18" t="str">
        <f t="array" ref="C33">INDEX(T,24+MONTH(R33),lang) &amp; " " &amp; DAY(R33) &amp; ", " &amp; YEAR(R33)</f>
        <v>Jun 18, 2026</v>
      </c>
      <c r="D33" s="120">
        <f t="shared" si="0"/>
        <v>0.91666666666666663</v>
      </c>
      <c r="E33" s="78" t="str">
        <f>AE14</f>
        <v>Canada</v>
      </c>
      <c r="F33" s="19">
        <v>3</v>
      </c>
      <c r="G33" s="20">
        <v>0</v>
      </c>
      <c r="H33" s="80" t="str">
        <f>AE16</f>
        <v>Qatar</v>
      </c>
      <c r="J33" s="30" t="str">
        <f>VLOOKUP(1,AD32:AN35,2,FALSE)</f>
        <v>Tyskland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9 - 2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3"/>
        <v>0</v>
      </c>
      <c r="V33" s="123">
        <f t="shared" si="4"/>
        <v>0</v>
      </c>
      <c r="W33" s="123">
        <f t="shared" si="5"/>
        <v>0</v>
      </c>
      <c r="X33" s="123">
        <f t="shared" si="6"/>
        <v>0</v>
      </c>
      <c r="Y33" s="123">
        <f t="shared" si="7"/>
        <v>0</v>
      </c>
      <c r="Z33" s="123">
        <f t="shared" si="8"/>
        <v>0</v>
      </c>
      <c r="AA33" s="123">
        <f t="shared" si="9"/>
        <v>0</v>
      </c>
      <c r="AB33" s="123">
        <f t="shared" si="10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9</v>
      </c>
      <c r="AL33" s="123">
        <f>AI33-AJ33</f>
        <v>-9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7.1924990959324401E-12</v>
      </c>
      <c r="AS33" s="125" t="str">
        <f>IF(SUM(AF32:AH35)=12,J34,"2E")</f>
        <v>Ecuador</v>
      </c>
      <c r="AT33" s="126">
        <f t="array" ref="AT33">SUMPRODUCT(($S$7:$S$78=AE33&amp;"_win")*($U$7:$U$78))+SUMPRODUCT(($T$7:$T$78=AE33&amp;"_win")*($U$7:$U$78))</f>
        <v>0</v>
      </c>
      <c r="AU33" s="126">
        <f t="array" ref="AU33">SUMPRODUCT(($S$7:$S$78=AE33&amp;"_draw")*($U$7:$U$78))+SUMPRODUCT(($T$7:$T$78=AE33&amp;"_draw")*($U$7:$U$78))</f>
        <v>0</v>
      </c>
      <c r="AV33" s="126">
        <f t="array" ref="AV33">SUMPRODUCT(($E$7:$E$78=AE33)*($U$7:$U$78)*($F$7:$F$78))+SUMPRODUCT(($H$7:$H$78=AE33)*($U$7:$U$78)*($G$7:$G$78))</f>
        <v>0</v>
      </c>
      <c r="AW33" s="126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>
        <f t="array" ref="BB33">SUMPRODUCT(($S$7:$S$78=AE33&amp;"_win")*($X$7:$X$78))+SUMPRODUCT(($T$7:$T$78=AE33&amp;"_win")*($X$7:$X$78))</f>
        <v>0</v>
      </c>
      <c r="BC33" s="126">
        <f t="array" ref="BC33">SUMPRODUCT(($S$7:$S$78=AE33&amp;"_draw")*($X$7:$X$78))+SUMPRODUCT(($T$7:$T$78=AE33&amp;"_draw")*($X$7:$X$78))</f>
        <v>0</v>
      </c>
      <c r="BD33" s="126">
        <f t="array" ref="BD33">SUMPRODUCT(($E$7:$E$78=AE33)*($X$7:$X$78)*($F$7:$F$78))+SUMPRODUCT(($H$7:$H$78=AE33)*($X$7:$X$78)*($G$7:$G$78))</f>
        <v>0</v>
      </c>
      <c r="BE33" s="126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50"/>
      <c r="BZ33" s="26" t="str">
        <f>IF(BW36&gt;BW37,BS36,IF(BW36&lt;BW37,BS37,""))</f>
        <v>USA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59" t="str">
        <f t="array" ref="CM33">INDEX(T,8,lang)</f>
        <v>Finale</v>
      </c>
      <c r="CN33" s="160"/>
      <c r="CO33" s="160"/>
      <c r="CP33" s="160"/>
      <c r="CQ33" s="161"/>
    </row>
    <row r="34" spans="1:96" x14ac:dyDescent="0.25">
      <c r="A34" s="16">
        <v>28</v>
      </c>
      <c r="B34" s="17" t="str">
        <f t="array" ref="B34">INDEX(T,18+INT(MOD(R34-1,7)),lang)</f>
        <v>Fre</v>
      </c>
      <c r="C34" s="18" t="str">
        <f t="array" ref="C34">INDEX(T,24+MONTH(R34),lang) &amp; " " &amp; DAY(R34) &amp; ", " &amp; YEAR(R34)</f>
        <v>Jun 19, 2026</v>
      </c>
      <c r="D34" s="120">
        <f t="shared" si="0"/>
        <v>4.1666666666666664E-2</v>
      </c>
      <c r="E34" s="78" t="str">
        <f>AE8</f>
        <v>Mexico</v>
      </c>
      <c r="F34" s="19">
        <v>2</v>
      </c>
      <c r="G34" s="20">
        <v>1</v>
      </c>
      <c r="H34" s="80" t="str">
        <f>AE10</f>
        <v>Sør-Korea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5 - 3</v>
      </c>
      <c r="P34" s="34">
        <f>L34*3+M34</f>
        <v>4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Sør-Korea_lose</v>
      </c>
      <c r="U34" s="123">
        <f t="shared" si="3"/>
        <v>0</v>
      </c>
      <c r="V34" s="123">
        <f t="shared" si="4"/>
        <v>0</v>
      </c>
      <c r="W34" s="123">
        <f t="shared" si="5"/>
        <v>0</v>
      </c>
      <c r="X34" s="123">
        <f t="shared" si="6"/>
        <v>0</v>
      </c>
      <c r="Y34" s="123">
        <f t="shared" si="7"/>
        <v>0</v>
      </c>
      <c r="Z34" s="123">
        <f t="shared" si="8"/>
        <v>0</v>
      </c>
      <c r="AA34" s="123">
        <f t="shared" si="9"/>
        <v>0</v>
      </c>
      <c r="AB34" s="123">
        <f t="shared" si="10"/>
        <v>1</v>
      </c>
      <c r="AD34" s="123">
        <f>COUNTIF(AR32:AR35,CONCATENATE("&gt;=",AR34))</f>
        <v>3</v>
      </c>
      <c r="AE34" s="124" t="str">
        <f>VLOOKUP("Ivory Coast",T,lang,FALSE)</f>
        <v>Elfenbenskysten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4</v>
      </c>
      <c r="AJ34" s="123">
        <f>SUMIF($E$7:$E$78,$AE34,$G$7:$G$78) + SUMIF($H$7:$H$78,$AE34,$F$7:$F$78)</f>
        <v>4</v>
      </c>
      <c r="AL34" s="123">
        <f>AI34-AJ34</f>
        <v>0</v>
      </c>
      <c r="AM34" s="123">
        <f>AL34-AL36</f>
        <v>9</v>
      </c>
      <c r="AN34" s="123">
        <f>AF34*3+AG34</f>
        <v>4</v>
      </c>
      <c r="AO34" s="123">
        <f>AN34/AN36*10+BA34</f>
        <v>4.9805825242718447</v>
      </c>
      <c r="AP34" s="123">
        <f>AO34*10000000+BI34*100+AM34/AM36*10+AI34/AI36*1++IF(AQ34=0,ROW(),AQ34)/2000000</f>
        <v>49805928.995855004</v>
      </c>
      <c r="AQ34" s="126">
        <f>VLOOKUP(AE34,db_fifarank,2,FALSE)</f>
        <v>1532.98</v>
      </c>
      <c r="AR34" s="125">
        <f>AP34/AP36</f>
        <v>0.5533991415050592</v>
      </c>
      <c r="AT34" s="126">
        <f t="array" ref="AT34">SUMPRODUCT(($S$7:$S$78=AE34&amp;"_win")*($U$7:$U$78))+SUMPRODUCT(($T$7:$T$78=AE34&amp;"_win")*($U$7:$U$78))</f>
        <v>0</v>
      </c>
      <c r="AU34" s="126">
        <f t="array" ref="AU34">SUMPRODUCT(($S$7:$S$78=AE34&amp;"_draw")*($U$7:$U$78))+SUMPRODUCT(($T$7:$T$78=AE34&amp;"_draw")*($U$7:$U$78))</f>
        <v>1</v>
      </c>
      <c r="AV34" s="126">
        <f t="array" ref="AV34">SUMPRODUCT(($E$7:$E$78=AE34)*($U$7:$U$78)*($F$7:$F$78))+SUMPRODUCT(($H$7:$H$78=AE34)*($U$7:$U$78)*($G$7:$G$78))</f>
        <v>1</v>
      </c>
      <c r="AW34" s="126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>
        <f t="array" ref="BB34">SUMPRODUCT(($S$7:$S$78=AE34&amp;"_win")*($X$7:$X$78))+SUMPRODUCT(($T$7:$T$78=AE34&amp;"_win")*($X$7:$X$78))</f>
        <v>0</v>
      </c>
      <c r="BC34" s="126">
        <f t="array" ref="BC34">SUMPRODUCT(($S$7:$S$78=AE34&amp;"_draw")*($X$7:$X$78))+SUMPRODUCT(($T$7:$T$78=AE34&amp;"_draw")*($X$7:$X$78))</f>
        <v>1</v>
      </c>
      <c r="BD34" s="126">
        <f t="array" ref="BD34">SUMPRODUCT(($E$7:$E$78=AE34)*($X$7:$X$78)*($F$7:$F$78))+SUMPRODUCT(($H$7:$H$78=AE34)*($X$7:$X$78)*($G$7:$G$78))</f>
        <v>1</v>
      </c>
      <c r="BE34" s="126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49">
        <v>81</v>
      </c>
      <c r="BL34" s="24" t="str">
        <f>AS26</f>
        <v>USA</v>
      </c>
      <c r="BM34" s="61">
        <v>3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3000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62"/>
      <c r="CN34" s="163"/>
      <c r="CO34" s="163"/>
      <c r="CP34" s="163"/>
      <c r="CQ34" s="164"/>
    </row>
    <row r="35" spans="1:96" x14ac:dyDescent="0.25">
      <c r="A35" s="16">
        <v>29</v>
      </c>
      <c r="B35" s="17" t="str">
        <f t="array" ref="B35">INDEX(T,18+INT(MOD(R35-1,7)),lang)</f>
        <v>Lør</v>
      </c>
      <c r="C35" s="18" t="str">
        <f t="array" ref="C35">INDEX(T,24+MONTH(R35),lang) &amp; " " &amp; DAY(R35) &amp; ", " &amp; YEAR(R35)</f>
        <v>Jun 20, 2026</v>
      </c>
      <c r="D35" s="120">
        <f t="shared" si="0"/>
        <v>2.0833333333333332E-2</v>
      </c>
      <c r="E35" s="78" t="str">
        <f>AE20</f>
        <v>Brasil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Elfenbenskysten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4 - 4</v>
      </c>
      <c r="P35" s="34">
        <f>L35*3+M35</f>
        <v>4</v>
      </c>
      <c r="R35" s="123">
        <f>DATE(2026,6,19)+TIME(13,30,0)+gmt_delta</f>
        <v>46193.020833333336</v>
      </c>
      <c r="S35" s="127" t="str">
        <f t="shared" si="1"/>
        <v>Brasil_win</v>
      </c>
      <c r="T35" s="127" t="str">
        <f t="shared" si="2"/>
        <v>Haiti_lose</v>
      </c>
      <c r="U35" s="123">
        <f t="shared" si="3"/>
        <v>0</v>
      </c>
      <c r="V35" s="123">
        <f t="shared" si="4"/>
        <v>0</v>
      </c>
      <c r="W35" s="123">
        <f t="shared" si="5"/>
        <v>0</v>
      </c>
      <c r="X35" s="123">
        <f t="shared" si="6"/>
        <v>0</v>
      </c>
      <c r="Y35" s="123">
        <f t="shared" si="7"/>
        <v>0</v>
      </c>
      <c r="Z35" s="123">
        <f t="shared" si="8"/>
        <v>0</v>
      </c>
      <c r="AA35" s="123">
        <f t="shared" si="9"/>
        <v>0</v>
      </c>
      <c r="AB35" s="123">
        <f t="shared" si="10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3</v>
      </c>
      <c r="AL35" s="123">
        <f>AI35-AJ35</f>
        <v>2</v>
      </c>
      <c r="AM35" s="123">
        <f>AL35-AL36</f>
        <v>11</v>
      </c>
      <c r="AN35" s="123">
        <f>AF35*3+AG35</f>
        <v>4</v>
      </c>
      <c r="AO35" s="123">
        <f>AN35/AN36*10+BA35</f>
        <v>4.9805825242718447</v>
      </c>
      <c r="AP35" s="123">
        <f>AO35*10000000+BI35*100+AM35/AM36*10+AI35/AI36*1++IF(AQ35=0,ROW(),AQ35)/2000000</f>
        <v>49805930.272356495</v>
      </c>
      <c r="AQ35" s="126">
        <f>VLOOKUP(AE35,db_fifarank,2,FALSE)</f>
        <v>1594.78</v>
      </c>
      <c r="AR35" s="125">
        <f>AP35/AP36</f>
        <v>0.55339915568840725</v>
      </c>
      <c r="AT35" s="126">
        <f t="array" ref="AT35">SUMPRODUCT(($S$7:$S$78=AE35&amp;"_win")*($U$7:$U$78))+SUMPRODUCT(($T$7:$T$78=AE35&amp;"_win")*($U$7:$U$78))</f>
        <v>0</v>
      </c>
      <c r="AU35" s="126">
        <f t="array" ref="AU35">SUMPRODUCT(($S$7:$S$78=AE35&amp;"_draw")*($U$7:$U$78))+SUMPRODUCT(($T$7:$T$78=AE35&amp;"_draw")*($U$7:$U$78))</f>
        <v>1</v>
      </c>
      <c r="AV35" s="126">
        <f t="array" ref="AV35">SUMPRODUCT(($E$7:$E$78=AE35)*($U$7:$U$78)*($F$7:$F$78))+SUMPRODUCT(($H$7:$H$78=AE35)*($U$7:$U$78)*($G$7:$G$78))</f>
        <v>1</v>
      </c>
      <c r="AW35" s="126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>
        <f t="array" ref="BB35">SUMPRODUCT(($S$7:$S$78=AE35&amp;"_win")*($X$7:$X$78))+SUMPRODUCT(($T$7:$T$78=AE35&amp;"_win")*($X$7:$X$78))</f>
        <v>0</v>
      </c>
      <c r="BC35" s="126">
        <f t="array" ref="BC35">SUMPRODUCT(($S$7:$S$78=AE35&amp;"_draw")*($X$7:$X$78))+SUMPRODUCT(($T$7:$T$78=AE35&amp;"_draw")*($X$7:$X$78))</f>
        <v>1</v>
      </c>
      <c r="BD35" s="126">
        <f t="array" ref="BD35">SUMPRODUCT(($E$7:$E$78=AE35)*($X$7:$X$78)*($F$7:$F$78))+SUMPRODUCT(($H$7:$H$78=AE35)*($X$7:$X$78)*($G$7:$G$78))</f>
        <v>1</v>
      </c>
      <c r="BE35" s="126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50"/>
      <c r="BL35" s="26" t="str">
        <f>IF(group_round_completed,VLOOKUP('3rd places'!F3,AK80:AS91,9,FALSE),"3rd Group B/E/F/I/J")</f>
        <v>Bosnia-Hercegovina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>
        <f t="array" ref="B36">INDEX(T,18+INT(MOD(R36-1,7)),lang)</f>
        <v>Fre</v>
      </c>
      <c r="C36" s="18" t="str">
        <f t="array" ref="C36">INDEX(T,24+MONTH(R36),lang) &amp; " " &amp; DAY(R36) &amp; ", " &amp; YEAR(R36)</f>
        <v>Jun 19, 2026</v>
      </c>
      <c r="D36" s="120">
        <f t="shared" si="0"/>
        <v>0.91666666666666663</v>
      </c>
      <c r="E36" s="78" t="str">
        <f>AE23</f>
        <v>Skottland</v>
      </c>
      <c r="F36" s="19">
        <v>0</v>
      </c>
      <c r="G36" s="20">
        <v>2</v>
      </c>
      <c r="H36" s="80" t="str">
        <f>AE21</f>
        <v>Marokko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0 - 9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Skottland_lose</v>
      </c>
      <c r="T36" s="127" t="str">
        <f t="shared" si="2"/>
        <v>Marokko_win</v>
      </c>
      <c r="U36" s="123">
        <f t="shared" si="3"/>
        <v>0</v>
      </c>
      <c r="V36" s="123">
        <f t="shared" si="4"/>
        <v>0</v>
      </c>
      <c r="W36" s="123">
        <f t="shared" si="5"/>
        <v>0</v>
      </c>
      <c r="X36" s="123">
        <f t="shared" si="6"/>
        <v>0</v>
      </c>
      <c r="Y36" s="123">
        <f t="shared" si="7"/>
        <v>0</v>
      </c>
      <c r="Z36" s="123">
        <f t="shared" si="8"/>
        <v>0</v>
      </c>
      <c r="AA36" s="123">
        <f t="shared" si="9"/>
        <v>0</v>
      </c>
      <c r="AB36" s="123">
        <f t="shared" si="10"/>
        <v>-1</v>
      </c>
      <c r="AF36" s="123">
        <f>MAX(AF32:AF35)-MIN(AF32:AF35)+1</f>
        <v>4</v>
      </c>
      <c r="AG36" s="123">
        <f>MAX(AG32:AG35)-MIN(AG32:AG35)+1</f>
        <v>2</v>
      </c>
      <c r="AH36" s="123">
        <f>MAX(AH32:AH35)-MIN(AH32:AH35)+1</f>
        <v>4</v>
      </c>
      <c r="AI36" s="123">
        <f>MAX(AI32:AI35)+1</f>
        <v>10</v>
      </c>
      <c r="AL36" s="123">
        <f>MIN(AL32:AL35)</f>
        <v>-9</v>
      </c>
      <c r="AM36" s="123">
        <f>MAX(AM32:AM35)+1</f>
        <v>17</v>
      </c>
      <c r="AN36" s="123">
        <f>MAX(AN32:AN35)+1</f>
        <v>10</v>
      </c>
      <c r="AO36" s="123">
        <f>MAX(AO32:AO35)+1</f>
        <v>10</v>
      </c>
      <c r="AP36" s="123">
        <f>MAX(AP32:AP35)+1</f>
        <v>90000011.312629908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49">
        <v>94</v>
      </c>
      <c r="BS36" s="24" t="str">
        <f>IF(BP34&gt;BP35,BL34,IF(BP34&lt;BP35,BL35,""))</f>
        <v>USA</v>
      </c>
      <c r="BT36" s="61">
        <v>2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2000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5">
      <c r="A37" s="16">
        <v>31</v>
      </c>
      <c r="B37" s="17" t="str">
        <f t="array" ref="B37">INDEX(T,18+INT(MOD(R37-1,7)),lang)</f>
        <v>Lør</v>
      </c>
      <c r="C37" s="18" t="str">
        <f t="array" ref="C37">INDEX(T,24+MONTH(R37),lang) &amp; " " &amp; DAY(R37) &amp; ", " &amp; YEAR(R37)</f>
        <v>Jun 20, 2026</v>
      </c>
      <c r="D37" s="120">
        <f t="shared" si="0"/>
        <v>0.125</v>
      </c>
      <c r="E37" s="78" t="str">
        <f>AE26</f>
        <v>USA</v>
      </c>
      <c r="F37" s="19">
        <v>3</v>
      </c>
      <c r="G37" s="20">
        <v>0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USA_win</v>
      </c>
      <c r="T37" s="127" t="str">
        <f t="shared" si="2"/>
        <v>Australia_lose</v>
      </c>
      <c r="U37" s="123">
        <f t="shared" si="3"/>
        <v>0</v>
      </c>
      <c r="V37" s="123">
        <f t="shared" si="4"/>
        <v>0</v>
      </c>
      <c r="W37" s="123">
        <f t="shared" si="5"/>
        <v>0</v>
      </c>
      <c r="X37" s="123">
        <f t="shared" si="6"/>
        <v>0</v>
      </c>
      <c r="Y37" s="123">
        <f t="shared" si="7"/>
        <v>0</v>
      </c>
      <c r="Z37" s="123">
        <f t="shared" si="8"/>
        <v>0</v>
      </c>
      <c r="AA37" s="123">
        <f t="shared" si="9"/>
        <v>0</v>
      </c>
      <c r="AB37" s="123">
        <f t="shared" si="10"/>
        <v>1</v>
      </c>
      <c r="BK37" s="21" t="str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50"/>
      <c r="BS37" s="26" t="str">
        <f>IF(BP38&gt;BP39,BL38,IF(BP38&lt;BP39,BL39,""))</f>
        <v>Belgia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9">
        <v>104</v>
      </c>
      <c r="CN37" s="24" t="str">
        <f>IF(CK23&gt;CK24,CG23,IF(CK23&lt;CK24,CG24,""))</f>
        <v>Spania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25">
      <c r="A38" s="16">
        <v>32</v>
      </c>
      <c r="B38" s="17" t="str">
        <f t="array" ref="B38">INDEX(T,18+INT(MOD(R38-1,7)),lang)</f>
        <v>Fre</v>
      </c>
      <c r="C38" s="18" t="str">
        <f t="array" ref="C38">INDEX(T,24+MONTH(R38),lang) &amp; " " &amp; DAY(R38) &amp; ", " &amp; YEAR(R38)</f>
        <v>Jun 19, 2026</v>
      </c>
      <c r="D38" s="120">
        <f t="shared" si="0"/>
        <v>0.79166666666666663</v>
      </c>
      <c r="E38" s="78" t="str">
        <f>AE29</f>
        <v>Tyrkia</v>
      </c>
      <c r="F38" s="19">
        <v>3</v>
      </c>
      <c r="G38" s="20">
        <v>1</v>
      </c>
      <c r="H38" s="80" t="str">
        <f>AE27</f>
        <v>Paraguay</v>
      </c>
      <c r="J38" s="38" t="str">
        <f t="array" ref="J38">INDEX(T,9,lang) &amp; " " &amp; "F"</f>
        <v>Gruppe F</v>
      </c>
      <c r="K38" s="94" t="str">
        <f t="array" ref="K38">INDEX(T,10,lang)</f>
        <v>S</v>
      </c>
      <c r="L38" s="94" t="str">
        <f t="array" ref="L38">INDEX(T,11,lang)</f>
        <v>V</v>
      </c>
      <c r="M38" s="94" t="str">
        <f t="array" ref="M38">INDEX(T,12,lang)</f>
        <v>T</v>
      </c>
      <c r="N38" s="94" t="str">
        <f t="array" ref="N38">INDEX(T,13,lang)</f>
        <v>U</v>
      </c>
      <c r="O38" s="94" t="str">
        <f t="array" ref="O38">INDEX(T,14,lang)</f>
        <v>Mål</v>
      </c>
      <c r="P38" s="95" t="str">
        <f t="array" ref="P38">INDEX(T,15,lang)</f>
        <v>P</v>
      </c>
      <c r="R38" s="123">
        <f>DATE(2026,6,19)+TIME(8,0,0)+gmt_delta</f>
        <v>46192.791666666672</v>
      </c>
      <c r="S38" s="127" t="str">
        <f t="shared" si="1"/>
        <v>Tyrkia_win</v>
      </c>
      <c r="T38" s="127" t="str">
        <f t="shared" si="2"/>
        <v>Paraguay_lose</v>
      </c>
      <c r="U38" s="123">
        <f t="shared" si="3"/>
        <v>0</v>
      </c>
      <c r="V38" s="123">
        <f t="shared" si="4"/>
        <v>0</v>
      </c>
      <c r="W38" s="123">
        <f t="shared" si="5"/>
        <v>0</v>
      </c>
      <c r="X38" s="123">
        <f t="shared" si="6"/>
        <v>0</v>
      </c>
      <c r="Y38" s="123">
        <f t="shared" si="7"/>
        <v>0</v>
      </c>
      <c r="Z38" s="123">
        <f t="shared" si="8"/>
        <v>0</v>
      </c>
      <c r="AA38" s="123">
        <f t="shared" si="9"/>
        <v>0</v>
      </c>
      <c r="AB38" s="123">
        <f t="shared" si="10"/>
        <v>1</v>
      </c>
      <c r="AD38" s="123">
        <f>COUNTIF(AR38:AR41,CONCATENATE("&gt;=",AR38))</f>
        <v>2</v>
      </c>
      <c r="AE38" s="124" t="str">
        <f>VLOOKUP("Netherlands",T,lang,FALSE)</f>
        <v>Nederland</v>
      </c>
      <c r="AF38" s="123">
        <f>COUNTIF($S$7:$T$78,"=" &amp; AE38 &amp; "_win")</f>
        <v>2</v>
      </c>
      <c r="AG38" s="123">
        <f>COUNTIF($S$7:$T$78,"=" &amp; AE38 &amp; "_draw")</f>
        <v>0</v>
      </c>
      <c r="AH38" s="123">
        <f>COUNTIF($S$7:$T$78,"=" &amp; AE38 &amp; "_lose")</f>
        <v>1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3</v>
      </c>
      <c r="AL38" s="123">
        <f>AI38-AJ38</f>
        <v>3</v>
      </c>
      <c r="AM38" s="123">
        <f>AL38-AL42</f>
        <v>9</v>
      </c>
      <c r="AN38" s="123">
        <f>AF38*3+AG38</f>
        <v>6</v>
      </c>
      <c r="AO38" s="123">
        <f>AN38/AN42*10+BA38</f>
        <v>6</v>
      </c>
      <c r="AP38" s="123">
        <f>AO38*10000000+BI38*100+AM38/AM42*10+AI38/AI42*1++IF(AQ38=0,ROW(),AQ38)/2000000</f>
        <v>60000007.590622522</v>
      </c>
      <c r="AQ38" s="126">
        <f>VLOOKUP(AE38,db_fifarank,2,FALSE)</f>
        <v>1757.87</v>
      </c>
      <c r="AR38" s="125">
        <f>AP38/AP42</f>
        <v>0.66666666863292889</v>
      </c>
      <c r="AS38" s="125" t="str">
        <f>IF(SUM(AF38:AH41)=12,J39,"1F")</f>
        <v>Japan</v>
      </c>
      <c r="AT38" s="126">
        <f t="array" ref="AT38">SUMPRODUCT(($S$7:$S$78=AE38&amp;"_win")*($U$7:$U$78))+SUMPRODUCT(($T$7:$T$78=AE38&amp;"_win")*($U$7:$U$78))</f>
        <v>0</v>
      </c>
      <c r="AU38" s="126">
        <f t="array" ref="AU38">SUMPRODUCT(($S$7:$S$78=AE38&amp;"_draw")*($U$7:$U$78))+SUMPRODUCT(($T$7:$T$78=AE38&amp;"_draw")*($U$7:$U$78))</f>
        <v>0</v>
      </c>
      <c r="AV38" s="126">
        <f t="array" ref="AV38">SUMPRODUCT(($E$7:$E$78=AE38)*($U$7:$U$78)*($F$7:$F$78))+SUMPRODUCT(($H$7:$H$78=AE38)*($U$7:$U$78)*($G$7:$G$78))</f>
        <v>0</v>
      </c>
      <c r="AW38" s="126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>
        <f t="array" ref="BB38">SUMPRODUCT(($S$7:$S$78=AE38&amp;"_win")*($X$7:$X$78))+SUMPRODUCT(($T$7:$T$78=AE38&amp;"_win")*($X$7:$X$78))</f>
        <v>0</v>
      </c>
      <c r="BC38" s="126">
        <f t="array" ref="BC38">SUMPRODUCT(($S$7:$S$78=AE38&amp;"_draw")*($X$7:$X$78))+SUMPRODUCT(($T$7:$T$78=AE38&amp;"_draw")*($X$7:$X$78))</f>
        <v>0</v>
      </c>
      <c r="BD38" s="126">
        <f t="array" ref="BD38">SUMPRODUCT(($E$7:$E$78=AE38)*($X$7:$X$78)*($F$7:$F$78))+SUMPRODUCT(($H$7:$H$78=AE38)*($X$7:$X$78)*($G$7:$G$78))</f>
        <v>0</v>
      </c>
      <c r="BE38" s="126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9">
        <v>82</v>
      </c>
      <c r="BL38" s="24" t="str">
        <f>AS44</f>
        <v>Belgia</v>
      </c>
      <c r="BM38" s="61">
        <v>3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3000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50"/>
      <c r="CN38" s="26" t="str">
        <f>IF(CK55&gt;CK56,CG55,IF(CK55&lt;CK56,CG56,""))</f>
        <v>Argentina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25">
      <c r="A39" s="16">
        <v>33</v>
      </c>
      <c r="B39" s="17" t="str">
        <f t="array" ref="B39">INDEX(T,18+INT(MOD(R39-1,7)),lang)</f>
        <v>Lør</v>
      </c>
      <c r="C39" s="18" t="str">
        <f t="array" ref="C39">INDEX(T,24+MONTH(R39),lang) &amp; " " &amp; DAY(R39) &amp; ", " &amp; YEAR(R39)</f>
        <v>Jun 20, 2026</v>
      </c>
      <c r="D39" s="120">
        <f t="shared" ref="D39:D70" si="11">TIME(HOUR(R39),MINUTE(R39),0)</f>
        <v>0.83333333333333337</v>
      </c>
      <c r="E39" s="78" t="str">
        <f>AE32</f>
        <v>Tyskland</v>
      </c>
      <c r="F39" s="19">
        <v>3</v>
      </c>
      <c r="G39" s="20">
        <v>1</v>
      </c>
      <c r="H39" s="80" t="str">
        <f>AE34</f>
        <v>Elfenbenskysten</v>
      </c>
      <c r="J39" s="30" t="str">
        <f>VLOOKUP(1,AD38:AN41,2,FALSE)</f>
        <v>Japan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8 - 2</v>
      </c>
      <c r="P39" s="32">
        <f>L39*3+M39</f>
        <v>9</v>
      </c>
      <c r="R39" s="123">
        <f>DATE(2026,6,20)+TIME(9,0,0)+gmt_delta</f>
        <v>46193.833333333336</v>
      </c>
      <c r="S39" s="127" t="str">
        <f t="shared" ref="S39:S70" si="12">IF(OR(F39="",G39=""),"",IF(F39&gt;G39,E39&amp;"_win",IF(F39&lt;G39,E39&amp;"_lose",E39&amp;"_draw")))</f>
        <v>Tyskland_win</v>
      </c>
      <c r="T39" s="127" t="str">
        <f t="shared" ref="T39:T70" si="13">IF(S39="","",IF(F39&lt;G39,H39&amp;"_win",IF(F39&gt;G39,H39&amp;"_lose",H39&amp;"_draw")))</f>
        <v>Elfenbenskysten_lose</v>
      </c>
      <c r="U39" s="123">
        <f t="shared" ref="U39:U70" si="14">IF(S39="",0,IF(VLOOKUP(E39,$AE$8:$AN$77,10,FALSE)=VLOOKUP(H39,$AE$8:$AN$77,10,FALSE),1,0))</f>
        <v>0</v>
      </c>
      <c r="V39" s="123">
        <f t="shared" ref="V39:V70" si="15">U39*F39</f>
        <v>0</v>
      </c>
      <c r="W39" s="123">
        <f t="shared" ref="W39:W70" si="16">U39*G39</f>
        <v>0</v>
      </c>
      <c r="X39" s="123">
        <f t="shared" ref="X39:X70" si="17">IF(S39="",0,IF(VLOOKUP(E39,$AE$8:$AO$77,11,FALSE)=VLOOKUP(H39,$AE$8:$AO$77,11,FALSE),1,0))</f>
        <v>0</v>
      </c>
      <c r="Y39" s="123">
        <f t="shared" ref="Y39:Y70" si="18">X39*F39</f>
        <v>0</v>
      </c>
      <c r="Z39" s="123">
        <f t="shared" ref="Z39:Z70" si="19">X39*G39</f>
        <v>0</v>
      </c>
      <c r="AA39" s="123">
        <f t="shared" ref="AA39:AA70" si="20">IF(OR(E39=my_team,H39=my_team),1,IF(INT(MATCH(E39,$AE$8:$AE$78,0)/6)=$AA$6,1,0))</f>
        <v>0</v>
      </c>
      <c r="AB39" s="123">
        <f t="shared" ref="AB39:AB70" si="21">IF(OR(F39="",G39=""),"",IF(F39&gt;G39,1,IF(F39&lt;G39,-1,0)))</f>
        <v>1</v>
      </c>
      <c r="AD39" s="123">
        <f>COUNTIF(AR38:AR41,CONCATENATE("&gt;=",AR39))</f>
        <v>1</v>
      </c>
      <c r="AE39" s="124" t="str">
        <f>VLOOKUP("Japan",T,lang,FALSE)</f>
        <v>Japan</v>
      </c>
      <c r="AF39" s="123">
        <f>COUNTIF($S$7:$T$78,"=" &amp; AE39 &amp; "_win")</f>
        <v>3</v>
      </c>
      <c r="AG39" s="123">
        <f>COUNTIF($S$7:$T$78,"=" &amp; AE39 &amp; "_draw")</f>
        <v>0</v>
      </c>
      <c r="AH39" s="123">
        <f>COUNTIF($S$7:$T$78,"=" &amp; AE39 &amp; "_lose")</f>
        <v>0</v>
      </c>
      <c r="AI39" s="123">
        <f>SUMIF($E$7:$E$78,$AE39,$F$7:$F$78) + SUMIF($H$7:$H$78,$AE39,$G$7:$G$78)</f>
        <v>8</v>
      </c>
      <c r="AJ39" s="123">
        <f>SUMIF($E$7:$E$78,$AE39,$G$7:$G$78) + SUMIF($H$7:$H$78,$AE39,$F$7:$F$78)</f>
        <v>2</v>
      </c>
      <c r="AL39" s="123">
        <f>AI39-AJ39</f>
        <v>6</v>
      </c>
      <c r="AM39" s="123">
        <f>AL39-AL42</f>
        <v>12</v>
      </c>
      <c r="AN39" s="123">
        <f>AF39*3+AG39</f>
        <v>9</v>
      </c>
      <c r="AO39" s="123">
        <f>AN39/AN42*10+BA39</f>
        <v>9</v>
      </c>
      <c r="AP39" s="123">
        <f>AO39*10000000+BI39*100+AM39/AM42*10+AI39/AI42*1++IF(AQ39=0,ROW(),AQ39)/2000000</f>
        <v>90000010.120488346</v>
      </c>
      <c r="AQ39" s="126">
        <f>VLOOKUP(AE39,db_fifarank,2,FALSE)</f>
        <v>1660.43</v>
      </c>
      <c r="AR39" s="125">
        <f>AP39/AP42</f>
        <v>0.9999999888888903</v>
      </c>
      <c r="AS39" s="125" t="str">
        <f>IF(SUM(AF38:AH41)=12,J40,"2F")</f>
        <v>Nederland</v>
      </c>
      <c r="AT39" s="126">
        <f t="array" ref="AT39">SUMPRODUCT(($S$7:$S$78=AE39&amp;"_win")*($U$7:$U$78))+SUMPRODUCT(($T$7:$T$78=AE39&amp;"_win")*($U$7:$U$78))</f>
        <v>0</v>
      </c>
      <c r="AU39" s="126">
        <f t="array" ref="AU39">SUMPRODUCT(($S$7:$S$78=AE39&amp;"_draw")*($U$7:$U$78))+SUMPRODUCT(($T$7:$T$78=AE39&amp;"_draw")*($U$7:$U$78))</f>
        <v>0</v>
      </c>
      <c r="AV39" s="126">
        <f t="array" ref="AV39">SUMPRODUCT(($E$7:$E$78=AE39)*($U$7:$U$78)*($F$7:$F$78))+SUMPRODUCT(($H$7:$H$78=AE39)*($U$7:$U$78)*($G$7:$G$78))</f>
        <v>0</v>
      </c>
      <c r="AW39" s="126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>
        <f t="array" ref="BB39">SUMPRODUCT(($S$7:$S$78=AE39&amp;"_win")*($X$7:$X$78))+SUMPRODUCT(($T$7:$T$78=AE39&amp;"_win")*($X$7:$X$78))</f>
        <v>0</v>
      </c>
      <c r="BC39" s="126">
        <f t="array" ref="BC39">SUMPRODUCT(($S$7:$S$78=AE39&amp;"_draw")*($X$7:$X$78))+SUMPRODUCT(($T$7:$T$78=AE39&amp;"_draw")*($X$7:$X$78))</f>
        <v>0</v>
      </c>
      <c r="BD39" s="126">
        <f t="array" ref="BD39">SUMPRODUCT(($E$7:$E$78=AE39)*($X$7:$X$78)*($F$7:$F$78))+SUMPRODUCT(($H$7:$H$78=AE39)*($X$7:$X$78)*($G$7:$G$78))</f>
        <v>0</v>
      </c>
      <c r="BE39" s="126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50"/>
      <c r="BL39" s="26" t="str">
        <f>IF(group_round_completed,VLOOKUP('3rd places'!H3,AK80:AS91,9,FALSE),"3rd Group A/E/H/I/J")</f>
        <v>Sør-Korea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>
        <f t="array" ref="B40">INDEX(T,18+INT(MOD(R40-1,7)),lang)</f>
        <v>Søn</v>
      </c>
      <c r="C40" s="18" t="str">
        <f t="array" ref="C40">INDEX(T,24+MONTH(R40),lang) &amp; " " &amp; DAY(R40) &amp; ", " &amp; YEAR(R40)</f>
        <v>Jun 21, 2026</v>
      </c>
      <c r="D40" s="120">
        <f t="shared" si="11"/>
        <v>0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Nederland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6 - 3</v>
      </c>
      <c r="P40" s="34">
        <f>L40*3+M40</f>
        <v>6</v>
      </c>
      <c r="R40" s="123">
        <f>DATE(2026,6,20)+TIME(13,0,0)+gmt_delta</f>
        <v>46194</v>
      </c>
      <c r="S40" s="127" t="str">
        <f t="shared" si="12"/>
        <v>Ecuador_win</v>
      </c>
      <c r="T40" s="127" t="str">
        <f t="shared" si="13"/>
        <v>Curaçao_lose</v>
      </c>
      <c r="U40" s="123">
        <f t="shared" si="14"/>
        <v>0</v>
      </c>
      <c r="V40" s="123">
        <f t="shared" si="15"/>
        <v>0</v>
      </c>
      <c r="W40" s="123">
        <f t="shared" si="16"/>
        <v>0</v>
      </c>
      <c r="X40" s="123">
        <f t="shared" si="17"/>
        <v>0</v>
      </c>
      <c r="Y40" s="123">
        <f t="shared" si="18"/>
        <v>0</v>
      </c>
      <c r="Z40" s="123">
        <f t="shared" si="19"/>
        <v>0</v>
      </c>
      <c r="AA40" s="123">
        <f t="shared" si="20"/>
        <v>0</v>
      </c>
      <c r="AB40" s="123">
        <f t="shared" si="21"/>
        <v>1</v>
      </c>
      <c r="AD40" s="123">
        <f>COUNTIF(AR38:AR41,CONCATENATE("&gt;=",AR40))</f>
        <v>3</v>
      </c>
      <c r="AE40" s="124" t="str">
        <f>VLOOKUP("Sweden",T,lang,FALSE)</f>
        <v>Sverige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7</v>
      </c>
      <c r="AL40" s="123">
        <f>AI40-AJ40</f>
        <v>-3</v>
      </c>
      <c r="AM40" s="123">
        <f>AL40-AL42</f>
        <v>3</v>
      </c>
      <c r="AN40" s="123">
        <f>AF40*3+AG40</f>
        <v>3</v>
      </c>
      <c r="AO40" s="123">
        <f>AN40/AN42*10+BA40</f>
        <v>3</v>
      </c>
      <c r="AP40" s="123">
        <f>AO40*10000000+BI40*100+AM40/AM42*10+AI40/AI42*1++IF(AQ40=0,ROW(),AQ40)/2000000</f>
        <v>30000002.752894137</v>
      </c>
      <c r="AQ40" s="126">
        <f>VLOOKUP(AE40,db_fifarank,2,FALSE)</f>
        <v>1514.77</v>
      </c>
      <c r="AR40" s="125">
        <f>AP40/AP42</f>
        <v>0.33333332273405342</v>
      </c>
      <c r="AT40" s="126">
        <f t="array" ref="AT40">SUMPRODUCT(($S$7:$S$78=AE40&amp;"_win")*($U$7:$U$78))+SUMPRODUCT(($T$7:$T$78=AE40&amp;"_win")*($U$7:$U$78))</f>
        <v>0</v>
      </c>
      <c r="AU40" s="126">
        <f t="array" ref="AU40">SUMPRODUCT(($S$7:$S$78=AE40&amp;"_draw")*($U$7:$U$78))+SUMPRODUCT(($T$7:$T$78=AE40&amp;"_draw")*($U$7:$U$78))</f>
        <v>0</v>
      </c>
      <c r="AV40" s="126">
        <f t="array" ref="AV40">SUMPRODUCT(($E$7:$E$78=AE40)*($U$7:$U$78)*($F$7:$F$78))+SUMPRODUCT(($H$7:$H$78=AE40)*($U$7:$U$78)*($G$7:$G$78))</f>
        <v>0</v>
      </c>
      <c r="AW40" s="126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>
        <f t="array" ref="BB40">SUMPRODUCT(($S$7:$S$78=AE40&amp;"_win")*($X$7:$X$78))+SUMPRODUCT(($T$7:$T$78=AE40&amp;"_win")*($X$7:$X$78))</f>
        <v>0</v>
      </c>
      <c r="BC40" s="126">
        <f t="array" ref="BC40">SUMPRODUCT(($S$7:$S$78=AE40&amp;"_draw")*($X$7:$X$78))+SUMPRODUCT(($T$7:$T$78=AE40&amp;"_draw")*($X$7:$X$78))</f>
        <v>0</v>
      </c>
      <c r="BD40" s="126">
        <f t="array" ref="BD40">SUMPRODUCT(($E$7:$E$78=AE40)*($X$7:$X$78)*($F$7:$F$78))+SUMPRODUCT(($H$7:$H$78=AE40)*($X$7:$X$78)*($G$7:$G$78))</f>
        <v>0</v>
      </c>
      <c r="BE40" s="126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>
        <f t="array" ref="B41">INDEX(T,18+INT(MOD(R41-1,7)),lang)</f>
        <v>Lør</v>
      </c>
      <c r="C41" s="18" t="str">
        <f t="array" ref="C41">INDEX(T,24+MONTH(R41),lang) &amp; " " &amp; DAY(R41) &amp; ", " &amp; YEAR(R41)</f>
        <v>Jun 20, 2026</v>
      </c>
      <c r="D41" s="120">
        <f t="shared" si="11"/>
        <v>0.70833333333333337</v>
      </c>
      <c r="E41" s="78" t="str">
        <f>AE38</f>
        <v>Nederland</v>
      </c>
      <c r="F41" s="19">
        <v>3</v>
      </c>
      <c r="G41" s="20">
        <v>1</v>
      </c>
      <c r="H41" s="80" t="str">
        <f>AE40</f>
        <v>Sverige</v>
      </c>
      <c r="J41" s="33" t="str">
        <f>VLOOKUP(3,AD38:AN41,2,FALSE)</f>
        <v>Sverige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4 - 7</v>
      </c>
      <c r="P41" s="34">
        <f>L41*3+M41</f>
        <v>3</v>
      </c>
      <c r="R41" s="123">
        <f>DATE(2026,6,20)+TIME(6,0,0)+gmt_delta</f>
        <v>46193.708333333336</v>
      </c>
      <c r="S41" s="127" t="str">
        <f t="shared" si="12"/>
        <v>Nederland_win</v>
      </c>
      <c r="T41" s="127" t="str">
        <f t="shared" si="13"/>
        <v>Sverige_lose</v>
      </c>
      <c r="U41" s="123">
        <f t="shared" si="14"/>
        <v>0</v>
      </c>
      <c r="V41" s="123">
        <f t="shared" si="15"/>
        <v>0</v>
      </c>
      <c r="W41" s="123">
        <f t="shared" si="16"/>
        <v>0</v>
      </c>
      <c r="X41" s="123">
        <f t="shared" si="17"/>
        <v>0</v>
      </c>
      <c r="Y41" s="123">
        <f t="shared" si="18"/>
        <v>0</v>
      </c>
      <c r="Z41" s="123">
        <f t="shared" si="19"/>
        <v>0</v>
      </c>
      <c r="AA41" s="123">
        <f t="shared" si="20"/>
        <v>0</v>
      </c>
      <c r="AB41" s="123">
        <f t="shared" si="21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7</v>
      </c>
      <c r="AL41" s="123">
        <f>AI41-AJ41</f>
        <v>-6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0.11185263611111111</v>
      </c>
      <c r="AQ41" s="126">
        <f>VLOOKUP(AE41,db_fifarank,2,FALSE)</f>
        <v>1483.05</v>
      </c>
      <c r="AR41" s="125">
        <f>AP41/AP42</f>
        <v>1.2428069143387923E-9</v>
      </c>
      <c r="AT41" s="126">
        <f t="array" ref="AT41">SUMPRODUCT(($S$7:$S$78=AE41&amp;"_win")*($U$7:$U$78))+SUMPRODUCT(($T$7:$T$78=AE41&amp;"_win")*($U$7:$U$78))</f>
        <v>0</v>
      </c>
      <c r="AU41" s="126">
        <f t="array" ref="AU41">SUMPRODUCT(($S$7:$S$78=AE41&amp;"_draw")*($U$7:$U$78))+SUMPRODUCT(($T$7:$T$78=AE41&amp;"_draw")*($U$7:$U$78))</f>
        <v>0</v>
      </c>
      <c r="AV41" s="126">
        <f t="array" ref="AV41">SUMPRODUCT(($E$7:$E$78=AE41)*($U$7:$U$78)*($F$7:$F$78))+SUMPRODUCT(($H$7:$H$78=AE41)*($U$7:$U$78)*($G$7:$G$78))</f>
        <v>0</v>
      </c>
      <c r="AW41" s="126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>
        <f t="array" ref="BB41">SUMPRODUCT(($S$7:$S$78=AE41&amp;"_win")*($X$7:$X$78))+SUMPRODUCT(($T$7:$T$78=AE41&amp;"_win")*($X$7:$X$78))</f>
        <v>0</v>
      </c>
      <c r="BC41" s="126">
        <f t="array" ref="BC41">SUMPRODUCT(($S$7:$S$78=AE41&amp;"_draw")*($X$7:$X$78))+SUMPRODUCT(($T$7:$T$78=AE41&amp;"_draw")*($X$7:$X$78))</f>
        <v>0</v>
      </c>
      <c r="BD41" s="126">
        <f t="array" ref="BD41">SUMPRODUCT(($E$7:$E$78=AE41)*($X$7:$X$78)*($F$7:$F$78))+SUMPRODUCT(($H$7:$H$78=AE41)*($X$7:$X$78)*($G$7:$G$78))</f>
        <v>0</v>
      </c>
      <c r="BE41" s="126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>
        <f t="array" ref="B42">INDEX(T,18+INT(MOD(R42-1,7)),lang)</f>
        <v>Søn</v>
      </c>
      <c r="C42" s="18" t="str">
        <f t="array" ref="C42">INDEX(T,24+MONTH(R42),lang) &amp; " " &amp; DAY(R42) &amp; ", " &amp; YEAR(R42)</f>
        <v>Jun 21, 2026</v>
      </c>
      <c r="D42" s="120">
        <f t="shared" si="11"/>
        <v>0.16666666666666666</v>
      </c>
      <c r="E42" s="78" t="str">
        <f>AE41</f>
        <v>Tunisia</v>
      </c>
      <c r="F42" s="19">
        <v>0</v>
      </c>
      <c r="G42" s="20">
        <v>3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1 - 7</v>
      </c>
      <c r="P42" s="37">
        <f>L42*3+M42</f>
        <v>0</v>
      </c>
      <c r="R42" s="123">
        <f>DATE(2026,6,20)+TIME(17,0,0)+gmt_delta</f>
        <v>46194.166666666672</v>
      </c>
      <c r="S42" s="127" t="str">
        <f t="shared" si="12"/>
        <v>Tunisia_lose</v>
      </c>
      <c r="T42" s="127" t="str">
        <f t="shared" si="13"/>
        <v>Japan_win</v>
      </c>
      <c r="U42" s="123">
        <f t="shared" si="14"/>
        <v>0</v>
      </c>
      <c r="V42" s="123">
        <f t="shared" si="15"/>
        <v>0</v>
      </c>
      <c r="W42" s="123">
        <f t="shared" si="16"/>
        <v>0</v>
      </c>
      <c r="X42" s="123">
        <f t="shared" si="17"/>
        <v>0</v>
      </c>
      <c r="Y42" s="123">
        <f t="shared" si="18"/>
        <v>0</v>
      </c>
      <c r="Z42" s="123">
        <f t="shared" si="19"/>
        <v>0</v>
      </c>
      <c r="AA42" s="123">
        <f t="shared" si="20"/>
        <v>0</v>
      </c>
      <c r="AB42" s="123">
        <f t="shared" si="21"/>
        <v>-1</v>
      </c>
      <c r="AF42" s="123">
        <f>MAX(AF38:AF41)-MIN(AF38:AF41)+1</f>
        <v>4</v>
      </c>
      <c r="AG42" s="123">
        <f>MAX(AG38:AG41)-MIN(AG38:AG41)+1</f>
        <v>1</v>
      </c>
      <c r="AH42" s="123">
        <f>MAX(AH38:AH41)-MIN(AH38:AH41)+1</f>
        <v>4</v>
      </c>
      <c r="AI42" s="123">
        <f>MAX(AI38:AI41)+1</f>
        <v>9</v>
      </c>
      <c r="AL42" s="123">
        <f>MIN(AL38:AL41)</f>
        <v>-6</v>
      </c>
      <c r="AM42" s="123">
        <f>MAX(AM38:AM41)+1</f>
        <v>13</v>
      </c>
      <c r="AN42" s="123">
        <f>MAX(AN38:AN41)+1</f>
        <v>10</v>
      </c>
      <c r="AO42" s="123">
        <f>MAX(AO38:AO41)+1</f>
        <v>10</v>
      </c>
      <c r="AP42" s="123">
        <f>MAX(AP38:AP41)+1</f>
        <v>90000011.120488346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9">
        <v>76</v>
      </c>
      <c r="BL42" s="24" t="str">
        <f>AS20</f>
        <v>Brasil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>
        <f t="array" ref="B43">INDEX(T,18+INT(MOD(R43-1,7)),lang)</f>
        <v>Søn</v>
      </c>
      <c r="C43" s="18" t="str">
        <f t="array" ref="C43">INDEX(T,24+MONTH(R43),lang) &amp; " " &amp; DAY(R43) &amp; ", " &amp; YEAR(R43)</f>
        <v>Jun 21, 2026</v>
      </c>
      <c r="D43" s="120">
        <f t="shared" si="11"/>
        <v>0.91666666666666663</v>
      </c>
      <c r="E43" s="78" t="str">
        <f>AE53</f>
        <v>Uruguay</v>
      </c>
      <c r="F43" s="19">
        <v>3</v>
      </c>
      <c r="G43" s="20">
        <v>0</v>
      </c>
      <c r="H43" s="80" t="str">
        <f>AE51</f>
        <v>Kapp Verde</v>
      </c>
      <c r="R43" s="123">
        <f>DATE(2026,6,21)+TIME(11,0,0)+gmt_delta</f>
        <v>46194.916666666672</v>
      </c>
      <c r="S43" s="127" t="str">
        <f t="shared" si="12"/>
        <v>Uruguay_win</v>
      </c>
      <c r="T43" s="127" t="str">
        <f t="shared" si="13"/>
        <v>Kapp Verde_lose</v>
      </c>
      <c r="U43" s="123">
        <f t="shared" si="14"/>
        <v>0</v>
      </c>
      <c r="V43" s="123">
        <f t="shared" si="15"/>
        <v>0</v>
      </c>
      <c r="W43" s="123">
        <f t="shared" si="16"/>
        <v>0</v>
      </c>
      <c r="X43" s="123">
        <f t="shared" si="17"/>
        <v>0</v>
      </c>
      <c r="Y43" s="123">
        <f t="shared" si="18"/>
        <v>0</v>
      </c>
      <c r="Z43" s="123">
        <f t="shared" si="19"/>
        <v>0</v>
      </c>
      <c r="AA43" s="123">
        <f t="shared" si="20"/>
        <v>0</v>
      </c>
      <c r="AB43" s="123">
        <f t="shared" si="21"/>
        <v>1</v>
      </c>
      <c r="BK43" s="150"/>
      <c r="BL43" s="26" t="str">
        <f>AS39</f>
        <v>Nederland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5">
      <c r="A44" s="16">
        <v>38</v>
      </c>
      <c r="B44" s="17" t="str">
        <f t="array" ref="B44">INDEX(T,18+INT(MOD(R44-1,7)),lang)</f>
        <v>Søn</v>
      </c>
      <c r="C44" s="18" t="str">
        <f t="array" ref="C44">INDEX(T,24+MONTH(R44),lang) &amp; " " &amp; DAY(R44) &amp; ", " &amp; YEAR(R44)</f>
        <v>Jun 21, 2026</v>
      </c>
      <c r="D44" s="120">
        <f t="shared" si="11"/>
        <v>0.66666666666666663</v>
      </c>
      <c r="E44" s="78" t="str">
        <f>AE50</f>
        <v>Spania</v>
      </c>
      <c r="F44" s="19">
        <v>3</v>
      </c>
      <c r="G44" s="20">
        <v>0</v>
      </c>
      <c r="H44" s="80" t="str">
        <f>AE52</f>
        <v>Saudi-Arabia</v>
      </c>
      <c r="J44" s="38" t="str">
        <f t="array" ref="J44">INDEX(T,9,lang) &amp; " " &amp; "G"</f>
        <v>Gruppe G</v>
      </c>
      <c r="K44" s="94" t="str">
        <f t="array" ref="K44">INDEX(T,10,lang)</f>
        <v>S</v>
      </c>
      <c r="L44" s="94" t="str">
        <f t="array" ref="L44">INDEX(T,11,lang)</f>
        <v>V</v>
      </c>
      <c r="M44" s="94" t="str">
        <f t="array" ref="M44">INDEX(T,12,lang)</f>
        <v>T</v>
      </c>
      <c r="N44" s="94" t="str">
        <f t="array" ref="N44">INDEX(T,13,lang)</f>
        <v>U</v>
      </c>
      <c r="O44" s="94" t="str">
        <f t="array" ref="O44">INDEX(T,14,lang)</f>
        <v>Mål</v>
      </c>
      <c r="P44" s="95" t="str">
        <f t="array" ref="P44">INDEX(T,15,lang)</f>
        <v>P</v>
      </c>
      <c r="R44" s="123">
        <f>DATE(2026,6,21)+TIME(5,0,0)+gmt_delta</f>
        <v>46194.666666666672</v>
      </c>
      <c r="S44" s="127" t="str">
        <f t="shared" si="12"/>
        <v>Spania_win</v>
      </c>
      <c r="T44" s="127" t="str">
        <f t="shared" si="13"/>
        <v>Saudi-Arabia_lose</v>
      </c>
      <c r="U44" s="123">
        <f t="shared" si="14"/>
        <v>0</v>
      </c>
      <c r="V44" s="123">
        <f t="shared" si="15"/>
        <v>0</v>
      </c>
      <c r="W44" s="123">
        <f t="shared" si="16"/>
        <v>0</v>
      </c>
      <c r="X44" s="123">
        <f t="shared" si="17"/>
        <v>0</v>
      </c>
      <c r="Y44" s="123">
        <f t="shared" si="18"/>
        <v>0</v>
      </c>
      <c r="Z44" s="123">
        <f t="shared" si="19"/>
        <v>0</v>
      </c>
      <c r="AA44" s="123">
        <f t="shared" si="20"/>
        <v>0</v>
      </c>
      <c r="AB44" s="123">
        <f t="shared" si="21"/>
        <v>1</v>
      </c>
      <c r="AD44" s="123">
        <f>COUNTIF(AR44:AR47,CONCATENATE("&gt;=",AR44))</f>
        <v>1</v>
      </c>
      <c r="AE44" s="124" t="str">
        <f>VLOOKUP("Belgium",T,lang,FALSE)</f>
        <v>Belgia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9</v>
      </c>
      <c r="AJ44" s="123">
        <f>SUMIF($E$7:$E$78,$AE44,$G$7:$G$78) + SUMIF($H$7:$H$78,$AE44,$F$7:$F$78)</f>
        <v>1</v>
      </c>
      <c r="AL44" s="123">
        <f>AI44-AJ44</f>
        <v>8</v>
      </c>
      <c r="AM44" s="123">
        <f>AL44-AL48</f>
        <v>14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90000010.234200686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Belgia</v>
      </c>
      <c r="AT44" s="126">
        <f t="array" ref="AT44">SUMPRODUCT(($S$7:$S$78=AE44&amp;"_win")*($U$7:$U$78))+SUMPRODUCT(($T$7:$T$78=AE44&amp;"_win")*($U$7:$U$78))</f>
        <v>0</v>
      </c>
      <c r="AU44" s="126">
        <f t="array" ref="AU44">SUMPRODUCT(($S$7:$S$78=AE44&amp;"_draw")*($U$7:$U$78))+SUMPRODUCT(($T$7:$T$78=AE44&amp;"_draw")*($U$7:$U$78))</f>
        <v>0</v>
      </c>
      <c r="AV44" s="126">
        <f t="array" ref="AV44">SUMPRODUCT(($E$7:$E$78=AE44)*($U$7:$U$78)*($F$7:$F$78))+SUMPRODUCT(($H$7:$H$78=AE44)*($U$7:$U$78)*($G$7:$G$78))</f>
        <v>0</v>
      </c>
      <c r="AW44" s="126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>
        <f t="array" ref="BB44">SUMPRODUCT(($S$7:$S$78=AE44&amp;"_win")*($X$7:$X$78))+SUMPRODUCT(($T$7:$T$78=AE44&amp;"_win")*($X$7:$X$78))</f>
        <v>0</v>
      </c>
      <c r="BC44" s="126">
        <f t="array" ref="BC44">SUMPRODUCT(($S$7:$S$78=AE44&amp;"_draw")*($X$7:$X$78))+SUMPRODUCT(($T$7:$T$78=AE44&amp;"_draw")*($X$7:$X$78))</f>
        <v>0</v>
      </c>
      <c r="BD44" s="126">
        <f t="array" ref="BD44">SUMPRODUCT(($E$7:$E$78=AE44)*($X$7:$X$78)*($F$7:$F$78))+SUMPRODUCT(($H$7:$H$78=AE44)*($X$7:$X$78)*($G$7:$G$78))</f>
        <v>0</v>
      </c>
      <c r="BE44" s="126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9">
        <v>91</v>
      </c>
      <c r="BS44" s="24" t="str">
        <f>IF(BP42&gt;BP43,BL42,IF(BP42&lt;BP43,BL43,""))</f>
        <v>Brasil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59" t="str">
        <f t="array" ref="CM44">INDEX(T,7,lang)</f>
        <v>Bronsefinale</v>
      </c>
      <c r="CN44" s="160"/>
      <c r="CO44" s="160"/>
      <c r="CP44" s="160"/>
      <c r="CQ44" s="161"/>
    </row>
    <row r="45" spans="1:96" ht="15" customHeight="1" x14ac:dyDescent="0.25">
      <c r="A45" s="16">
        <v>39</v>
      </c>
      <c r="B45" s="17" t="str">
        <f t="array" ref="B45">INDEX(T,18+INT(MOD(R45-1,7)),lang)</f>
        <v>Søn</v>
      </c>
      <c r="C45" s="18" t="str">
        <f t="array" ref="C45">INDEX(T,24+MONTH(R45),lang) &amp; " " &amp; DAY(R45) &amp; ", " &amp; YEAR(R45)</f>
        <v>Jun 21, 2026</v>
      </c>
      <c r="D45" s="120">
        <f t="shared" si="11"/>
        <v>0.79166666666666663</v>
      </c>
      <c r="E45" s="78" t="str">
        <f>AE44</f>
        <v>Belgia</v>
      </c>
      <c r="F45" s="19">
        <v>3</v>
      </c>
      <c r="G45" s="20">
        <v>0</v>
      </c>
      <c r="H45" s="80" t="str">
        <f>AE46</f>
        <v>Iran</v>
      </c>
      <c r="J45" s="30" t="str">
        <f>VLOOKUP(1,AD44:AN47,2,FALSE)</f>
        <v>Belgia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9 - 1</v>
      </c>
      <c r="P45" s="32">
        <f>L45*3+M45</f>
        <v>9</v>
      </c>
      <c r="R45" s="123">
        <f>DATE(2026,6,21)+TIME(8,0,0)+gmt_delta</f>
        <v>46194.791666666672</v>
      </c>
      <c r="S45" s="127" t="str">
        <f t="shared" si="12"/>
        <v>Belgia_win</v>
      </c>
      <c r="T45" s="127" t="str">
        <f t="shared" si="13"/>
        <v>Iran_lose</v>
      </c>
      <c r="U45" s="123">
        <f t="shared" si="14"/>
        <v>0</v>
      </c>
      <c r="V45" s="123">
        <f t="shared" si="15"/>
        <v>0</v>
      </c>
      <c r="W45" s="123">
        <f t="shared" si="16"/>
        <v>0</v>
      </c>
      <c r="X45" s="123">
        <f t="shared" si="17"/>
        <v>0</v>
      </c>
      <c r="Y45" s="123">
        <f t="shared" si="18"/>
        <v>0</v>
      </c>
      <c r="Z45" s="123">
        <f t="shared" si="19"/>
        <v>0</v>
      </c>
      <c r="AA45" s="123">
        <f t="shared" si="20"/>
        <v>0</v>
      </c>
      <c r="AB45" s="123">
        <f t="shared" si="21"/>
        <v>1</v>
      </c>
      <c r="AD45" s="123">
        <f>COUNTIF(AR44:AR47,CONCATENATE("&gt;=",AR45))</f>
        <v>3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4</v>
      </c>
      <c r="AL45" s="123">
        <f>AI45-AJ45</f>
        <v>-1</v>
      </c>
      <c r="AM45" s="123">
        <f>AL45-AL48</f>
        <v>5</v>
      </c>
      <c r="AN45" s="123">
        <f>AF45*3+AG45</f>
        <v>4</v>
      </c>
      <c r="AO45" s="123">
        <f>AN45/AN48*10+BA45</f>
        <v>4.9805825242718447</v>
      </c>
      <c r="AP45" s="123">
        <f>AO45*10000000+BI45*100+AM45/AM48*10+AI45/AI48*1++IF(AQ45=0,ROW(),AQ45)/2000000</f>
        <v>49805926.935085818</v>
      </c>
      <c r="AQ45" s="126">
        <f>VLOOKUP(AE45,db_fifarank,2,FALSE)</f>
        <v>1563.24</v>
      </c>
      <c r="AR45" s="125">
        <f>AP45/AP48</f>
        <v>0.55339911908987838</v>
      </c>
      <c r="AS45" s="125" t="str">
        <f>IF(SUM(AF44:AH47)=12,J46,"2G")</f>
        <v>Iran</v>
      </c>
      <c r="AT45" s="126">
        <f t="array" ref="AT45">SUMPRODUCT(($S$7:$S$78=AE45&amp;"_win")*($U$7:$U$78))+SUMPRODUCT(($T$7:$T$78=AE45&amp;"_win")*($U$7:$U$78))</f>
        <v>0</v>
      </c>
      <c r="AU45" s="126">
        <f t="array" ref="AU45">SUMPRODUCT(($S$7:$S$78=AE45&amp;"_draw")*($U$7:$U$78))+SUMPRODUCT(($T$7:$T$78=AE45&amp;"_draw")*($U$7:$U$78))</f>
        <v>1</v>
      </c>
      <c r="AV45" s="126">
        <f t="array" ref="AV45">SUMPRODUCT(($E$7:$E$78=AE45)*($U$7:$U$78)*($F$7:$F$78))+SUMPRODUCT(($H$7:$H$78=AE45)*($U$7:$U$78)*($G$7:$G$78))</f>
        <v>1</v>
      </c>
      <c r="AW45" s="126">
        <f t="array" ref="AW45">SUMPRODUCT(($E$7:$E$78=AE45)*($U$7:$U$78)*($G$7:$G$78))+SUMPRODUCT(($H$7:$H$78=AE45)*($U$7:$U$78)*($F$7:$F$78))</f>
        <v>1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50.5</v>
      </c>
      <c r="BA45" s="126">
        <f>AZ45/AZ48</f>
        <v>0.98058252427184467</v>
      </c>
      <c r="BB45" s="126">
        <f t="array" ref="BB45">SUMPRODUCT(($S$7:$S$78=AE45&amp;"_win")*($X$7:$X$78))+SUMPRODUCT(($T$7:$T$78=AE45&amp;"_win")*($X$7:$X$78))</f>
        <v>0</v>
      </c>
      <c r="BC45" s="126">
        <f t="array" ref="BC45">SUMPRODUCT(($S$7:$S$78=AE45&amp;"_draw")*($X$7:$X$78))+SUMPRODUCT(($T$7:$T$78=AE45&amp;"_draw")*($X$7:$X$78))</f>
        <v>1</v>
      </c>
      <c r="BD45" s="126">
        <f t="array" ref="BD45">SUMPRODUCT(($E$7:$E$78=AE45)*($X$7:$X$78)*($F$7:$F$78))+SUMPRODUCT(($H$7:$H$78=AE45)*($X$7:$X$78)*($G$7:$G$78))</f>
        <v>1</v>
      </c>
      <c r="BE45" s="126">
        <f t="array" ref="BE45">SUMPRODUCT(($E$7:$E$78=AE45)*($X$7:$X$78)*($G$7:$G$78))+SUMPRODUCT(($H$7:$H$78=AE45)*($X$7:$X$78)*($F$7:$F$78))</f>
        <v>1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50.5</v>
      </c>
      <c r="BI45" s="126">
        <f>BH45/BH48</f>
        <v>0.98058252427184467</v>
      </c>
      <c r="BK45" s="21" t="str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50"/>
      <c r="BS45" s="26" t="str">
        <f>IF(BP46&gt;BP47,BL46,IF(BP46&lt;BP47,BL47,""))</f>
        <v>Norge</v>
      </c>
      <c r="BT45" s="62">
        <v>2</v>
      </c>
      <c r="BU45" s="64"/>
      <c r="BV45" s="27"/>
      <c r="BW45" s="113">
        <f>IF(BW44="","",BT45*1000+BU45*10+BV45)</f>
        <v>2000</v>
      </c>
      <c r="CK45" s="114"/>
      <c r="CM45" s="162"/>
      <c r="CN45" s="163"/>
      <c r="CO45" s="163"/>
      <c r="CP45" s="163"/>
      <c r="CQ45" s="164"/>
    </row>
    <row r="46" spans="1:96" x14ac:dyDescent="0.25">
      <c r="A46" s="16">
        <v>40</v>
      </c>
      <c r="B46" s="17" t="str">
        <f t="array" ref="B46">INDEX(T,18+INT(MOD(R46-1,7)),lang)</f>
        <v>Man</v>
      </c>
      <c r="C46" s="18" t="str">
        <f t="array" ref="C46">INDEX(T,24+MONTH(R46),lang) &amp; " " &amp; DAY(R46) &amp; ", " &amp; YEAR(R46)</f>
        <v>Jun 22, 2026</v>
      </c>
      <c r="D46" s="120">
        <f t="shared" si="11"/>
        <v>4.1666666666666664E-2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Iran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3 - 4</v>
      </c>
      <c r="P46" s="34">
        <f>L46*3+M46</f>
        <v>4</v>
      </c>
      <c r="R46" s="123">
        <f>DATE(2026,6,21)+TIME(14,0,0)+gmt_delta</f>
        <v>46195.041666666672</v>
      </c>
      <c r="S46" s="127" t="str">
        <f t="shared" si="12"/>
        <v>New Zealand_lose</v>
      </c>
      <c r="T46" s="127" t="str">
        <f t="shared" si="13"/>
        <v>Egypt_win</v>
      </c>
      <c r="U46" s="123">
        <f t="shared" si="14"/>
        <v>0</v>
      </c>
      <c r="V46" s="123">
        <f t="shared" si="15"/>
        <v>0</v>
      </c>
      <c r="W46" s="123">
        <f t="shared" si="16"/>
        <v>0</v>
      </c>
      <c r="X46" s="123">
        <f t="shared" si="17"/>
        <v>0</v>
      </c>
      <c r="Y46" s="123">
        <f t="shared" si="18"/>
        <v>0</v>
      </c>
      <c r="Z46" s="123">
        <f t="shared" si="19"/>
        <v>0</v>
      </c>
      <c r="AA46" s="123">
        <f t="shared" si="20"/>
        <v>0</v>
      </c>
      <c r="AB46" s="123">
        <f t="shared" si="21"/>
        <v>-1</v>
      </c>
      <c r="AD46" s="123">
        <f>COUNTIF(AR44:AR47,CONCATENATE("&gt;=",AR46))</f>
        <v>2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1</v>
      </c>
      <c r="AH46" s="123">
        <f>COUNTIF($S$7:$T$78,"=" &amp; AE46 &amp; "_lose")</f>
        <v>1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4</v>
      </c>
      <c r="AL46" s="123">
        <f>AI46-AJ46</f>
        <v>-1</v>
      </c>
      <c r="AM46" s="123">
        <f>AL46-AL48</f>
        <v>5</v>
      </c>
      <c r="AN46" s="123">
        <f>AF46*3+AG46</f>
        <v>4</v>
      </c>
      <c r="AO46" s="123">
        <f>AN46/AN48*10+BA46</f>
        <v>4.9805825242718447</v>
      </c>
      <c r="AP46" s="123">
        <f>AO46*10000000+BI46*100+AM46/AM48*10+AI46/AI48*1++IF(AQ46=0,ROW(),AQ46)/2000000</f>
        <v>49805926.935111851</v>
      </c>
      <c r="AQ46" s="126">
        <f>VLOOKUP(AE46,db_fifarank,2,FALSE)</f>
        <v>1615.3</v>
      </c>
      <c r="AR46" s="125">
        <f>AP46/AP48</f>
        <v>0.55339911909016759</v>
      </c>
      <c r="AT46" s="126">
        <f t="array" ref="AT46">SUMPRODUCT(($S$7:$S$78=AE46&amp;"_win")*($U$7:$U$78))+SUMPRODUCT(($T$7:$T$78=AE46&amp;"_win")*($U$7:$U$78))</f>
        <v>0</v>
      </c>
      <c r="AU46" s="126">
        <f t="array" ref="AU46">SUMPRODUCT(($S$7:$S$78=AE46&amp;"_draw")*($U$7:$U$78))+SUMPRODUCT(($T$7:$T$78=AE46&amp;"_draw")*($U$7:$U$78))</f>
        <v>1</v>
      </c>
      <c r="AV46" s="126">
        <f t="array" ref="AV46">SUMPRODUCT(($E$7:$E$78=AE46)*($U$7:$U$78)*($F$7:$F$78))+SUMPRODUCT(($H$7:$H$78=AE46)*($U$7:$U$78)*($G$7:$G$78))</f>
        <v>1</v>
      </c>
      <c r="AW46" s="126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50.5</v>
      </c>
      <c r="BA46" s="126">
        <f>AZ46/AZ48</f>
        <v>0.98058252427184467</v>
      </c>
      <c r="BB46" s="126">
        <f t="array" ref="BB46">SUMPRODUCT(($S$7:$S$78=AE46&amp;"_win")*($X$7:$X$78))+SUMPRODUCT(($T$7:$T$78=AE46&amp;"_win")*($X$7:$X$78))</f>
        <v>0</v>
      </c>
      <c r="BC46" s="126">
        <f t="array" ref="BC46">SUMPRODUCT(($S$7:$S$78=AE46&amp;"_draw")*($X$7:$X$78))+SUMPRODUCT(($T$7:$T$78=AE46&amp;"_draw")*($X$7:$X$78))</f>
        <v>1</v>
      </c>
      <c r="BD46" s="126">
        <f t="array" ref="BD46">SUMPRODUCT(($E$7:$E$78=AE46)*($X$7:$X$78)*($F$7:$F$78))+SUMPRODUCT(($H$7:$H$78=AE46)*($X$7:$X$78)*($G$7:$G$78))</f>
        <v>1</v>
      </c>
      <c r="BE46" s="126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50.5</v>
      </c>
      <c r="BI46" s="126">
        <f>BH46/BH48</f>
        <v>0.98058252427184467</v>
      </c>
      <c r="BK46" s="149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>
        <f t="array" ref="B47">INDEX(T,18+INT(MOD(R47-1,7)),lang)</f>
        <v>Tirs</v>
      </c>
      <c r="C47" s="18" t="str">
        <f t="array" ref="C47">INDEX(T,24+MONTH(R47),lang) &amp; " " &amp; DAY(R47) &amp; ", " &amp; YEAR(R47)</f>
        <v>Jun 23, 2026</v>
      </c>
      <c r="D47" s="120">
        <f t="shared" si="11"/>
        <v>0</v>
      </c>
      <c r="E47" s="78" t="str">
        <f>AE59</f>
        <v>Norge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Egypt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3 - 4</v>
      </c>
      <c r="P47" s="34">
        <f>L47*3+M47</f>
        <v>4</v>
      </c>
      <c r="R47" s="123">
        <f>DATE(2026,6,22)+TIME(13,0,0)+gmt_delta</f>
        <v>46196</v>
      </c>
      <c r="S47" s="127" t="str">
        <f t="shared" si="12"/>
        <v>Norge_draw</v>
      </c>
      <c r="T47" s="127" t="str">
        <f t="shared" si="13"/>
        <v>Senegal_draw</v>
      </c>
      <c r="U47" s="123">
        <f t="shared" si="14"/>
        <v>0</v>
      </c>
      <c r="V47" s="123">
        <f t="shared" si="15"/>
        <v>0</v>
      </c>
      <c r="W47" s="123">
        <f t="shared" si="16"/>
        <v>0</v>
      </c>
      <c r="X47" s="123">
        <f t="shared" si="17"/>
        <v>0</v>
      </c>
      <c r="Y47" s="123">
        <f t="shared" si="18"/>
        <v>0</v>
      </c>
      <c r="Z47" s="123">
        <f t="shared" si="19"/>
        <v>0</v>
      </c>
      <c r="AA47" s="123">
        <f t="shared" si="20"/>
        <v>1</v>
      </c>
      <c r="AB47" s="123">
        <f t="shared" si="21"/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6</v>
      </c>
      <c r="AL47" s="123">
        <f>AI47-AJ47</f>
        <v>-6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6.4078499999999994E-4</v>
      </c>
      <c r="AQ47" s="126">
        <f>VLOOKUP(AE47,db_fifarank,2,FALSE)</f>
        <v>1281.57</v>
      </c>
      <c r="AR47" s="125">
        <f>AP47/AP48</f>
        <v>7.1198324446041488E-12</v>
      </c>
      <c r="AT47" s="126">
        <f t="array" ref="AT47">SUMPRODUCT(($S$7:$S$78=AE47&amp;"_win")*($U$7:$U$78))+SUMPRODUCT(($T$7:$T$78=AE47&amp;"_win")*($U$7:$U$78))</f>
        <v>0</v>
      </c>
      <c r="AU47" s="126">
        <f t="array" ref="AU47">SUMPRODUCT(($S$7:$S$78=AE47&amp;"_draw")*($U$7:$U$78))+SUMPRODUCT(($T$7:$T$78=AE47&amp;"_draw")*($U$7:$U$78))</f>
        <v>0</v>
      </c>
      <c r="AV47" s="126">
        <f t="array" ref="AV47">SUMPRODUCT(($E$7:$E$78=AE47)*($U$7:$U$78)*($F$7:$F$78))+SUMPRODUCT(($H$7:$H$78=AE47)*($U$7:$U$78)*($G$7:$G$78))</f>
        <v>0</v>
      </c>
      <c r="AW47" s="126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>
        <f t="array" ref="BB47">SUMPRODUCT(($S$7:$S$78=AE47&amp;"_win")*($X$7:$X$78))+SUMPRODUCT(($T$7:$T$78=AE47&amp;"_win")*($X$7:$X$78))</f>
        <v>0</v>
      </c>
      <c r="BC47" s="126">
        <f t="array" ref="BC47">SUMPRODUCT(($S$7:$S$78=AE47&amp;"_draw")*($X$7:$X$78))+SUMPRODUCT(($T$7:$T$78=AE47&amp;"_draw")*($X$7:$X$78))</f>
        <v>0</v>
      </c>
      <c r="BD47" s="126">
        <f t="array" ref="BD47">SUMPRODUCT(($E$7:$E$78=AE47)*($X$7:$X$78)*($F$7:$F$78))+SUMPRODUCT(($H$7:$H$78=AE47)*($X$7:$X$78)*($G$7:$G$78))</f>
        <v>0</v>
      </c>
      <c r="BE47" s="126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50"/>
      <c r="BL47" s="26" t="str">
        <f>AS57</f>
        <v>Norge</v>
      </c>
      <c r="BM47" s="62">
        <v>3</v>
      </c>
      <c r="BN47" s="64"/>
      <c r="BO47" s="27"/>
      <c r="BP47" s="112">
        <f>IF(BP46="","",BM47*1000+BN47*10+BO47)</f>
        <v>3000</v>
      </c>
      <c r="BQ47" s="112"/>
      <c r="BR47" s="21"/>
      <c r="BS47" s="21"/>
      <c r="BT47" s="21"/>
      <c r="BU47" s="21"/>
      <c r="BV47" s="21"/>
      <c r="BW47" s="114"/>
      <c r="BX47" s="112"/>
      <c r="BY47" s="21" t="str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5">
      <c r="A48" s="16">
        <v>42</v>
      </c>
      <c r="B48" s="17" t="str">
        <f t="array" ref="B48">INDEX(T,18+INT(MOD(R48-1,7)),lang)</f>
        <v>Man</v>
      </c>
      <c r="C48" s="18" t="str">
        <f t="array" ref="C48">INDEX(T,24+MONTH(R48),lang) &amp; " " &amp; DAY(R48) &amp; ", " &amp; YEAR(R48)</f>
        <v>Jun 22, 2026</v>
      </c>
      <c r="D48" s="120">
        <f t="shared" si="11"/>
        <v>0.83333333333333337</v>
      </c>
      <c r="E48" s="78" t="str">
        <f>AE56</f>
        <v>Frankrike</v>
      </c>
      <c r="F48" s="19">
        <v>3</v>
      </c>
      <c r="G48" s="20">
        <v>0</v>
      </c>
      <c r="H48" s="80" t="str">
        <f>AE58</f>
        <v>Irak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0 - 6</v>
      </c>
      <c r="P48" s="37">
        <f>L48*3+M48</f>
        <v>0</v>
      </c>
      <c r="R48" s="123">
        <f>DATE(2026,6,22)+TIME(105,0,0)+gmt_delta</f>
        <v>46195.833333333336</v>
      </c>
      <c r="S48" s="127" t="str">
        <f t="shared" si="12"/>
        <v>Frankrike_win</v>
      </c>
      <c r="T48" s="127" t="str">
        <f t="shared" si="13"/>
        <v>Irak_lose</v>
      </c>
      <c r="U48" s="123">
        <f t="shared" si="14"/>
        <v>0</v>
      </c>
      <c r="V48" s="123">
        <f t="shared" si="15"/>
        <v>0</v>
      </c>
      <c r="W48" s="123">
        <f t="shared" si="16"/>
        <v>0</v>
      </c>
      <c r="X48" s="123">
        <f t="shared" si="17"/>
        <v>0</v>
      </c>
      <c r="Y48" s="123">
        <f t="shared" si="18"/>
        <v>0</v>
      </c>
      <c r="Z48" s="123">
        <f t="shared" si="19"/>
        <v>0</v>
      </c>
      <c r="AA48" s="123">
        <f t="shared" si="20"/>
        <v>0</v>
      </c>
      <c r="AB48" s="123">
        <f t="shared" si="21"/>
        <v>1</v>
      </c>
      <c r="AF48" s="123">
        <f>MAX(AF44:AF47)-MIN(AF44:AF47)+1</f>
        <v>4</v>
      </c>
      <c r="AG48" s="123">
        <f>MAX(AG44:AG47)-MIN(AG44:AG47)+1</f>
        <v>2</v>
      </c>
      <c r="AH48" s="123">
        <f>MAX(AH44:AH47)-MIN(AH44:AH47)+1</f>
        <v>4</v>
      </c>
      <c r="AI48" s="123">
        <f>MAX(AI44:AI47)+1</f>
        <v>10</v>
      </c>
      <c r="AL48" s="123">
        <f>MIN(AL44:AL47)</f>
        <v>-6</v>
      </c>
      <c r="AM48" s="123">
        <f>MAX(AM44:AM47)+1</f>
        <v>15</v>
      </c>
      <c r="AN48" s="123">
        <f>MAX(AN44:AN47)+1</f>
        <v>10</v>
      </c>
      <c r="AO48" s="123">
        <f>MAX(AO44:AO47)+1</f>
        <v>10</v>
      </c>
      <c r="AP48" s="123">
        <f>MAX(AP44:AP47)+1</f>
        <v>90000011.234200686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9">
        <v>99</v>
      </c>
      <c r="BZ48" s="24" t="str">
        <f>IF(BW44&gt;BW45,BS44,IF(BW44&lt;BW45,BS45,""))</f>
        <v>Norge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49">
        <v>103</v>
      </c>
      <c r="CN48" s="24" t="str">
        <f>IF(CK23&gt;CK24,CG24,IF(CK23&lt;CK24,CG23,""))</f>
        <v>Frankrike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25">
      <c r="A49" s="16">
        <v>43</v>
      </c>
      <c r="B49" s="17" t="str">
        <f t="array" ref="B49">INDEX(T,18+INT(MOD(R49-1,7)),lang)</f>
        <v>Man</v>
      </c>
      <c r="C49" s="18" t="str">
        <f t="array" ref="C49">INDEX(T,24+MONTH(R49),lang) &amp; " " &amp; DAY(R49) &amp; ", " &amp; YEAR(R49)</f>
        <v>Jun 22, 2026</v>
      </c>
      <c r="D49" s="120">
        <f t="shared" si="11"/>
        <v>0.70833333333333337</v>
      </c>
      <c r="E49" s="78" t="str">
        <f>AE62</f>
        <v>Argentina</v>
      </c>
      <c r="F49" s="19">
        <v>3</v>
      </c>
      <c r="G49" s="20">
        <v>1</v>
      </c>
      <c r="H49" s="80" t="str">
        <f>AE64</f>
        <v>Østerrike</v>
      </c>
      <c r="R49" s="123">
        <f>DATE(2026,6,22)+TIME(6,0,0)+gmt_delta</f>
        <v>46195.708333333336</v>
      </c>
      <c r="S49" s="127" t="str">
        <f t="shared" si="12"/>
        <v>Argentina_win</v>
      </c>
      <c r="T49" s="127" t="str">
        <f t="shared" si="13"/>
        <v>Østerrike_lose</v>
      </c>
      <c r="U49" s="123">
        <f t="shared" si="14"/>
        <v>0</v>
      </c>
      <c r="V49" s="123">
        <f t="shared" si="15"/>
        <v>0</v>
      </c>
      <c r="W49" s="123">
        <f t="shared" si="16"/>
        <v>0</v>
      </c>
      <c r="X49" s="123">
        <f t="shared" si="17"/>
        <v>0</v>
      </c>
      <c r="Y49" s="123">
        <f t="shared" si="18"/>
        <v>0</v>
      </c>
      <c r="Z49" s="123">
        <f t="shared" si="19"/>
        <v>0</v>
      </c>
      <c r="AA49" s="123">
        <f t="shared" si="20"/>
        <v>0</v>
      </c>
      <c r="AB49" s="123">
        <f t="shared" si="21"/>
        <v>1</v>
      </c>
      <c r="BK49" s="21" t="str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50"/>
      <c r="BZ49" s="26" t="str">
        <f>IF(BW52&gt;BW53,BS52,IF(BW52&lt;BW53,BS53,""))</f>
        <v>England</v>
      </c>
      <c r="CA49" s="62">
        <v>2</v>
      </c>
      <c r="CB49" s="64"/>
      <c r="CC49" s="27"/>
      <c r="CD49" s="113">
        <f>IF(CD48="","",CA49*1000+CB49*10+CC49)</f>
        <v>2000</v>
      </c>
      <c r="CK49" s="114"/>
      <c r="CL49" s="115"/>
      <c r="CM49" s="150"/>
      <c r="CN49" s="26" t="str">
        <f>IF(CK55&gt;CK56,CG56,IF(CK55&lt;CK56,CG55,""))</f>
        <v>England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25">
      <c r="A50" s="16">
        <v>44</v>
      </c>
      <c r="B50" s="17" t="str">
        <f t="array" ref="B50">INDEX(T,18+INT(MOD(R50-1,7)),lang)</f>
        <v>Tirs</v>
      </c>
      <c r="C50" s="18" t="str">
        <f t="array" ref="C50">INDEX(T,24+MONTH(R50),lang) &amp; " " &amp; DAY(R50) &amp; ", " &amp; YEAR(R50)</f>
        <v>Jun 23, 2026</v>
      </c>
      <c r="D50" s="120">
        <f t="shared" si="11"/>
        <v>0.125</v>
      </c>
      <c r="E50" s="78" t="str">
        <f>AE65</f>
        <v>Jordan</v>
      </c>
      <c r="F50" s="19">
        <v>0</v>
      </c>
      <c r="G50" s="20">
        <v>1</v>
      </c>
      <c r="H50" s="80" t="str">
        <f>AE63</f>
        <v>Algerie</v>
      </c>
      <c r="J50" s="38" t="str">
        <f t="array" ref="J50">INDEX(T,9,lang) &amp; " " &amp; "H"</f>
        <v>Gruppe H</v>
      </c>
      <c r="K50" s="94" t="str">
        <f t="array" ref="K50">INDEX(T,10,lang)</f>
        <v>S</v>
      </c>
      <c r="L50" s="94" t="str">
        <f t="array" ref="L50">INDEX(T,11,lang)</f>
        <v>V</v>
      </c>
      <c r="M50" s="94" t="str">
        <f t="array" ref="M50">INDEX(T,12,lang)</f>
        <v>T</v>
      </c>
      <c r="N50" s="94" t="str">
        <f t="array" ref="N50">INDEX(T,13,lang)</f>
        <v>U</v>
      </c>
      <c r="O50" s="94" t="str">
        <f t="array" ref="O50">INDEX(T,14,lang)</f>
        <v>Mål</v>
      </c>
      <c r="P50" s="95" t="str">
        <f t="array" ref="P50">INDEX(T,15,lang)</f>
        <v>P</v>
      </c>
      <c r="R50" s="123">
        <f>DATE(2026,6,22)+TIME(16,0,0)+gmt_delta</f>
        <v>46196.125</v>
      </c>
      <c r="S50" s="127" t="str">
        <f t="shared" si="12"/>
        <v>Jordan_lose</v>
      </c>
      <c r="T50" s="127" t="str">
        <f t="shared" si="13"/>
        <v>Algerie_win</v>
      </c>
      <c r="U50" s="123">
        <f t="shared" si="14"/>
        <v>0</v>
      </c>
      <c r="V50" s="123">
        <f t="shared" si="15"/>
        <v>0</v>
      </c>
      <c r="W50" s="123">
        <f t="shared" si="16"/>
        <v>0</v>
      </c>
      <c r="X50" s="123">
        <f t="shared" si="17"/>
        <v>0</v>
      </c>
      <c r="Y50" s="123">
        <f t="shared" si="18"/>
        <v>0</v>
      </c>
      <c r="Z50" s="123">
        <f t="shared" si="19"/>
        <v>0</v>
      </c>
      <c r="AA50" s="123">
        <f t="shared" si="20"/>
        <v>0</v>
      </c>
      <c r="AB50" s="123">
        <f t="shared" si="21"/>
        <v>-1</v>
      </c>
      <c r="AD50" s="123">
        <f>COUNTIF(AR50:AR53,CONCATENATE("&gt;=",AR50))</f>
        <v>1</v>
      </c>
      <c r="AE50" s="124" t="str">
        <f>VLOOKUP("Spain",T,lang,FALSE)</f>
        <v>Spania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8</v>
      </c>
      <c r="AJ50" s="123">
        <f>SUMIF($E$7:$E$78,$AE50,$G$7:$G$78) + SUMIF($H$7:$H$78,$AE50,$F$7:$F$78)</f>
        <v>1</v>
      </c>
      <c r="AL50" s="123">
        <f>AI50-AJ50</f>
        <v>7</v>
      </c>
      <c r="AM50" s="123">
        <f>AL50-AL54</f>
        <v>13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90000010.175541386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Spania</v>
      </c>
      <c r="AT50" s="126">
        <f t="array" ref="AT50">SUMPRODUCT(($S$7:$S$78=AE50&amp;"_win")*($U$7:$U$78))+SUMPRODUCT(($T$7:$T$78=AE50&amp;"_win")*($U$7:$U$78))</f>
        <v>0</v>
      </c>
      <c r="AU50" s="126">
        <f t="array" ref="AU50">SUMPRODUCT(($S$7:$S$78=AE50&amp;"_draw")*($U$7:$U$78))+SUMPRODUCT(($T$7:$T$78=AE50&amp;"_draw")*($U$7:$U$78))</f>
        <v>0</v>
      </c>
      <c r="AV50" s="126">
        <f t="array" ref="AV50">SUMPRODUCT(($E$7:$E$78=AE50)*($U$7:$U$78)*($F$7:$F$78))+SUMPRODUCT(($H$7:$H$78=AE50)*($U$7:$U$78)*($G$7:$G$78))</f>
        <v>0</v>
      </c>
      <c r="AW50" s="126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>
        <f t="array" ref="BB50">SUMPRODUCT(($S$7:$S$78=AE50&amp;"_win")*($X$7:$X$78))+SUMPRODUCT(($T$7:$T$78=AE50&amp;"_win")*($X$7:$X$78))</f>
        <v>0</v>
      </c>
      <c r="BC50" s="126">
        <f t="array" ref="BC50">SUMPRODUCT(($S$7:$S$78=AE50&amp;"_draw")*($X$7:$X$78))+SUMPRODUCT(($T$7:$T$78=AE50&amp;"_draw")*($X$7:$X$78))</f>
        <v>0</v>
      </c>
      <c r="BD50" s="126">
        <f t="array" ref="BD50">SUMPRODUCT(($E$7:$E$78=AE50)*($X$7:$X$78)*($F$7:$F$78))+SUMPRODUCT(($H$7:$H$78=AE50)*($X$7:$X$78)*($G$7:$G$78))</f>
        <v>0</v>
      </c>
      <c r="BE50" s="126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9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>
        <f t="array" ref="B51">INDEX(T,18+INT(MOD(R51-1,7)),lang)</f>
        <v>Tirs</v>
      </c>
      <c r="C51" s="18" t="str">
        <f t="array" ref="C51">INDEX(T,24+MONTH(R51),lang) &amp; " " &amp; DAY(R51) &amp; ", " &amp; YEAR(R51)</f>
        <v>Jun 23, 2026</v>
      </c>
      <c r="D51" s="120">
        <f t="shared" si="11"/>
        <v>0.83333333333333337</v>
      </c>
      <c r="E51" s="78" t="str">
        <f>AE74</f>
        <v>England</v>
      </c>
      <c r="F51" s="19">
        <v>3</v>
      </c>
      <c r="G51" s="20">
        <v>0</v>
      </c>
      <c r="H51" s="80" t="str">
        <f>AE76</f>
        <v>Ghana</v>
      </c>
      <c r="J51" s="30" t="str">
        <f>VLOOKUP(1,AD50:AN53,2,FALSE)</f>
        <v>Spania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8 - 1</v>
      </c>
      <c r="P51" s="32">
        <f>L51*3+M51</f>
        <v>9</v>
      </c>
      <c r="R51" s="123">
        <f>DATE(2026,6,23)+TIME(9,0,0)+gmt_delta</f>
        <v>46196.833333333336</v>
      </c>
      <c r="S51" s="127" t="str">
        <f t="shared" si="12"/>
        <v>England_win</v>
      </c>
      <c r="T51" s="127" t="str">
        <f t="shared" si="13"/>
        <v>Ghana_lose</v>
      </c>
      <c r="U51" s="123">
        <f t="shared" si="14"/>
        <v>0</v>
      </c>
      <c r="V51" s="123">
        <f t="shared" si="15"/>
        <v>0</v>
      </c>
      <c r="W51" s="123">
        <f t="shared" si="16"/>
        <v>0</v>
      </c>
      <c r="X51" s="123">
        <f t="shared" si="17"/>
        <v>0</v>
      </c>
      <c r="Y51" s="123">
        <f t="shared" si="18"/>
        <v>0</v>
      </c>
      <c r="Z51" s="123">
        <f t="shared" si="19"/>
        <v>0</v>
      </c>
      <c r="AA51" s="123">
        <f t="shared" si="20"/>
        <v>0</v>
      </c>
      <c r="AB51" s="123">
        <f t="shared" si="21"/>
        <v>1</v>
      </c>
      <c r="AD51" s="123">
        <f>COUNTIF(AR50:AR53,CONCATENATE("&gt;=",AR51))</f>
        <v>4</v>
      </c>
      <c r="AE51" s="124" t="str">
        <f>VLOOKUP("Cape Verde",T,lang,FALSE)</f>
        <v>Kapp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7</v>
      </c>
      <c r="AL51" s="123">
        <f>AI51-AJ51</f>
        <v>-6</v>
      </c>
      <c r="AM51" s="123">
        <f>AL51-AL54</f>
        <v>0</v>
      </c>
      <c r="AN51" s="123">
        <f>AF51*3+AG51</f>
        <v>1</v>
      </c>
      <c r="AO51" s="123">
        <f>AN51/AN54*10+BA51</f>
        <v>1.9805825242718447</v>
      </c>
      <c r="AP51" s="123">
        <f>AO51*10000000+BI51*100+AM51/AM54*10+AI51/AI54*1++IF(AQ51=0,ROW(),AQ51)/2000000</f>
        <v>19805923.412765052</v>
      </c>
      <c r="AQ51" s="126">
        <f>VLOOKUP(AE51,db_fifarank,2,FALSE)</f>
        <v>1366.13</v>
      </c>
      <c r="AR51" s="125">
        <f>AP51/AP54</f>
        <v>0.22006578837123031</v>
      </c>
      <c r="AS51" s="125" t="str">
        <f>IF(SUM(AF50:AH53)=12,J52,"2H")</f>
        <v>Uruguay</v>
      </c>
      <c r="AT51" s="126">
        <f t="array" ref="AT51">SUMPRODUCT(($S$7:$S$78=AE51&amp;"_win")*($U$7:$U$78))+SUMPRODUCT(($T$7:$T$78=AE51&amp;"_win")*($U$7:$U$78))</f>
        <v>0</v>
      </c>
      <c r="AU51" s="126">
        <f t="array" ref="AU51">SUMPRODUCT(($S$7:$S$78=AE51&amp;"_draw")*($U$7:$U$78))+SUMPRODUCT(($T$7:$T$78=AE51&amp;"_draw")*($U$7:$U$78))</f>
        <v>1</v>
      </c>
      <c r="AV51" s="126">
        <f t="array" ref="AV51">SUMPRODUCT(($E$7:$E$78=AE51)*($U$7:$U$78)*($F$7:$F$78))+SUMPRODUCT(($H$7:$H$78=AE51)*($U$7:$U$78)*($G$7:$G$78))</f>
        <v>1</v>
      </c>
      <c r="AW51" s="126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50.5</v>
      </c>
      <c r="BA51" s="126">
        <f>AZ51/AZ54</f>
        <v>0.98058252427184467</v>
      </c>
      <c r="BB51" s="126">
        <f t="array" ref="BB51">SUMPRODUCT(($S$7:$S$78=AE51&amp;"_win")*($X$7:$X$78))+SUMPRODUCT(($T$7:$T$78=AE51&amp;"_win")*($X$7:$X$78))</f>
        <v>0</v>
      </c>
      <c r="BC51" s="126">
        <f t="array" ref="BC51">SUMPRODUCT(($S$7:$S$78=AE51&amp;"_draw")*($X$7:$X$78))+SUMPRODUCT(($T$7:$T$78=AE51&amp;"_draw")*($X$7:$X$78))</f>
        <v>1</v>
      </c>
      <c r="BD51" s="126">
        <f t="array" ref="BD51">SUMPRODUCT(($E$7:$E$78=AE51)*($X$7:$X$78)*($F$7:$F$78))+SUMPRODUCT(($H$7:$H$78=AE51)*($X$7:$X$78)*($G$7:$G$78))</f>
        <v>1</v>
      </c>
      <c r="BE51" s="126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50.5</v>
      </c>
      <c r="BI51" s="126">
        <f>BH51/BH54</f>
        <v>0.98058252427184467</v>
      </c>
      <c r="BK51" s="150"/>
      <c r="BL51" s="26" t="str">
        <f>IF(group_round_completed,VLOOKUP('3rd places'!D3,AK80:AS91,9,FALSE),"3rd Group C/E/F/H/I")</f>
        <v>Elfenbenskysten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>
        <f t="array" ref="B52">INDEX(T,18+INT(MOD(R52-1,7)),lang)</f>
        <v>Tirs</v>
      </c>
      <c r="C52" s="18" t="str">
        <f t="array" ref="C52">INDEX(T,24+MONTH(R52),lang) &amp; " " &amp; DAY(R52) &amp; ", " &amp; YEAR(R52)</f>
        <v>Jun 23, 2026</v>
      </c>
      <c r="D52" s="120">
        <f t="shared" si="11"/>
        <v>0.95833333333333337</v>
      </c>
      <c r="E52" s="78" t="str">
        <f>AE77</f>
        <v>Panama</v>
      </c>
      <c r="F52" s="19">
        <v>0</v>
      </c>
      <c r="G52" s="20">
        <v>3</v>
      </c>
      <c r="H52" s="80" t="str">
        <f>AE75</f>
        <v>Kroatia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6 - 2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2"/>
        <v>Panama_lose</v>
      </c>
      <c r="T52" s="127" t="str">
        <f t="shared" si="13"/>
        <v>Kroatia_win</v>
      </c>
      <c r="U52" s="123">
        <f t="shared" si="14"/>
        <v>0</v>
      </c>
      <c r="V52" s="123">
        <f t="shared" si="15"/>
        <v>0</v>
      </c>
      <c r="W52" s="123">
        <f t="shared" si="16"/>
        <v>0</v>
      </c>
      <c r="X52" s="123">
        <f t="shared" si="17"/>
        <v>0</v>
      </c>
      <c r="Y52" s="123">
        <f t="shared" si="18"/>
        <v>0</v>
      </c>
      <c r="Z52" s="123">
        <f t="shared" si="19"/>
        <v>0</v>
      </c>
      <c r="AA52" s="123">
        <f t="shared" si="20"/>
        <v>0</v>
      </c>
      <c r="AB52" s="123">
        <f t="shared" si="21"/>
        <v>-1</v>
      </c>
      <c r="AD52" s="123">
        <f>COUNTIF(AR50:AR53,CONCATENATE("&gt;=",AR52))</f>
        <v>3</v>
      </c>
      <c r="AE52" s="124" t="str">
        <f>VLOOKUP("Saudi Arabia",T,lang,FALSE)</f>
        <v>Saudi-Arabia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6</v>
      </c>
      <c r="AL52" s="123">
        <f>AI52-AJ52</f>
        <v>-5</v>
      </c>
      <c r="AM52" s="123">
        <f>AL52-AL54</f>
        <v>1</v>
      </c>
      <c r="AN52" s="123">
        <f>AF52*3+AG52</f>
        <v>1</v>
      </c>
      <c r="AO52" s="123">
        <f>AN52/AN54*10+BA52</f>
        <v>1.9805825242718447</v>
      </c>
      <c r="AP52" s="123">
        <f>AO52*10000000+BI52*100+AM52/AM54*10+AI52/AI54*1++IF(AQ52=0,ROW(),AQ52)/2000000</f>
        <v>19805924.127078414</v>
      </c>
      <c r="AQ52" s="126">
        <f>VLOOKUP(AE52,db_fifarank,2,FALSE)</f>
        <v>1421.43</v>
      </c>
      <c r="AR52" s="125">
        <f>AP52/AP54</f>
        <v>0.22006579630804443</v>
      </c>
      <c r="AT52" s="126">
        <f t="array" ref="AT52">SUMPRODUCT(($S$7:$S$78=AE52&amp;"_win")*($U$7:$U$78))+SUMPRODUCT(($T$7:$T$78=AE52&amp;"_win")*($U$7:$U$78))</f>
        <v>0</v>
      </c>
      <c r="AU52" s="126">
        <f t="array" ref="AU52">SUMPRODUCT(($S$7:$S$78=AE52&amp;"_draw")*($U$7:$U$78))+SUMPRODUCT(($T$7:$T$78=AE52&amp;"_draw")*($U$7:$U$78))</f>
        <v>1</v>
      </c>
      <c r="AV52" s="126">
        <f t="array" ref="AV52">SUMPRODUCT(($E$7:$E$78=AE52)*($U$7:$U$78)*($F$7:$F$78))+SUMPRODUCT(($H$7:$H$78=AE52)*($U$7:$U$78)*($G$7:$G$78))</f>
        <v>1</v>
      </c>
      <c r="AW52" s="126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50.5</v>
      </c>
      <c r="BA52" s="126">
        <f>AZ52/AZ54</f>
        <v>0.98058252427184467</v>
      </c>
      <c r="BB52" s="126">
        <f t="array" ref="BB52">SUMPRODUCT(($S$7:$S$78=AE52&amp;"_win")*($X$7:$X$78))+SUMPRODUCT(($T$7:$T$78=AE52&amp;"_win")*($X$7:$X$78))</f>
        <v>0</v>
      </c>
      <c r="BC52" s="126">
        <f t="array" ref="BC52">SUMPRODUCT(($S$7:$S$78=AE52&amp;"_draw")*($X$7:$X$78))+SUMPRODUCT(($T$7:$T$78=AE52&amp;"_draw")*($X$7:$X$78))</f>
        <v>1</v>
      </c>
      <c r="BD52" s="126">
        <f t="array" ref="BD52">SUMPRODUCT(($E$7:$E$78=AE52)*($X$7:$X$78)*($F$7:$F$78))+SUMPRODUCT(($H$7:$H$78=AE52)*($X$7:$X$78)*($G$7:$G$78))</f>
        <v>1</v>
      </c>
      <c r="BE52" s="126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50.5</v>
      </c>
      <c r="BI52" s="126">
        <f>BH52/BH54</f>
        <v>0.98058252427184467</v>
      </c>
      <c r="BK52" s="21"/>
      <c r="BL52" s="21"/>
      <c r="BM52" s="21"/>
      <c r="BN52" s="21"/>
      <c r="BO52" s="21"/>
      <c r="BP52" s="114"/>
      <c r="BQ52" s="112"/>
      <c r="BR52" s="149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>
        <f t="array" ref="B53">INDEX(T,18+INT(MOD(R53-1,7)),lang)</f>
        <v>Tirs</v>
      </c>
      <c r="C53" s="18" t="str">
        <f t="array" ref="C53">INDEX(T,24+MONTH(R53),lang) &amp; " " &amp; DAY(R53) &amp; ", " &amp; YEAR(R53)</f>
        <v>Jun 23, 2026</v>
      </c>
      <c r="D53" s="120">
        <f t="shared" si="11"/>
        <v>0.70833333333333337</v>
      </c>
      <c r="E53" s="78" t="str">
        <f>AE68</f>
        <v>Portugal</v>
      </c>
      <c r="F53" s="19">
        <v>3</v>
      </c>
      <c r="G53" s="20">
        <v>0</v>
      </c>
      <c r="H53" s="80" t="str">
        <f>AE70</f>
        <v>Usbekistan</v>
      </c>
      <c r="J53" s="33" t="str">
        <f>VLOOKUP(3,AD50:AN53,2,FALSE)</f>
        <v>Saudi-Arabia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1 - 6</v>
      </c>
      <c r="P53" s="34">
        <f>L53*3+M53</f>
        <v>1</v>
      </c>
      <c r="R53" s="123">
        <f>DATE(2026,6,23)+TIME(6,0,0)+gmt_delta</f>
        <v>46196.708333333336</v>
      </c>
      <c r="S53" s="127" t="str">
        <f t="shared" si="12"/>
        <v>Portugal_win</v>
      </c>
      <c r="T53" s="127" t="str">
        <f t="shared" si="13"/>
        <v>Usbekistan_lose</v>
      </c>
      <c r="U53" s="123">
        <f t="shared" si="14"/>
        <v>0</v>
      </c>
      <c r="V53" s="123">
        <f t="shared" si="15"/>
        <v>0</v>
      </c>
      <c r="W53" s="123">
        <f t="shared" si="16"/>
        <v>0</v>
      </c>
      <c r="X53" s="123">
        <f t="shared" si="17"/>
        <v>0</v>
      </c>
      <c r="Y53" s="123">
        <f t="shared" si="18"/>
        <v>0</v>
      </c>
      <c r="Z53" s="123">
        <f t="shared" si="19"/>
        <v>0</v>
      </c>
      <c r="AA53" s="123">
        <f t="shared" si="20"/>
        <v>0</v>
      </c>
      <c r="AB53" s="123">
        <f t="shared" si="21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6</v>
      </c>
      <c r="AJ53" s="123">
        <f>SUMIF($E$7:$E$78,$AE53,$G$7:$G$78) + SUMIF($H$7:$H$78,$AE53,$F$7:$F$78)</f>
        <v>2</v>
      </c>
      <c r="AL53" s="123">
        <f>AI53-AJ53</f>
        <v>4</v>
      </c>
      <c r="AM53" s="123">
        <f>AL53-AL54</f>
        <v>10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60000007.810360342</v>
      </c>
      <c r="AQ53" s="126">
        <f>VLOOKUP(AE53,db_fifarank,2,FALSE)</f>
        <v>1673.07</v>
      </c>
      <c r="AR53" s="125">
        <f>AP53/AP54</f>
        <v>0.66666667066665974</v>
      </c>
      <c r="AT53" s="126">
        <f t="array" ref="AT53">SUMPRODUCT(($S$7:$S$78=AE53&amp;"_win")*($U$7:$U$78))+SUMPRODUCT(($T$7:$T$78=AE53&amp;"_win")*($U$7:$U$78))</f>
        <v>0</v>
      </c>
      <c r="AU53" s="126">
        <f t="array" ref="AU53">SUMPRODUCT(($S$7:$S$78=AE53&amp;"_draw")*($U$7:$U$78))+SUMPRODUCT(($T$7:$T$78=AE53&amp;"_draw")*($U$7:$U$78))</f>
        <v>0</v>
      </c>
      <c r="AV53" s="126">
        <f t="array" ref="AV53">SUMPRODUCT(($E$7:$E$78=AE53)*($U$7:$U$78)*($F$7:$F$78))+SUMPRODUCT(($H$7:$H$78=AE53)*($U$7:$U$78)*($G$7:$G$78))</f>
        <v>0</v>
      </c>
      <c r="AW53" s="126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>
        <f t="array" ref="BB53">SUMPRODUCT(($S$7:$S$78=AE53&amp;"_win")*($X$7:$X$78))+SUMPRODUCT(($T$7:$T$78=AE53&amp;"_win")*($X$7:$X$78))</f>
        <v>0</v>
      </c>
      <c r="BC53" s="126">
        <f t="array" ref="BC53">SUMPRODUCT(($S$7:$S$78=AE53&amp;"_draw")*($X$7:$X$78))+SUMPRODUCT(($T$7:$T$78=AE53&amp;"_draw")*($X$7:$X$78))</f>
        <v>0</v>
      </c>
      <c r="BD53" s="126">
        <f t="array" ref="BD53">SUMPRODUCT(($E$7:$E$78=AE53)*($X$7:$X$78)*($F$7:$F$78))+SUMPRODUCT(($H$7:$H$78=AE53)*($X$7:$X$78)*($G$7:$G$78))</f>
        <v>0</v>
      </c>
      <c r="BE53" s="126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50"/>
      <c r="BS53" s="26" t="str">
        <f>IF(BP54&gt;BP55,BL54,IF(BP54&lt;BP55,BL55,""))</f>
        <v>England</v>
      </c>
      <c r="BT53" s="62">
        <v>3</v>
      </c>
      <c r="BU53" s="64"/>
      <c r="BV53" s="27"/>
      <c r="BW53" s="112">
        <f>IF(BW52="","",BT53*1000+BU53*10+BV53)</f>
        <v>3000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>
        <f t="array" ref="B54">INDEX(T,18+INT(MOD(R54-1,7)),lang)</f>
        <v>Ons</v>
      </c>
      <c r="C54" s="18" t="str">
        <f t="array" ref="C54">INDEX(T,24+MONTH(R54),lang) &amp; " " &amp; DAY(R54) &amp; ", " &amp; YEAR(R54)</f>
        <v>Jun 24, 2026</v>
      </c>
      <c r="D54" s="120">
        <f t="shared" si="11"/>
        <v>8.3333333333333329E-2</v>
      </c>
      <c r="E54" s="78" t="str">
        <f>AE71</f>
        <v>Colombia</v>
      </c>
      <c r="F54" s="19">
        <v>3</v>
      </c>
      <c r="G54" s="20">
        <v>1</v>
      </c>
      <c r="H54" s="80" t="str">
        <f>AE69</f>
        <v>DR Kongo</v>
      </c>
      <c r="J54" s="35" t="str">
        <f>VLOOKUP(4,AD50:AN53,2,FALSE)</f>
        <v>Kapp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1 - 7</v>
      </c>
      <c r="P54" s="37">
        <f>L54*3+M54</f>
        <v>1</v>
      </c>
      <c r="R54" s="123">
        <f>DATE(2026,6,23)+TIME(15,0,0)+gmt_delta</f>
        <v>46197.083333333336</v>
      </c>
      <c r="S54" s="127" t="str">
        <f t="shared" si="12"/>
        <v>Colombia_win</v>
      </c>
      <c r="T54" s="127" t="str">
        <f t="shared" si="13"/>
        <v>DR Kongo_lose</v>
      </c>
      <c r="U54" s="123">
        <f t="shared" si="14"/>
        <v>0</v>
      </c>
      <c r="V54" s="123">
        <f t="shared" si="15"/>
        <v>0</v>
      </c>
      <c r="W54" s="123">
        <f t="shared" si="16"/>
        <v>0</v>
      </c>
      <c r="X54" s="123">
        <f t="shared" si="17"/>
        <v>0</v>
      </c>
      <c r="Y54" s="123">
        <f t="shared" si="18"/>
        <v>0</v>
      </c>
      <c r="Z54" s="123">
        <f t="shared" si="19"/>
        <v>0</v>
      </c>
      <c r="AA54" s="123">
        <f t="shared" si="20"/>
        <v>0</v>
      </c>
      <c r="AB54" s="123">
        <f t="shared" si="21"/>
        <v>1</v>
      </c>
      <c r="AF54" s="123">
        <f>MAX(AF50:AF53)-MIN(AF50:AF53)+1</f>
        <v>4</v>
      </c>
      <c r="AG54" s="123">
        <f>MAX(AG50:AG53)-MIN(AG50:AG53)+1</f>
        <v>2</v>
      </c>
      <c r="AH54" s="123">
        <f>MAX(AH50:AH53)-MIN(AH50:AH53)+1</f>
        <v>3</v>
      </c>
      <c r="AI54" s="123">
        <f>MAX(AI50:AI53)+1</f>
        <v>9</v>
      </c>
      <c r="AL54" s="123">
        <f>MIN(AL50:AL53)</f>
        <v>-6</v>
      </c>
      <c r="AM54" s="123">
        <f>MAX(AM50:AM53)+1</f>
        <v>14</v>
      </c>
      <c r="AN54" s="123">
        <f>MAX(AN50:AN53)+1</f>
        <v>10</v>
      </c>
      <c r="AO54" s="123">
        <f>MAX(AO50:AO53)+1</f>
        <v>10</v>
      </c>
      <c r="AP54" s="123">
        <f>MAX(AP50:AP53)+1</f>
        <v>90000011.175541386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49">
        <v>80</v>
      </c>
      <c r="BL54" s="24" t="str">
        <f>AS74</f>
        <v>England</v>
      </c>
      <c r="BM54" s="61">
        <v>4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4000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5">
      <c r="A55" s="16">
        <v>49</v>
      </c>
      <c r="B55" s="17" t="str">
        <f t="array" ref="B55">INDEX(T,18+INT(MOD(R55-1,7)),lang)</f>
        <v>Ons</v>
      </c>
      <c r="C55" s="18" t="str">
        <f t="array" ref="C55">INDEX(T,24+MONTH(R55),lang) &amp; " " &amp; DAY(R55) &amp; ", " &amp; YEAR(R55)</f>
        <v>Jun 24, 2026</v>
      </c>
      <c r="D55" s="120">
        <f t="shared" si="11"/>
        <v>0.91666666666666663</v>
      </c>
      <c r="E55" s="78" t="str">
        <f>AE23</f>
        <v>Skottland</v>
      </c>
      <c r="F55" s="19">
        <v>0</v>
      </c>
      <c r="G55" s="20">
        <v>3</v>
      </c>
      <c r="H55" s="80" t="str">
        <f>AE20</f>
        <v>Brasil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2"/>
        <v>Skottland_lose</v>
      </c>
      <c r="T55" s="127" t="str">
        <f t="shared" si="13"/>
        <v>Brasil_win</v>
      </c>
      <c r="U55" s="123">
        <f t="shared" si="14"/>
        <v>0</v>
      </c>
      <c r="V55" s="123">
        <f t="shared" si="15"/>
        <v>0</v>
      </c>
      <c r="W55" s="123">
        <f t="shared" si="16"/>
        <v>0</v>
      </c>
      <c r="X55" s="123">
        <f t="shared" si="17"/>
        <v>0</v>
      </c>
      <c r="Y55" s="123">
        <f t="shared" si="18"/>
        <v>0</v>
      </c>
      <c r="Z55" s="123">
        <f t="shared" si="19"/>
        <v>0</v>
      </c>
      <c r="AA55" s="123">
        <f t="shared" si="20"/>
        <v>0</v>
      </c>
      <c r="AB55" s="123">
        <f t="shared" si="21"/>
        <v>-1</v>
      </c>
      <c r="BK55" s="150"/>
      <c r="BL55" s="26" t="str">
        <f>IF(group_round_completed,VLOOKUP('3rd places'!K3,AK80:AS91,9,FALSE),"3rd Group E/H/I/J/K")</f>
        <v>Algerie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9">
        <v>102</v>
      </c>
      <c r="CG55" s="24" t="str">
        <f>IF(CD48&gt;CD49,BZ48,IF(CD48&lt;CD49,BZ49,""))</f>
        <v>England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25">
      <c r="A56" s="16">
        <v>50</v>
      </c>
      <c r="B56" s="17" t="str">
        <f t="array" ref="B56">INDEX(T,18+INT(MOD(R56-1,7)),lang)</f>
        <v>Ons</v>
      </c>
      <c r="C56" s="18" t="str">
        <f t="array" ref="C56">INDEX(T,24+MONTH(R56),lang) &amp; " " &amp; DAY(R56) &amp; ", " &amp; YEAR(R56)</f>
        <v>Jun 24, 2026</v>
      </c>
      <c r="D56" s="120">
        <f t="shared" si="11"/>
        <v>0.91666666666666663</v>
      </c>
      <c r="E56" s="78" t="str">
        <f>AE21</f>
        <v>Marokko</v>
      </c>
      <c r="F56" s="19">
        <v>3</v>
      </c>
      <c r="G56" s="20">
        <v>0</v>
      </c>
      <c r="H56" s="80" t="str">
        <f>AE22</f>
        <v>Haiti</v>
      </c>
      <c r="I56" s="69"/>
      <c r="J56" s="38" t="str">
        <f t="array" ref="J56">INDEX(T,9,lang) &amp; " " &amp; "I"</f>
        <v>Gruppe I</v>
      </c>
      <c r="K56" s="94" t="str">
        <f t="array" ref="K56">INDEX(T,10,lang)</f>
        <v>S</v>
      </c>
      <c r="L56" s="94" t="str">
        <f t="array" ref="L56">INDEX(T,11,lang)</f>
        <v>V</v>
      </c>
      <c r="M56" s="94" t="str">
        <f t="array" ref="M56">INDEX(T,12,lang)</f>
        <v>T</v>
      </c>
      <c r="N56" s="94" t="str">
        <f t="array" ref="N56">INDEX(T,13,lang)</f>
        <v>U</v>
      </c>
      <c r="O56" s="94" t="str">
        <f t="array" ref="O56">INDEX(T,14,lang)</f>
        <v>Mål</v>
      </c>
      <c r="P56" s="95" t="str">
        <f t="array" ref="P56">INDEX(T,15,lang)</f>
        <v>P</v>
      </c>
      <c r="R56" s="123">
        <f>DATE(2026,6,24)+TIME(11,0,0)+gmt_delta</f>
        <v>46197.916666666672</v>
      </c>
      <c r="S56" s="127" t="str">
        <f t="shared" si="12"/>
        <v>Marokko_win</v>
      </c>
      <c r="T56" s="127" t="str">
        <f t="shared" si="13"/>
        <v>Haiti_lose</v>
      </c>
      <c r="U56" s="123">
        <f t="shared" si="14"/>
        <v>0</v>
      </c>
      <c r="V56" s="123">
        <f t="shared" si="15"/>
        <v>0</v>
      </c>
      <c r="W56" s="123">
        <f t="shared" si="16"/>
        <v>0</v>
      </c>
      <c r="X56" s="123">
        <f t="shared" si="17"/>
        <v>0</v>
      </c>
      <c r="Y56" s="123">
        <f t="shared" si="18"/>
        <v>0</v>
      </c>
      <c r="Z56" s="123">
        <f t="shared" si="19"/>
        <v>0</v>
      </c>
      <c r="AA56" s="123">
        <f t="shared" si="20"/>
        <v>0</v>
      </c>
      <c r="AB56" s="123">
        <f t="shared" si="21"/>
        <v>1</v>
      </c>
      <c r="AD56" s="123">
        <f>COUNTIF(AR56:AR59,CONCATENATE("&gt;=",AR56))</f>
        <v>1</v>
      </c>
      <c r="AE56" s="124" t="str">
        <f>VLOOKUP("France",T,lang,FALSE)</f>
        <v>Frankrike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2</v>
      </c>
      <c r="AL56" s="123">
        <f>AI56-AJ56</f>
        <v>5</v>
      </c>
      <c r="AM56" s="123">
        <f>AL56-AL60</f>
        <v>13</v>
      </c>
      <c r="AN56" s="123">
        <f>AF56*3+AG56</f>
        <v>7</v>
      </c>
      <c r="AO56" s="123">
        <f>AN56/AN60*10+BA56</f>
        <v>8.75</v>
      </c>
      <c r="AP56" s="123">
        <f>AO56*10000000+BI56*100+AM56/AM60*10+AI56/AI60*1++IF(AQ56=0,ROW(),AQ56)/2000000</f>
        <v>87500010.161652938</v>
      </c>
      <c r="AQ56" s="126">
        <f>VLOOKUP(AE56,db_fifarank,2,FALSE)</f>
        <v>1877.32</v>
      </c>
      <c r="AR56" s="125">
        <f>AP56/AP60</f>
        <v>0.99999998857143002</v>
      </c>
      <c r="AS56" s="125" t="str">
        <f>IF(SUM(AF56:AH59)=12,J57,"1I")</f>
        <v>Frankrike</v>
      </c>
      <c r="AT56" s="126">
        <f t="array" ref="AT56">SUMPRODUCT(($S$7:$S$78=AE56&amp;"_win")*($U$7:$U$78))+SUMPRODUCT(($T$7:$T$78=AE56&amp;"_win")*($U$7:$U$78))</f>
        <v>0</v>
      </c>
      <c r="AU56" s="126">
        <f t="array" ref="AU56">SUMPRODUCT(($S$7:$S$78=AE56&amp;"_draw")*($U$7:$U$78))+SUMPRODUCT(($T$7:$T$78=AE56&amp;"_draw")*($U$7:$U$78))</f>
        <v>0</v>
      </c>
      <c r="AV56" s="126">
        <f t="array" ref="AV56">SUMPRODUCT(($E$7:$E$78=AE56)*($U$7:$U$78)*($F$7:$F$78))+SUMPRODUCT(($H$7:$H$78=AE56)*($U$7:$U$78)*($G$7:$G$78))</f>
        <v>0</v>
      </c>
      <c r="AW56" s="126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>
        <f t="array" ref="BB56">SUMPRODUCT(($S$7:$S$78=AE56&amp;"_win")*($X$7:$X$78))+SUMPRODUCT(($T$7:$T$78=AE56&amp;"_win")*($X$7:$X$78))</f>
        <v>0</v>
      </c>
      <c r="BC56" s="126">
        <f t="array" ref="BC56">SUMPRODUCT(($S$7:$S$78=AE56&amp;"_draw")*($X$7:$X$78))+SUMPRODUCT(($T$7:$T$78=AE56&amp;"_draw")*($X$7:$X$78))</f>
        <v>0</v>
      </c>
      <c r="BD56" s="126">
        <f t="array" ref="BD56">SUMPRODUCT(($E$7:$E$78=AE56)*($X$7:$X$78)*($F$7:$F$78))+SUMPRODUCT(($H$7:$H$78=AE56)*($X$7:$X$78)*($G$7:$G$78))</f>
        <v>0</v>
      </c>
      <c r="BE56" s="126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50"/>
      <c r="CG56" s="26" t="str">
        <f>IF(CD64&gt;CD65,BZ64,IF(CD64&lt;CD65,BZ65,""))</f>
        <v>Argentina</v>
      </c>
      <c r="CH56" s="62">
        <v>2</v>
      </c>
      <c r="CI56" s="64"/>
      <c r="CJ56" s="27"/>
      <c r="CK56" s="112">
        <f>IF(CK55="","",CH56*1000+CI56*10+CJ56)</f>
        <v>2000</v>
      </c>
      <c r="CL56" s="112"/>
    </row>
    <row r="57" spans="1:96" x14ac:dyDescent="0.25">
      <c r="A57" s="16">
        <v>51</v>
      </c>
      <c r="B57" s="17" t="str">
        <f t="array" ref="B57">INDEX(T,18+INT(MOD(R57-1,7)),lang)</f>
        <v>Ons</v>
      </c>
      <c r="C57" s="18" t="str">
        <f t="array" ref="C57">INDEX(T,24+MONTH(R57),lang) &amp; " " &amp; DAY(R57) &amp; ", " &amp; YEAR(R57)</f>
        <v>Jun 24, 2026</v>
      </c>
      <c r="D57" s="120">
        <f t="shared" si="11"/>
        <v>0.79166666666666663</v>
      </c>
      <c r="E57" s="78" t="str">
        <f>AE17</f>
        <v>Sveits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Frankrike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7 - 2</v>
      </c>
      <c r="P57" s="32">
        <f>L57*3+M57</f>
        <v>7</v>
      </c>
      <c r="R57" s="123">
        <f>DATE(2026,6,24)+TIME(8,0,0)+gmt_delta</f>
        <v>46197.791666666672</v>
      </c>
      <c r="S57" s="127" t="str">
        <f t="shared" si="12"/>
        <v>Sveits_draw</v>
      </c>
      <c r="T57" s="127" t="str">
        <f t="shared" si="13"/>
        <v>Canada_draw</v>
      </c>
      <c r="U57" s="123">
        <f t="shared" si="14"/>
        <v>0</v>
      </c>
      <c r="V57" s="123">
        <f t="shared" si="15"/>
        <v>0</v>
      </c>
      <c r="W57" s="123">
        <f t="shared" si="16"/>
        <v>0</v>
      </c>
      <c r="X57" s="123">
        <f t="shared" si="17"/>
        <v>0</v>
      </c>
      <c r="Y57" s="123">
        <f t="shared" si="18"/>
        <v>0</v>
      </c>
      <c r="Z57" s="123">
        <f t="shared" si="19"/>
        <v>0</v>
      </c>
      <c r="AA57" s="123">
        <f t="shared" si="20"/>
        <v>0</v>
      </c>
      <c r="AB57" s="123">
        <f t="shared" si="21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5</v>
      </c>
      <c r="AL57" s="123">
        <f>AI57-AJ57</f>
        <v>0</v>
      </c>
      <c r="AM57" s="123">
        <f>AL57-AL60</f>
        <v>8</v>
      </c>
      <c r="AN57" s="123">
        <f>AF57*3+AG57</f>
        <v>4</v>
      </c>
      <c r="AO57" s="123">
        <f>AN57/AN60*10+BA57</f>
        <v>5</v>
      </c>
      <c r="AP57" s="123">
        <f>AO57*10000000+BI57*100+AM57/AM60*10+AI57/AI60*1++IF(AQ57=0,ROW(),AQ57)/2000000</f>
        <v>50000006.34013021</v>
      </c>
      <c r="AQ57" s="126">
        <f>VLOOKUP(AE57,db_fifarank,2,FALSE)</f>
        <v>1688.99</v>
      </c>
      <c r="AR57" s="125">
        <f>AP57/AP60</f>
        <v>0.57142857099477506</v>
      </c>
      <c r="AS57" s="125" t="str">
        <f>IF(SUM(AF56:AH59)=12,J58,"2I")</f>
        <v>Norge</v>
      </c>
      <c r="AT57" s="126">
        <f t="array" ref="AT57">SUMPRODUCT(($S$7:$S$78=AE57&amp;"_win")*($U$7:$U$78))+SUMPRODUCT(($T$7:$T$78=AE57&amp;"_win")*($U$7:$U$78))</f>
        <v>0</v>
      </c>
      <c r="AU57" s="126">
        <f t="array" ref="AU57">SUMPRODUCT(($S$7:$S$78=AE57&amp;"_draw")*($U$7:$U$78))+SUMPRODUCT(($T$7:$T$78=AE57&amp;"_draw")*($U$7:$U$78))</f>
        <v>0</v>
      </c>
      <c r="AV57" s="126">
        <f t="array" ref="AV57">SUMPRODUCT(($E$7:$E$78=AE57)*($U$7:$U$78)*($F$7:$F$78))+SUMPRODUCT(($H$7:$H$78=AE57)*($U$7:$U$78)*($G$7:$G$78))</f>
        <v>0</v>
      </c>
      <c r="AW57" s="126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>
        <f t="array" ref="BB57">SUMPRODUCT(($S$7:$S$78=AE57&amp;"_win")*($X$7:$X$78))+SUMPRODUCT(($T$7:$T$78=AE57&amp;"_win")*($X$7:$X$78))</f>
        <v>0</v>
      </c>
      <c r="BC57" s="126">
        <f t="array" ref="BC57">SUMPRODUCT(($S$7:$S$78=AE57&amp;"_draw")*($X$7:$X$78))+SUMPRODUCT(($T$7:$T$78=AE57&amp;"_draw")*($X$7:$X$78))</f>
        <v>0</v>
      </c>
      <c r="BD57" s="126">
        <f t="array" ref="BD57">SUMPRODUCT(($E$7:$E$78=AE57)*($X$7:$X$78)*($F$7:$F$78))+SUMPRODUCT(($H$7:$H$78=AE57)*($X$7:$X$78)*($G$7:$G$78))</f>
        <v>0</v>
      </c>
      <c r="BE57" s="126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>IF(SUM(BB57:BF57)=0,0,BB57/$BB$60*1000+BC57/$BC$60*100+BG57/$BG$60*10+BD57/$BD$60)</f>
        <v>0</v>
      </c>
      <c r="BI57" s="126">
        <f>BH57/BH60</f>
        <v>0</v>
      </c>
      <c r="BK57" s="21" t="str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>
        <f t="array" ref="B58">INDEX(T,18+INT(MOD(R58-1,7)),lang)</f>
        <v>Ons</v>
      </c>
      <c r="C58" s="18" t="str">
        <f t="array" ref="C58">INDEX(T,24+MONTH(R58),lang) &amp; " " &amp; DAY(R58) &amp; ", " &amp; YEAR(R58)</f>
        <v>Jun 24, 2026</v>
      </c>
      <c r="D58" s="120">
        <f t="shared" si="11"/>
        <v>0.79166666666666663</v>
      </c>
      <c r="E58" s="78" t="str">
        <f>AE15</f>
        <v>Bosnia-Hercegovina</v>
      </c>
      <c r="F58" s="19">
        <v>2</v>
      </c>
      <c r="G58" s="20">
        <v>0</v>
      </c>
      <c r="H58" s="80" t="str">
        <f>AE16</f>
        <v>Qatar</v>
      </c>
      <c r="I58" s="69"/>
      <c r="J58" s="33" t="str">
        <f>VLOOKUP(2,AD56:AN59,2,FALSE)</f>
        <v>Norge</v>
      </c>
      <c r="K58" s="23">
        <f>L58+M58+N58</f>
        <v>3</v>
      </c>
      <c r="L58" s="23">
        <f>VLOOKUP(2,AD56:AN59,3,FALSE)</f>
        <v>1</v>
      </c>
      <c r="M58" s="23">
        <f>VLOOKUP(2,AD56:AN59,4,FALSE)</f>
        <v>2</v>
      </c>
      <c r="N58" s="23">
        <f>VLOOKUP(2,AD56:AN59,5,FALSE)</f>
        <v>0</v>
      </c>
      <c r="O58" s="23" t="str">
        <f>VLOOKUP(2,AD56:AN59,6,FALSE) &amp; " - " &amp; VLOOKUP(2,AD56:AN59,7,FALSE)</f>
        <v>5 - 2</v>
      </c>
      <c r="P58" s="34">
        <f>L58*3+M58</f>
        <v>5</v>
      </c>
      <c r="R58" s="123">
        <f>DATE(2026,6,24)+TIME(8,0,0)+gmt_delta</f>
        <v>46197.791666666672</v>
      </c>
      <c r="S58" s="127" t="str">
        <f t="shared" si="12"/>
        <v>Bosnia-Hercegovina_win</v>
      </c>
      <c r="T58" s="127" t="str">
        <f t="shared" si="13"/>
        <v>Qatar_lose</v>
      </c>
      <c r="U58" s="123">
        <f t="shared" si="14"/>
        <v>0</v>
      </c>
      <c r="V58" s="123">
        <f t="shared" si="15"/>
        <v>0</v>
      </c>
      <c r="W58" s="123">
        <f t="shared" si="16"/>
        <v>0</v>
      </c>
      <c r="X58" s="123">
        <f t="shared" si="17"/>
        <v>0</v>
      </c>
      <c r="Y58" s="123">
        <f t="shared" si="18"/>
        <v>0</v>
      </c>
      <c r="Z58" s="123">
        <f t="shared" si="19"/>
        <v>0</v>
      </c>
      <c r="AA58" s="123">
        <f t="shared" si="20"/>
        <v>0</v>
      </c>
      <c r="AB58" s="123">
        <f t="shared" si="21"/>
        <v>1</v>
      </c>
      <c r="AD58" s="123">
        <f>COUNTIF(AR56:AR59,CONCATENATE("&gt;=",AR58))</f>
        <v>4</v>
      </c>
      <c r="AE58" s="124" t="str">
        <f>VLOOKUP("Iraq",T,lang,FALSE)</f>
        <v>Irak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9</v>
      </c>
      <c r="AL58" s="123">
        <f>AI58-AJ58</f>
        <v>-8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0.12572357000000001</v>
      </c>
      <c r="AQ58" s="126">
        <f>VLOOKUP(AE58,db_fifarank,2,FALSE)</f>
        <v>1447.14</v>
      </c>
      <c r="AR58" s="125">
        <f>AP58/AP60</f>
        <v>1.4368406167140997E-9</v>
      </c>
      <c r="AT58" s="126">
        <f t="array" ref="AT58">SUMPRODUCT(($S$7:$S$78=AE58&amp;"_win")*($U$7:$U$78))+SUMPRODUCT(($T$7:$T$78=AE58&amp;"_win")*($U$7:$U$78))</f>
        <v>0</v>
      </c>
      <c r="AU58" s="126">
        <f t="array" ref="AU58">SUMPRODUCT(($S$7:$S$78=AE58&amp;"_draw")*($U$7:$U$78))+SUMPRODUCT(($T$7:$T$78=AE58&amp;"_draw")*($U$7:$U$78))</f>
        <v>0</v>
      </c>
      <c r="AV58" s="126">
        <f t="array" ref="AV58">SUMPRODUCT(($E$7:$E$78=AE58)*($U$7:$U$78)*($F$7:$F$78))+SUMPRODUCT(($H$7:$H$78=AE58)*($U$7:$U$78)*($G$7:$G$78))</f>
        <v>0</v>
      </c>
      <c r="AW58" s="126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>
        <f t="array" ref="BB58">SUMPRODUCT(($S$7:$S$78=AE58&amp;"_win")*($X$7:$X$78))+SUMPRODUCT(($T$7:$T$78=AE58&amp;"_win")*($X$7:$X$78))</f>
        <v>0</v>
      </c>
      <c r="BC58" s="126">
        <f t="array" ref="BC58">SUMPRODUCT(($S$7:$S$78=AE58&amp;"_draw")*($X$7:$X$78))+SUMPRODUCT(($T$7:$T$78=AE58&amp;"_draw")*($X$7:$X$78))</f>
        <v>0</v>
      </c>
      <c r="BD58" s="126">
        <f t="array" ref="BD58">SUMPRODUCT(($E$7:$E$78=AE58)*($X$7:$X$78)*($F$7:$F$78))+SUMPRODUCT(($H$7:$H$78=AE58)*($X$7:$X$78)*($G$7:$G$78))</f>
        <v>0</v>
      </c>
      <c r="BE58" s="126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>IF(SUM(BB58:BF58)=0,0,BB58/$BB$60*1000+BC58/$BC$60*100+BG58/$BG$60*10+BD58/$BD$60)</f>
        <v>0</v>
      </c>
      <c r="BI58" s="126">
        <f>BH58/BH60</f>
        <v>0</v>
      </c>
      <c r="BK58" s="149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>
        <f t="array" ref="B59">INDEX(T,18+INT(MOD(R59-1,7)),lang)</f>
        <v>Tors</v>
      </c>
      <c r="C59" s="18" t="str">
        <f t="array" ref="C59">INDEX(T,24+MONTH(R59),lang) &amp; " " &amp; DAY(R59) &amp; ", " &amp; YEAR(R59)</f>
        <v>Jun 25, 2026</v>
      </c>
      <c r="D59" s="120">
        <f t="shared" si="11"/>
        <v>4.1666666666666664E-2</v>
      </c>
      <c r="E59" s="78" t="str">
        <f>AE11</f>
        <v>Tsjekkia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5 - 5</v>
      </c>
      <c r="P59" s="34">
        <f>L59*3+M59</f>
        <v>4</v>
      </c>
      <c r="R59" s="123">
        <f>DATE(2026,6,24)+TIME(14,0,0)+gmt_delta</f>
        <v>46198.041666666672</v>
      </c>
      <c r="S59" s="127" t="str">
        <f t="shared" si="12"/>
        <v>Tsjekkia_lose</v>
      </c>
      <c r="T59" s="127" t="str">
        <f t="shared" si="13"/>
        <v>Mexico_win</v>
      </c>
      <c r="U59" s="123">
        <f t="shared" si="14"/>
        <v>0</v>
      </c>
      <c r="V59" s="123">
        <f t="shared" si="15"/>
        <v>0</v>
      </c>
      <c r="W59" s="123">
        <f t="shared" si="16"/>
        <v>0</v>
      </c>
      <c r="X59" s="123">
        <f t="shared" si="17"/>
        <v>0</v>
      </c>
      <c r="Y59" s="123">
        <f t="shared" si="18"/>
        <v>0</v>
      </c>
      <c r="Z59" s="123">
        <f t="shared" si="19"/>
        <v>0</v>
      </c>
      <c r="AA59" s="123">
        <f t="shared" si="20"/>
        <v>0</v>
      </c>
      <c r="AB59" s="123">
        <f t="shared" si="21"/>
        <v>-1</v>
      </c>
      <c r="AD59" s="123">
        <f>COUNTIF(AR56:AR59,CONCATENATE("&gt;=",AR59))</f>
        <v>2</v>
      </c>
      <c r="AE59" s="124" t="str">
        <f>VLOOKUP("Norway",T,lang,FALSE)</f>
        <v>Norge</v>
      </c>
      <c r="AF59" s="123">
        <f>COUNTIF($S$7:$T$78,"=" &amp; AE59 &amp; "_win")</f>
        <v>1</v>
      </c>
      <c r="AG59" s="123">
        <f>COUNTIF($S$7:$T$78,"=" &amp; AE59 &amp; "_draw")</f>
        <v>2</v>
      </c>
      <c r="AH59" s="123">
        <f>COUNTIF($S$7:$T$78,"=" &amp; AE59 &amp; "_lose")</f>
        <v>0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2</v>
      </c>
      <c r="AL59" s="123">
        <f>AI59-AJ59</f>
        <v>3</v>
      </c>
      <c r="AM59" s="123">
        <f>AL59-AL60</f>
        <v>11</v>
      </c>
      <c r="AN59" s="123">
        <f>AF59*3+AG59</f>
        <v>5</v>
      </c>
      <c r="AO59" s="123">
        <f>AN59/AN60*10+BA59</f>
        <v>6.25</v>
      </c>
      <c r="AP59" s="123">
        <f>AO59*10000000+BI59*100+AM59/AM60*10+AI59/AI60*1++IF(AQ59=0,ROW(),AQ59)/2000000</f>
        <v>62500008.48291833</v>
      </c>
      <c r="AQ59" s="126">
        <f>VLOOKUP(AE59,db_fifarank,2,FALSE)</f>
        <v>1550.94</v>
      </c>
      <c r="AR59" s="125">
        <f>AP59/AP60</f>
        <v>0.71428572011781744</v>
      </c>
      <c r="AT59" s="126">
        <f t="array" ref="AT59">SUMPRODUCT(($S$7:$S$78=AE59&amp;"_win")*($U$7:$U$78))+SUMPRODUCT(($T$7:$T$78=AE59&amp;"_win")*($U$7:$U$78))</f>
        <v>0</v>
      </c>
      <c r="AU59" s="126">
        <f t="array" ref="AU59">SUMPRODUCT(($S$7:$S$78=AE59&amp;"_draw")*($U$7:$U$78))+SUMPRODUCT(($T$7:$T$78=AE59&amp;"_draw")*($U$7:$U$78))</f>
        <v>0</v>
      </c>
      <c r="AV59" s="126">
        <f t="array" ref="AV59">SUMPRODUCT(($E$7:$E$78=AE59)*($U$7:$U$78)*($F$7:$F$78))+SUMPRODUCT(($H$7:$H$78=AE59)*($U$7:$U$78)*($G$7:$G$78))</f>
        <v>0</v>
      </c>
      <c r="AW59" s="126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>
        <f t="array" ref="BB59">SUMPRODUCT(($S$7:$S$78=AE59&amp;"_win")*($X$7:$X$78))+SUMPRODUCT(($T$7:$T$78=AE59&amp;"_win")*($X$7:$X$78))</f>
        <v>0</v>
      </c>
      <c r="BC59" s="126">
        <f t="array" ref="BC59">SUMPRODUCT(($S$7:$S$78=AE59&amp;"_draw")*($X$7:$X$78))+SUMPRODUCT(($T$7:$T$78=AE59&amp;"_draw")*($X$7:$X$78))</f>
        <v>0</v>
      </c>
      <c r="BD59" s="126">
        <f t="array" ref="BD59">SUMPRODUCT(($E$7:$E$78=AE59)*($X$7:$X$78)*($F$7:$F$78))+SUMPRODUCT(($H$7:$H$78=AE59)*($X$7:$X$78)*($G$7:$G$78))</f>
        <v>0</v>
      </c>
      <c r="BE59" s="126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>IF(SUM(BB59:BF59)=0,0,BB59/$BB$60*1000+BC59/$BC$60*100+BG59/$BG$60*10+BD59/$BD$60)</f>
        <v>0</v>
      </c>
      <c r="BI59" s="126">
        <f>BH59/BH60</f>
        <v>0</v>
      </c>
      <c r="BK59" s="150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>
        <f t="array" ref="B60">INDEX(T,18+INT(MOD(R60-1,7)),lang)</f>
        <v>Tors</v>
      </c>
      <c r="C60" s="18" t="str">
        <f t="array" ref="C60">INDEX(T,24+MONTH(R60),lang) &amp; " " &amp; DAY(R60) &amp; ", " &amp; YEAR(R60)</f>
        <v>Jun 25, 2026</v>
      </c>
      <c r="D60" s="120">
        <f t="shared" si="11"/>
        <v>4.1666666666666664E-2</v>
      </c>
      <c r="E60" s="78" t="str">
        <f>AE9</f>
        <v>Sør-Afrika</v>
      </c>
      <c r="F60" s="19">
        <v>0</v>
      </c>
      <c r="G60" s="20">
        <v>2</v>
      </c>
      <c r="H60" s="80" t="str">
        <f>AE10</f>
        <v>Sør-Korea</v>
      </c>
      <c r="I60" s="69"/>
      <c r="J60" s="35" t="str">
        <f>VLOOKUP(4,AD56:AN59,2,FALSE)</f>
        <v>Irak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1 - 9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2"/>
        <v>Sør-Afrika_lose</v>
      </c>
      <c r="T60" s="127" t="str">
        <f t="shared" si="13"/>
        <v>Sør-Korea_win</v>
      </c>
      <c r="U60" s="123">
        <f t="shared" si="14"/>
        <v>0</v>
      </c>
      <c r="V60" s="123">
        <f t="shared" si="15"/>
        <v>0</v>
      </c>
      <c r="W60" s="123">
        <f t="shared" si="16"/>
        <v>0</v>
      </c>
      <c r="X60" s="123">
        <f t="shared" si="17"/>
        <v>0</v>
      </c>
      <c r="Y60" s="123">
        <f t="shared" si="18"/>
        <v>0</v>
      </c>
      <c r="Z60" s="123">
        <f t="shared" si="19"/>
        <v>0</v>
      </c>
      <c r="AA60" s="123">
        <f t="shared" si="20"/>
        <v>0</v>
      </c>
      <c r="AB60" s="123">
        <f t="shared" si="21"/>
        <v>-1</v>
      </c>
      <c r="AF60" s="123">
        <f>MAX(AF56:AF59)-MIN(AF56:AF59)+1</f>
        <v>3</v>
      </c>
      <c r="AG60" s="123">
        <f>MAX(AG56:AG59)-MIN(AG56:AG59)+1</f>
        <v>3</v>
      </c>
      <c r="AH60" s="123">
        <f>MAX(AH56:AH59)-MIN(AH56:AH59)+1</f>
        <v>4</v>
      </c>
      <c r="AI60" s="123">
        <f>MAX(AI56:AI59)+1</f>
        <v>8</v>
      </c>
      <c r="AL60" s="123">
        <f>MIN(AL56:AL59)</f>
        <v>-8</v>
      </c>
      <c r="AM60" s="123">
        <f>MAX(AM56:AM59)+1</f>
        <v>14</v>
      </c>
      <c r="AN60" s="123">
        <f>MAX(AN56:AN59)+1</f>
        <v>8</v>
      </c>
      <c r="AO60" s="123">
        <f>MAX(AO56:AO59)+1</f>
        <v>9.75</v>
      </c>
      <c r="AP60" s="123">
        <f>MAX(AP56:AP59)+1</f>
        <v>87500011.161652938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9">
        <v>95</v>
      </c>
      <c r="BS60" s="24" t="str">
        <f>IF(BP58&gt;BP59,BL58,IF(BP58&lt;BP59,BL59,""))</f>
        <v>Argentina</v>
      </c>
      <c r="BT60" s="61">
        <v>3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3000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>
        <f t="array" ref="B61">INDEX(T,18+INT(MOD(R61-1,7)),lang)</f>
        <v>Tors</v>
      </c>
      <c r="C61" s="18" t="str">
        <f t="array" ref="C61">INDEX(T,24+MONTH(R61),lang) &amp; " " &amp; DAY(R61) &amp; ", " &amp; YEAR(R61)</f>
        <v>Jun 25, 2026</v>
      </c>
      <c r="D61" s="120">
        <f t="shared" si="11"/>
        <v>0.83333333333333337</v>
      </c>
      <c r="E61" s="78" t="str">
        <f>AE33</f>
        <v>Curaçao</v>
      </c>
      <c r="F61" s="19">
        <v>0</v>
      </c>
      <c r="G61" s="20">
        <v>2</v>
      </c>
      <c r="H61" s="80" t="str">
        <f>AE34</f>
        <v>Elfenbenskysten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2"/>
        <v>Curaçao_lose</v>
      </c>
      <c r="T61" s="127" t="str">
        <f t="shared" si="13"/>
        <v>Elfenbenskysten_win</v>
      </c>
      <c r="U61" s="123">
        <f t="shared" si="14"/>
        <v>0</v>
      </c>
      <c r="V61" s="123">
        <f t="shared" si="15"/>
        <v>0</v>
      </c>
      <c r="W61" s="123">
        <f t="shared" si="16"/>
        <v>0</v>
      </c>
      <c r="X61" s="123">
        <f t="shared" si="17"/>
        <v>0</v>
      </c>
      <c r="Y61" s="123">
        <f t="shared" si="18"/>
        <v>0</v>
      </c>
      <c r="Z61" s="123">
        <f t="shared" si="19"/>
        <v>0</v>
      </c>
      <c r="AA61" s="123">
        <f t="shared" si="20"/>
        <v>0</v>
      </c>
      <c r="AB61" s="123">
        <f t="shared" si="21"/>
        <v>-1</v>
      </c>
      <c r="BK61" s="21" t="str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50"/>
      <c r="BS61" s="26" t="str">
        <f>IF(BP62&gt;BP63,BL62,IF(BP62&lt;BP63,BL63,""))</f>
        <v>Tyrkia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>
        <f t="array" ref="B62">INDEX(T,18+INT(MOD(R62-1,7)),lang)</f>
        <v>Tors</v>
      </c>
      <c r="C62" s="18" t="str">
        <f t="array" ref="C62">INDEX(T,24+MONTH(R62),lang) &amp; " " &amp; DAY(R62) &amp; ", " &amp; YEAR(R62)</f>
        <v>Jun 25, 2026</v>
      </c>
      <c r="D62" s="120">
        <f t="shared" si="11"/>
        <v>0.83333333333333337</v>
      </c>
      <c r="E62" s="78" t="str">
        <f>AE35</f>
        <v>Ecuador</v>
      </c>
      <c r="F62" s="19">
        <v>1</v>
      </c>
      <c r="G62" s="20">
        <v>2</v>
      </c>
      <c r="H62" s="80" t="str">
        <f>AE32</f>
        <v>Tyskland</v>
      </c>
      <c r="I62" s="69"/>
      <c r="J62" s="38" t="str">
        <f t="array" ref="J62">INDEX(T,9,lang) &amp; " " &amp; "J"</f>
        <v>Gruppe J</v>
      </c>
      <c r="K62" s="94" t="str">
        <f t="array" ref="K62">INDEX(T,10,lang)</f>
        <v>S</v>
      </c>
      <c r="L62" s="94" t="str">
        <f t="array" ref="L62">INDEX(T,11,lang)</f>
        <v>V</v>
      </c>
      <c r="M62" s="94" t="str">
        <f t="array" ref="M62">INDEX(T,12,lang)</f>
        <v>T</v>
      </c>
      <c r="N62" s="94" t="str">
        <f t="array" ref="N62">INDEX(T,13,lang)</f>
        <v>U</v>
      </c>
      <c r="O62" s="94" t="str">
        <f t="array" ref="O62">INDEX(T,14,lang)</f>
        <v>Mål</v>
      </c>
      <c r="P62" s="95" t="str">
        <f t="array" ref="P62">INDEX(T,15,lang)</f>
        <v>P</v>
      </c>
      <c r="R62" s="123">
        <f>DATE(2026,6,25)+TIME(9,0,0)+gmt_delta</f>
        <v>46198.833333333336</v>
      </c>
      <c r="S62" s="127" t="str">
        <f t="shared" si="12"/>
        <v>Ecuador_lose</v>
      </c>
      <c r="T62" s="127" t="str">
        <f t="shared" si="13"/>
        <v>Tyskland_win</v>
      </c>
      <c r="U62" s="123">
        <f t="shared" si="14"/>
        <v>0</v>
      </c>
      <c r="V62" s="123">
        <f t="shared" si="15"/>
        <v>0</v>
      </c>
      <c r="W62" s="123">
        <f t="shared" si="16"/>
        <v>0</v>
      </c>
      <c r="X62" s="123">
        <f t="shared" si="17"/>
        <v>0</v>
      </c>
      <c r="Y62" s="123">
        <f t="shared" si="18"/>
        <v>0</v>
      </c>
      <c r="Z62" s="123">
        <f t="shared" si="19"/>
        <v>0</v>
      </c>
      <c r="AA62" s="123">
        <f t="shared" si="20"/>
        <v>0</v>
      </c>
      <c r="AB62" s="123">
        <f t="shared" si="21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9</v>
      </c>
      <c r="AJ62" s="123">
        <f>SUMIF($E$7:$E$78,$AE62,$G$7:$G$78) + SUMIF($H$7:$H$78,$AE62,$F$7:$F$78)</f>
        <v>1</v>
      </c>
      <c r="AL62" s="123">
        <f>AI62-AJ62</f>
        <v>8</v>
      </c>
      <c r="AM62" s="123">
        <f>AL62-AL66</f>
        <v>14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90000010.234270751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>
        <f t="array" ref="AT62">SUMPRODUCT(($S$7:$S$78=AE62&amp;"_win")*($U$7:$U$78))+SUMPRODUCT(($T$7:$T$78=AE62&amp;"_win")*($U$7:$U$78))</f>
        <v>0</v>
      </c>
      <c r="AU62" s="126">
        <f t="array" ref="AU62">SUMPRODUCT(($S$7:$S$78=AE62&amp;"_draw")*($U$7:$U$78))+SUMPRODUCT(($T$7:$T$78=AE62&amp;"_draw")*($U$7:$U$78))</f>
        <v>0</v>
      </c>
      <c r="AV62" s="126">
        <f t="array" ref="AV62">SUMPRODUCT(($E$7:$E$78=AE62)*($U$7:$U$78)*($F$7:$F$78))+SUMPRODUCT(($H$7:$H$78=AE62)*($U$7:$U$78)*($G$7:$G$78))</f>
        <v>0</v>
      </c>
      <c r="AW62" s="126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>
        <f t="array" ref="BB62">SUMPRODUCT(($S$7:$S$78=AE62&amp;"_win")*($X$7:$X$78))+SUMPRODUCT(($T$7:$T$78=AE62&amp;"_win")*($X$7:$X$78))</f>
        <v>0</v>
      </c>
      <c r="BC62" s="126">
        <f t="array" ref="BC62">SUMPRODUCT(($S$7:$S$78=AE62&amp;"_draw")*($X$7:$X$78))+SUMPRODUCT(($T$7:$T$78=AE62&amp;"_draw")*($X$7:$X$78))</f>
        <v>0</v>
      </c>
      <c r="BD62" s="126">
        <f t="array" ref="BD62">SUMPRODUCT(($E$7:$E$78=AE62)*($X$7:$X$78)*($F$7:$F$78))+SUMPRODUCT(($H$7:$H$78=AE62)*($X$7:$X$78)*($G$7:$G$78))</f>
        <v>0</v>
      </c>
      <c r="BE62" s="126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9">
        <v>88</v>
      </c>
      <c r="BL62" s="24" t="str">
        <f>AS27</f>
        <v>Tyrkia</v>
      </c>
      <c r="BM62" s="61">
        <v>3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3000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>
        <f t="array" ref="B63">INDEX(T,18+INT(MOD(R63-1,7)),lang)</f>
        <v>Tors</v>
      </c>
      <c r="C63" s="18" t="str">
        <f t="array" ref="C63">INDEX(T,24+MONTH(R63),lang) &amp; " " &amp; DAY(R63) &amp; ", " &amp; YEAR(R63)</f>
        <v>Jun 25, 2026</v>
      </c>
      <c r="D63" s="120">
        <f t="shared" si="11"/>
        <v>0.95833333333333337</v>
      </c>
      <c r="E63" s="78" t="str">
        <f>AE39</f>
        <v>Japan</v>
      </c>
      <c r="F63" s="19">
        <v>3</v>
      </c>
      <c r="G63" s="20">
        <v>1</v>
      </c>
      <c r="H63" s="80" t="str">
        <f>AE40</f>
        <v>Sverige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9 - 1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2"/>
        <v>Japan_win</v>
      </c>
      <c r="T63" s="127" t="str">
        <f t="shared" si="13"/>
        <v>Sverige_lose</v>
      </c>
      <c r="U63" s="123">
        <f t="shared" si="14"/>
        <v>0</v>
      </c>
      <c r="V63" s="123">
        <f t="shared" si="15"/>
        <v>0</v>
      </c>
      <c r="W63" s="123">
        <f t="shared" si="16"/>
        <v>0</v>
      </c>
      <c r="X63" s="123">
        <f t="shared" si="17"/>
        <v>0</v>
      </c>
      <c r="Y63" s="123">
        <f t="shared" si="18"/>
        <v>0</v>
      </c>
      <c r="Z63" s="123">
        <f t="shared" si="19"/>
        <v>0</v>
      </c>
      <c r="AA63" s="123">
        <f t="shared" si="20"/>
        <v>0</v>
      </c>
      <c r="AB63" s="123">
        <f t="shared" si="21"/>
        <v>1</v>
      </c>
      <c r="AD63" s="123">
        <f>COUNTIF(AR62:AR65,CONCATENATE("&gt;=",AR63))</f>
        <v>3</v>
      </c>
      <c r="AE63" s="124" t="str">
        <f>VLOOKUP("Algeria",T,lang,FALSE)</f>
        <v>Algerie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5</v>
      </c>
      <c r="AL63" s="123">
        <f>AI63-AJ63</f>
        <v>-3</v>
      </c>
      <c r="AM63" s="123">
        <f>AL63-AL66</f>
        <v>3</v>
      </c>
      <c r="AN63" s="123">
        <f>AF63*3+AG63</f>
        <v>3</v>
      </c>
      <c r="AO63" s="123">
        <f>AN63/AN66*10+BA63</f>
        <v>3</v>
      </c>
      <c r="AP63" s="123">
        <f>AO63*10000000+BI63*100+AM63/AM66*10+AI63/AI66*1++IF(AQ63=0,ROW(),AQ63)/2000000</f>
        <v>30000002.200782128</v>
      </c>
      <c r="AQ63" s="126">
        <f>VLOOKUP(AE63,db_fifarank,2,FALSE)</f>
        <v>1564.26</v>
      </c>
      <c r="AR63" s="125">
        <f>AP63/AP66</f>
        <v>0.33333331617806006</v>
      </c>
      <c r="AS63" s="125" t="str">
        <f>IF(SUM(AF62:AH65)=12,J64,"2J")</f>
        <v>Østerrike</v>
      </c>
      <c r="AT63" s="126">
        <f t="array" ref="AT63">SUMPRODUCT(($S$7:$S$78=AE63&amp;"_win")*($U$7:$U$78))+SUMPRODUCT(($T$7:$T$78=AE63&amp;"_win")*($U$7:$U$78))</f>
        <v>0</v>
      </c>
      <c r="AU63" s="126">
        <f t="array" ref="AU63">SUMPRODUCT(($S$7:$S$78=AE63&amp;"_draw")*($U$7:$U$78))+SUMPRODUCT(($T$7:$T$78=AE63&amp;"_draw")*($U$7:$U$78))</f>
        <v>0</v>
      </c>
      <c r="AV63" s="126">
        <f t="array" ref="AV63">SUMPRODUCT(($E$7:$E$78=AE63)*($U$7:$U$78)*($F$7:$F$78))+SUMPRODUCT(($H$7:$H$78=AE63)*($U$7:$U$78)*($G$7:$G$78))</f>
        <v>0</v>
      </c>
      <c r="AW63" s="126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>
        <f t="array" ref="BB63">SUMPRODUCT(($S$7:$S$78=AE63&amp;"_win")*($X$7:$X$78))+SUMPRODUCT(($T$7:$T$78=AE63&amp;"_win")*($X$7:$X$78))</f>
        <v>0</v>
      </c>
      <c r="BC63" s="126">
        <f t="array" ref="BC63">SUMPRODUCT(($S$7:$S$78=AE63&amp;"_draw")*($X$7:$X$78))+SUMPRODUCT(($T$7:$T$78=AE63&amp;"_draw")*($X$7:$X$78))</f>
        <v>0</v>
      </c>
      <c r="BD63" s="126">
        <f t="array" ref="BD63">SUMPRODUCT(($E$7:$E$78=AE63)*($X$7:$X$78)*($F$7:$F$78))+SUMPRODUCT(($H$7:$H$78=AE63)*($X$7:$X$78)*($G$7:$G$78))</f>
        <v>0</v>
      </c>
      <c r="BE63" s="126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50"/>
      <c r="BL63" s="26" t="str">
        <f>AS45</f>
        <v>Iran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5">
      <c r="A64" s="16">
        <v>58</v>
      </c>
      <c r="B64" s="17" t="str">
        <f t="array" ref="B64">INDEX(T,18+INT(MOD(R64-1,7)),lang)</f>
        <v>Tors</v>
      </c>
      <c r="C64" s="18" t="str">
        <f t="array" ref="C64">INDEX(T,24+MONTH(R64),lang) &amp; " " &amp; DAY(R64) &amp; ", " &amp; YEAR(R64)</f>
        <v>Jun 25, 2026</v>
      </c>
      <c r="D64" s="120">
        <f t="shared" si="11"/>
        <v>0.95833333333333337</v>
      </c>
      <c r="E64" s="78" t="str">
        <f>AE41</f>
        <v>Tunisia</v>
      </c>
      <c r="F64" s="19">
        <v>0</v>
      </c>
      <c r="G64" s="20">
        <v>2</v>
      </c>
      <c r="H64" s="80" t="str">
        <f>AE38</f>
        <v>Nederland</v>
      </c>
      <c r="I64" s="69"/>
      <c r="J64" s="33" t="str">
        <f>VLOOKUP(2,AD62:AN65,2,FALSE)</f>
        <v>Østerrike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6 - 5</v>
      </c>
      <c r="P64" s="34">
        <f>L64*3+M64</f>
        <v>6</v>
      </c>
      <c r="R64" s="123">
        <f>DATE(2026,6,25)+TIME(12,0,0)+gmt_delta</f>
        <v>46198.958333333336</v>
      </c>
      <c r="S64" s="127" t="str">
        <f t="shared" si="12"/>
        <v>Tunisia_lose</v>
      </c>
      <c r="T64" s="127" t="str">
        <f t="shared" si="13"/>
        <v>Nederland_win</v>
      </c>
      <c r="U64" s="123">
        <f t="shared" si="14"/>
        <v>0</v>
      </c>
      <c r="V64" s="123">
        <f t="shared" si="15"/>
        <v>0</v>
      </c>
      <c r="W64" s="123">
        <f t="shared" si="16"/>
        <v>0</v>
      </c>
      <c r="X64" s="123">
        <f t="shared" si="17"/>
        <v>0</v>
      </c>
      <c r="Y64" s="123">
        <f t="shared" si="18"/>
        <v>0</v>
      </c>
      <c r="Z64" s="123">
        <f t="shared" si="19"/>
        <v>0</v>
      </c>
      <c r="AA64" s="123">
        <f t="shared" si="20"/>
        <v>0</v>
      </c>
      <c r="AB64" s="123">
        <f t="shared" si="21"/>
        <v>-1</v>
      </c>
      <c r="AD64" s="123">
        <f>COUNTIF(AR62:AR65,CONCATENATE("&gt;=",AR64))</f>
        <v>2</v>
      </c>
      <c r="AE64" s="124" t="str">
        <f>VLOOKUP("Austria",T,lang,FALSE)</f>
        <v>Østerrike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6</v>
      </c>
      <c r="AJ64" s="123">
        <f>SUMIF($E$7:$E$78,$AE64,$G$7:$G$78) + SUMIF($H$7:$H$78,$AE64,$F$7:$F$78)</f>
        <v>5</v>
      </c>
      <c r="AL64" s="123">
        <f>AI64-AJ64</f>
        <v>1</v>
      </c>
      <c r="AM64" s="123">
        <f>AL64-AL66</f>
        <v>7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60000005.267463394</v>
      </c>
      <c r="AQ64" s="126">
        <f>VLOOKUP(AE64,db_fifarank,2,FALSE)</f>
        <v>1593.45</v>
      </c>
      <c r="AR64" s="125">
        <f>AP64/AP66</f>
        <v>0.66666664197722036</v>
      </c>
      <c r="AT64" s="126">
        <f t="array" ref="AT64">SUMPRODUCT(($S$7:$S$78=AE64&amp;"_win")*($U$7:$U$78))+SUMPRODUCT(($T$7:$T$78=AE64&amp;"_win")*($U$7:$U$78))</f>
        <v>0</v>
      </c>
      <c r="AU64" s="126">
        <f t="array" ref="AU64">SUMPRODUCT(($S$7:$S$78=AE64&amp;"_draw")*($U$7:$U$78))+SUMPRODUCT(($T$7:$T$78=AE64&amp;"_draw")*($U$7:$U$78))</f>
        <v>0</v>
      </c>
      <c r="AV64" s="126">
        <f t="array" ref="AV64">SUMPRODUCT(($E$7:$E$78=AE64)*($U$7:$U$78)*($F$7:$F$78))+SUMPRODUCT(($H$7:$H$78=AE64)*($U$7:$U$78)*($G$7:$G$78))</f>
        <v>0</v>
      </c>
      <c r="AW64" s="126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>
        <f t="array" ref="BB64">SUMPRODUCT(($S$7:$S$78=AE64&amp;"_win")*($X$7:$X$78))+SUMPRODUCT(($T$7:$T$78=AE64&amp;"_win")*($X$7:$X$78))</f>
        <v>0</v>
      </c>
      <c r="BC64" s="126">
        <f t="array" ref="BC64">SUMPRODUCT(($S$7:$S$78=AE64&amp;"_draw")*($X$7:$X$78))+SUMPRODUCT(($T$7:$T$78=AE64&amp;"_draw")*($X$7:$X$78))</f>
        <v>0</v>
      </c>
      <c r="BD64" s="126">
        <f t="array" ref="BD64">SUMPRODUCT(($E$7:$E$78=AE64)*($X$7:$X$78)*($F$7:$F$78))+SUMPRODUCT(($H$7:$H$78=AE64)*($X$7:$X$78)*($G$7:$G$78))</f>
        <v>0</v>
      </c>
      <c r="BE64" s="126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9">
        <v>100</v>
      </c>
      <c r="BZ64" s="24" t="str">
        <f>IF(BW60&gt;BW61,BS60,IF(BW60&lt;BW61,BS61,""))</f>
        <v>Argentina</v>
      </c>
      <c r="CA64" s="61">
        <v>2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2000</v>
      </c>
    </row>
    <row r="65" spans="1:95" x14ac:dyDescent="0.25">
      <c r="A65" s="16">
        <v>59</v>
      </c>
      <c r="B65" s="17" t="str">
        <f t="array" ref="B65">INDEX(T,18+INT(MOD(R65-1,7)),lang)</f>
        <v>Fre</v>
      </c>
      <c r="C65" s="18" t="str">
        <f t="array" ref="C65">INDEX(T,24+MONTH(R65),lang) &amp; " " &amp; DAY(R65) &amp; ", " &amp; YEAR(R65)</f>
        <v>Jun 26, 2026</v>
      </c>
      <c r="D65" s="120">
        <f t="shared" si="11"/>
        <v>8.3333333333333329E-2</v>
      </c>
      <c r="E65" s="78" t="str">
        <f>AE29</f>
        <v>Tyrkia</v>
      </c>
      <c r="F65" s="19">
        <v>1</v>
      </c>
      <c r="G65" s="20">
        <v>1</v>
      </c>
      <c r="H65" s="80" t="str">
        <f>AE26</f>
        <v>USA</v>
      </c>
      <c r="I65" s="69"/>
      <c r="J65" s="33" t="str">
        <f>VLOOKUP(3,AD62:AN65,2,FALSE)</f>
        <v>Algerie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2 - 5</v>
      </c>
      <c r="P65" s="34">
        <f>L65*3+M65</f>
        <v>3</v>
      </c>
      <c r="R65" s="123">
        <f>DATE(2026,6,25)+TIME(15,0,0)+gmt_delta</f>
        <v>46199.083333333336</v>
      </c>
      <c r="S65" s="127" t="str">
        <f t="shared" si="12"/>
        <v>Tyrkia_draw</v>
      </c>
      <c r="T65" s="127" t="str">
        <f t="shared" si="13"/>
        <v>USA_draw</v>
      </c>
      <c r="U65" s="123">
        <f t="shared" si="14"/>
        <v>1</v>
      </c>
      <c r="V65" s="123">
        <f t="shared" si="15"/>
        <v>1</v>
      </c>
      <c r="W65" s="123">
        <f t="shared" si="16"/>
        <v>1</v>
      </c>
      <c r="X65" s="123">
        <f t="shared" si="17"/>
        <v>1</v>
      </c>
      <c r="Y65" s="123">
        <f t="shared" si="18"/>
        <v>1</v>
      </c>
      <c r="Z65" s="123">
        <f t="shared" si="19"/>
        <v>1</v>
      </c>
      <c r="AA65" s="123">
        <f t="shared" si="20"/>
        <v>0</v>
      </c>
      <c r="AB65" s="123">
        <f t="shared" si="21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7</v>
      </c>
      <c r="AL65" s="123">
        <f>AI65-AJ65</f>
        <v>-6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0.100695725</v>
      </c>
      <c r="AQ65" s="126">
        <f>VLOOKUP(AE65,db_fifarank,2,FALSE)</f>
        <v>1391.45</v>
      </c>
      <c r="AR65" s="125">
        <f>AP65/AP66</f>
        <v>1.118841249229272E-9</v>
      </c>
      <c r="AT65" s="126">
        <f t="array" ref="AT65">SUMPRODUCT(($S$7:$S$78=AE65&amp;"_win")*($U$7:$U$78))+SUMPRODUCT(($T$7:$T$78=AE65&amp;"_win")*($U$7:$U$78))</f>
        <v>0</v>
      </c>
      <c r="AU65" s="126">
        <f t="array" ref="AU65">SUMPRODUCT(($S$7:$S$78=AE65&amp;"_draw")*($U$7:$U$78))+SUMPRODUCT(($T$7:$T$78=AE65&amp;"_draw")*($U$7:$U$78))</f>
        <v>0</v>
      </c>
      <c r="AV65" s="126">
        <f t="array" ref="AV65">SUMPRODUCT(($E$7:$E$78=AE65)*($U$7:$U$78)*($F$7:$F$78))+SUMPRODUCT(($H$7:$H$78=AE65)*($U$7:$U$78)*($G$7:$G$78))</f>
        <v>0</v>
      </c>
      <c r="AW65" s="126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>
        <f t="array" ref="BB65">SUMPRODUCT(($S$7:$S$78=AE65&amp;"_win")*($X$7:$X$78))+SUMPRODUCT(($T$7:$T$78=AE65&amp;"_win")*($X$7:$X$78))</f>
        <v>0</v>
      </c>
      <c r="BC65" s="126">
        <f t="array" ref="BC65">SUMPRODUCT(($S$7:$S$78=AE65&amp;"_draw")*($X$7:$X$78))+SUMPRODUCT(($T$7:$T$78=AE65&amp;"_draw")*($X$7:$X$78))</f>
        <v>0</v>
      </c>
      <c r="BD65" s="126">
        <f t="array" ref="BD65">SUMPRODUCT(($E$7:$E$78=AE65)*($X$7:$X$78)*($F$7:$F$78))+SUMPRODUCT(($H$7:$H$78=AE65)*($X$7:$X$78)*($G$7:$G$78))</f>
        <v>0</v>
      </c>
      <c r="BE65" s="126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50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25">
      <c r="A66" s="16">
        <v>60</v>
      </c>
      <c r="B66" s="17" t="str">
        <f t="array" ref="B66">INDEX(T,18+INT(MOD(R66-1,7)),lang)</f>
        <v>Fre</v>
      </c>
      <c r="C66" s="18" t="str">
        <f t="array" ref="C66">INDEX(T,24+MONTH(R66),lang) &amp; " " &amp; DAY(R66) &amp; ", " &amp; YEAR(R66)</f>
        <v>Jun 26, 2026</v>
      </c>
      <c r="D66" s="120">
        <f t="shared" si="11"/>
        <v>8.3333333333333329E-2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1 - 7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2"/>
        <v>Paraguay_draw</v>
      </c>
      <c r="T66" s="127" t="str">
        <f t="shared" si="13"/>
        <v>Australia_draw</v>
      </c>
      <c r="U66" s="123">
        <f t="shared" si="14"/>
        <v>1</v>
      </c>
      <c r="V66" s="123">
        <f t="shared" si="15"/>
        <v>1</v>
      </c>
      <c r="W66" s="123">
        <f t="shared" si="16"/>
        <v>1</v>
      </c>
      <c r="X66" s="123">
        <f t="shared" si="17"/>
        <v>1</v>
      </c>
      <c r="Y66" s="123">
        <f t="shared" si="18"/>
        <v>1</v>
      </c>
      <c r="Z66" s="123">
        <f t="shared" si="19"/>
        <v>1</v>
      </c>
      <c r="AA66" s="123">
        <f t="shared" si="20"/>
        <v>0</v>
      </c>
      <c r="AB66" s="123">
        <f t="shared" si="21"/>
        <v>0</v>
      </c>
      <c r="AF66" s="123">
        <f>MAX(AF62:AF65)-MIN(AF62:AF65)+1</f>
        <v>4</v>
      </c>
      <c r="AG66" s="123">
        <f>MAX(AG62:AG65)-MIN(AG62:AG65)+1</f>
        <v>1</v>
      </c>
      <c r="AH66" s="123">
        <f>MAX(AH62:AH65)-MIN(AH62:AH65)+1</f>
        <v>4</v>
      </c>
      <c r="AI66" s="123">
        <f>MAX(AI62:AI65)+1</f>
        <v>10</v>
      </c>
      <c r="AL66" s="123">
        <f>MIN(AL62:AL65)</f>
        <v>-6</v>
      </c>
      <c r="AM66" s="123">
        <f>MAX(AM62:AM65)+1</f>
        <v>15</v>
      </c>
      <c r="AN66" s="123">
        <f>MAX(AN62:AN65)+1</f>
        <v>10</v>
      </c>
      <c r="AO66" s="123">
        <f>MAX(AO62:AO65)+1</f>
        <v>10</v>
      </c>
      <c r="AP66" s="123">
        <f>MAX(AP62:AP65)+1</f>
        <v>90000011.234270751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49">
        <v>85</v>
      </c>
      <c r="BL66" s="24" t="str">
        <f>AS14</f>
        <v>Sveits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>
        <f t="array" ref="B67">INDEX(T,18+INT(MOD(R67-1,7)),lang)</f>
        <v>Fre</v>
      </c>
      <c r="C67" s="18" t="str">
        <f t="array" ref="C67">INDEX(T,24+MONTH(R67),lang) &amp; " " &amp; DAY(R67) &amp; ", " &amp; YEAR(R67)</f>
        <v>Jun 26, 2026</v>
      </c>
      <c r="D67" s="120">
        <f t="shared" si="11"/>
        <v>0.79166666666666663</v>
      </c>
      <c r="E67" s="78" t="str">
        <f>AE59</f>
        <v>Norge</v>
      </c>
      <c r="F67" s="19">
        <v>1</v>
      </c>
      <c r="G67" s="20">
        <v>1</v>
      </c>
      <c r="H67" s="80" t="str">
        <f>AE56</f>
        <v>Frankrike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2"/>
        <v>Norge_draw</v>
      </c>
      <c r="T67" s="127" t="str">
        <f t="shared" si="13"/>
        <v>Frankrike_draw</v>
      </c>
      <c r="U67" s="123">
        <f t="shared" si="14"/>
        <v>0</v>
      </c>
      <c r="V67" s="123">
        <f t="shared" si="15"/>
        <v>0</v>
      </c>
      <c r="W67" s="123">
        <f t="shared" si="16"/>
        <v>0</v>
      </c>
      <c r="X67" s="123">
        <f t="shared" si="17"/>
        <v>0</v>
      </c>
      <c r="Y67" s="123">
        <f t="shared" si="18"/>
        <v>0</v>
      </c>
      <c r="Z67" s="123">
        <f t="shared" si="19"/>
        <v>0</v>
      </c>
      <c r="AA67" s="123">
        <f t="shared" si="20"/>
        <v>1</v>
      </c>
      <c r="AB67" s="123">
        <f t="shared" si="21"/>
        <v>0</v>
      </c>
      <c r="BK67" s="150"/>
      <c r="BL67" s="26" t="str">
        <f>IF(group_round_completed,VLOOKUP('3rd places'!E3,AK80:AS91,9,FALSE),"3rd Group E/F/G/I/J")</f>
        <v>Egypt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5">
      <c r="A68" s="16">
        <v>62</v>
      </c>
      <c r="B68" s="17" t="str">
        <f t="array" ref="B68">INDEX(T,18+INT(MOD(R68-1,7)),lang)</f>
        <v>Fre</v>
      </c>
      <c r="C68" s="18" t="str">
        <f t="array" ref="C68">INDEX(T,24+MONTH(R68),lang) &amp; " " &amp; DAY(R68) &amp; ", " &amp; YEAR(R68)</f>
        <v>Jun 26, 2026</v>
      </c>
      <c r="D68" s="120">
        <f t="shared" si="11"/>
        <v>0.79166666666666663</v>
      </c>
      <c r="E68" s="78" t="str">
        <f>AE57</f>
        <v>Senegal</v>
      </c>
      <c r="F68" s="19">
        <v>3</v>
      </c>
      <c r="G68" s="20">
        <v>1</v>
      </c>
      <c r="H68" s="80" t="str">
        <f>AE58</f>
        <v>Irak</v>
      </c>
      <c r="I68" s="69"/>
      <c r="J68" s="38" t="str">
        <f t="array" ref="J68">INDEX(T,9,lang) &amp; " " &amp; "K"</f>
        <v>Gruppe K</v>
      </c>
      <c r="K68" s="94" t="str">
        <f t="array" ref="K68">INDEX(T,10,lang)</f>
        <v>S</v>
      </c>
      <c r="L68" s="94" t="str">
        <f t="array" ref="L68">INDEX(T,11,lang)</f>
        <v>V</v>
      </c>
      <c r="M68" s="94" t="str">
        <f t="array" ref="M68">INDEX(T,12,lang)</f>
        <v>T</v>
      </c>
      <c r="N68" s="94" t="str">
        <f t="array" ref="N68">INDEX(T,13,lang)</f>
        <v>U</v>
      </c>
      <c r="O68" s="94" t="str">
        <f t="array" ref="O68">INDEX(T,14,lang)</f>
        <v>Mål</v>
      </c>
      <c r="P68" s="95" t="str">
        <f t="array" ref="P68">INDEX(T,15,lang)</f>
        <v>P</v>
      </c>
      <c r="R68" s="123">
        <f>DATE(2026,6,26)+TIME(8,0,0)+gmt_delta</f>
        <v>46199.791666666672</v>
      </c>
      <c r="S68" s="127" t="str">
        <f t="shared" si="12"/>
        <v>Senegal_win</v>
      </c>
      <c r="T68" s="127" t="str">
        <f t="shared" si="13"/>
        <v>Irak_lose</v>
      </c>
      <c r="U68" s="123">
        <f t="shared" si="14"/>
        <v>0</v>
      </c>
      <c r="V68" s="123">
        <f t="shared" si="15"/>
        <v>0</v>
      </c>
      <c r="W68" s="123">
        <f t="shared" si="16"/>
        <v>0</v>
      </c>
      <c r="X68" s="123">
        <f t="shared" si="17"/>
        <v>0</v>
      </c>
      <c r="Y68" s="123">
        <f t="shared" si="18"/>
        <v>0</v>
      </c>
      <c r="Z68" s="123">
        <f t="shared" si="19"/>
        <v>0</v>
      </c>
      <c r="AA68" s="123">
        <f t="shared" si="20"/>
        <v>0</v>
      </c>
      <c r="AB68" s="123">
        <f t="shared" si="21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9</v>
      </c>
      <c r="AJ68" s="123">
        <f>SUMIF($E$7:$E$78,$AE68,$G$7:$G$78) + SUMIF($H$7:$H$78,$AE68,$F$7:$F$78)</f>
        <v>1</v>
      </c>
      <c r="AL68" s="123">
        <f>AI68-AJ68</f>
        <v>8</v>
      </c>
      <c r="AM68" s="123">
        <f>AL68-AL72</f>
        <v>14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90000010.234215245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>
        <f t="array" ref="AT68">SUMPRODUCT(($S$7:$S$78=AE68&amp;"_win")*($U$7:$U$78))+SUMPRODUCT(($T$7:$T$78=AE68&amp;"_win")*($U$7:$U$78))</f>
        <v>0</v>
      </c>
      <c r="AU68" s="126">
        <f t="array" ref="AU68">SUMPRODUCT(($S$7:$S$78=AE68&amp;"_draw")*($U$7:$U$78))+SUMPRODUCT(($T$7:$T$78=AE68&amp;"_draw")*($U$7:$U$78))</f>
        <v>0</v>
      </c>
      <c r="AV68" s="126">
        <f t="array" ref="AV68">SUMPRODUCT(($E$7:$E$78=AE68)*($U$7:$U$78)*($F$7:$F$78))+SUMPRODUCT(($H$7:$H$78=AE68)*($U$7:$U$78)*($G$7:$G$78))</f>
        <v>0</v>
      </c>
      <c r="AW68" s="126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>
        <f t="array" ref="BB68">SUMPRODUCT(($S$7:$S$78=AE68&amp;"_win")*($X$7:$X$78))+SUMPRODUCT(($T$7:$T$78=AE68&amp;"_win")*($X$7:$X$78))</f>
        <v>0</v>
      </c>
      <c r="BC68" s="126">
        <f t="array" ref="BC68">SUMPRODUCT(($S$7:$S$78=AE68&amp;"_draw")*($X$7:$X$78))+SUMPRODUCT(($T$7:$T$78=AE68&amp;"_draw")*($X$7:$X$78))</f>
        <v>0</v>
      </c>
      <c r="BD68" s="126">
        <f t="array" ref="BD68">SUMPRODUCT(($E$7:$E$78=AE68)*($X$7:$X$78)*($F$7:$F$78))+SUMPRODUCT(($H$7:$H$78=AE68)*($X$7:$X$78)*($G$7:$G$78))</f>
        <v>0</v>
      </c>
      <c r="BE68" s="126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9">
        <v>96</v>
      </c>
      <c r="BS68" s="24" t="str">
        <f>IF(BP66&gt;BP67,BL66,IF(BP66&lt;BP67,BL67,""))</f>
        <v>Sveits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6" t="str">
        <f>INDEX(T,144,lang)</f>
        <v>Vinner 2026</v>
      </c>
      <c r="CF68" s="167"/>
      <c r="CG68" s="167"/>
      <c r="CH68" s="167"/>
      <c r="CI68" s="167"/>
      <c r="CJ68" s="167"/>
      <c r="CK68" s="168" t="str">
        <f>IF(CR37&gt;CR38,CN37,IF(CR37&lt;CR38,CN38,""))</f>
        <v>Spania</v>
      </c>
      <c r="CL68" s="167"/>
      <c r="CM68" s="167"/>
      <c r="CN68" s="167"/>
      <c r="CO68" s="167"/>
      <c r="CP68" s="167"/>
      <c r="CQ68" s="167"/>
    </row>
    <row r="69" spans="1:95" x14ac:dyDescent="0.25">
      <c r="A69" s="16">
        <v>63</v>
      </c>
      <c r="B69" s="17" t="str">
        <f t="array" ref="B69">INDEX(T,18+INT(MOD(R69-1,7)),lang)</f>
        <v>Lør</v>
      </c>
      <c r="C69" s="18" t="str">
        <f t="array" ref="C69">INDEX(T,24+MONTH(R69),lang) &amp; " " &amp; DAY(R69) &amp; ", " &amp; YEAR(R69)</f>
        <v>Jun 27, 2026</v>
      </c>
      <c r="D69" s="120">
        <f t="shared" si="11"/>
        <v>0.125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9 - 1</v>
      </c>
      <c r="P69" s="32">
        <f>L69*3+M69</f>
        <v>9</v>
      </c>
      <c r="R69" s="123">
        <f>DATE(2026,6,26)+TIME(16,0,0)+gmt_delta</f>
        <v>46200.125</v>
      </c>
      <c r="S69" s="127" t="str">
        <f t="shared" si="12"/>
        <v>Egypt_draw</v>
      </c>
      <c r="T69" s="127" t="str">
        <f t="shared" si="13"/>
        <v>Iran_draw</v>
      </c>
      <c r="U69" s="123">
        <f t="shared" si="14"/>
        <v>1</v>
      </c>
      <c r="V69" s="123">
        <f t="shared" si="15"/>
        <v>1</v>
      </c>
      <c r="W69" s="123">
        <f t="shared" si="16"/>
        <v>1</v>
      </c>
      <c r="X69" s="123">
        <f t="shared" si="17"/>
        <v>1</v>
      </c>
      <c r="Y69" s="123">
        <f t="shared" si="18"/>
        <v>1</v>
      </c>
      <c r="Z69" s="123">
        <f t="shared" si="19"/>
        <v>1</v>
      </c>
      <c r="AA69" s="123">
        <f t="shared" si="20"/>
        <v>0</v>
      </c>
      <c r="AB69" s="123">
        <f t="shared" si="21"/>
        <v>0</v>
      </c>
      <c r="AD69" s="123">
        <f>COUNTIF(AR68:AR71,CONCATENATE("&gt;=",AR69))</f>
        <v>3</v>
      </c>
      <c r="AE69" s="124" t="str">
        <f>VLOOKUP("DR Congo",T,lang,FALSE)</f>
        <v>DR Kongo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8</v>
      </c>
      <c r="AL69" s="123">
        <f>AI69-AJ69</f>
        <v>-6</v>
      </c>
      <c r="AM69" s="123">
        <f>AL69-AL72</f>
        <v>0</v>
      </c>
      <c r="AN69" s="123">
        <f>AF69*3+AG69</f>
        <v>1</v>
      </c>
      <c r="AO69" s="123">
        <f>AN69/AN72*10+BA69</f>
        <v>1.9805825242718447</v>
      </c>
      <c r="AP69" s="123">
        <f>AO69*10000000+BI69*100+AM69/AM72*10+AI69/AI72*1++IF(AQ69=0,ROW(),AQ69)/2000000</f>
        <v>19805923.50171005</v>
      </c>
      <c r="AQ69" s="126">
        <f>VLOOKUP(AE69,db_fifarank,2,FALSE)</f>
        <v>1478.35</v>
      </c>
      <c r="AR69" s="125">
        <f>AP69/AP72</f>
        <v>0.22006578921604006</v>
      </c>
      <c r="AS69" s="125" t="str">
        <f>IF(SUM(AF68:AH71)=12,J70,"2K")</f>
        <v>Colombia</v>
      </c>
      <c r="AT69" s="126">
        <f t="array" ref="AT69">SUMPRODUCT(($S$7:$S$78=AE69&amp;"_win")*($U$7:$U$78))+SUMPRODUCT(($T$7:$T$78=AE69&amp;"_win")*($U$7:$U$78))</f>
        <v>0</v>
      </c>
      <c r="AU69" s="126">
        <f t="array" ref="AU69">SUMPRODUCT(($S$7:$S$78=AE69&amp;"_draw")*($U$7:$U$78))+SUMPRODUCT(($T$7:$T$78=AE69&amp;"_draw")*($U$7:$U$78))</f>
        <v>1</v>
      </c>
      <c r="AV69" s="126">
        <f t="array" ref="AV69">SUMPRODUCT(($E$7:$E$78=AE69)*($U$7:$U$78)*($F$7:$F$78))+SUMPRODUCT(($H$7:$H$78=AE69)*($U$7:$U$78)*($G$7:$G$78))</f>
        <v>1</v>
      </c>
      <c r="AW69" s="126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50.5</v>
      </c>
      <c r="BA69" s="126">
        <f>AZ69/AZ72</f>
        <v>0.98058252427184467</v>
      </c>
      <c r="BB69" s="126">
        <f t="array" ref="BB69">SUMPRODUCT(($S$7:$S$78=AE69&amp;"_win")*($X$7:$X$78))+SUMPRODUCT(($T$7:$T$78=AE69&amp;"_win")*($X$7:$X$78))</f>
        <v>0</v>
      </c>
      <c r="BC69" s="126">
        <f t="array" ref="BC69">SUMPRODUCT(($S$7:$S$78=AE69&amp;"_draw")*($X$7:$X$78))+SUMPRODUCT(($T$7:$T$78=AE69&amp;"_draw")*($X$7:$X$78))</f>
        <v>1</v>
      </c>
      <c r="BD69" s="126">
        <f t="array" ref="BD69">SUMPRODUCT(($E$7:$E$78=AE69)*($X$7:$X$78)*($F$7:$F$78))+SUMPRODUCT(($H$7:$H$78=AE69)*($X$7:$X$78)*($G$7:$G$78))</f>
        <v>1</v>
      </c>
      <c r="BE69" s="126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50.5</v>
      </c>
      <c r="BI69" s="126">
        <f>BH69/BH72</f>
        <v>0.98058252427184467</v>
      </c>
      <c r="BK69" s="21" t="str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50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52"/>
      <c r="CF69" s="152"/>
      <c r="CG69" s="152"/>
      <c r="CH69" s="152"/>
      <c r="CI69" s="152"/>
      <c r="CJ69" s="152"/>
      <c r="CK69" s="152"/>
      <c r="CL69" s="152"/>
      <c r="CM69" s="152"/>
      <c r="CN69" s="152"/>
      <c r="CO69" s="152"/>
      <c r="CP69" s="152"/>
      <c r="CQ69" s="152"/>
    </row>
    <row r="70" spans="1:95" x14ac:dyDescent="0.25">
      <c r="A70" s="16">
        <v>64</v>
      </c>
      <c r="B70" s="17" t="str">
        <f t="array" ref="B70">INDEX(T,18+INT(MOD(R70-1,7)),lang)</f>
        <v>Lør</v>
      </c>
      <c r="C70" s="18" t="str">
        <f t="array" ref="C70">INDEX(T,24+MONTH(R70),lang) &amp; " " &amp; DAY(R70) &amp; ", " &amp; YEAR(R70)</f>
        <v>Jun 27, 2026</v>
      </c>
      <c r="D70" s="120">
        <f t="shared" si="11"/>
        <v>0.125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Belgia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7 - 3</v>
      </c>
      <c r="P70" s="34">
        <f>L70*3+M70</f>
        <v>6</v>
      </c>
      <c r="R70" s="123">
        <f>DATE(2026,6,26)+TIME(16,0,0)+gmt_delta</f>
        <v>46200.125</v>
      </c>
      <c r="S70" s="127" t="str">
        <f t="shared" si="12"/>
        <v>New Zealand_lose</v>
      </c>
      <c r="T70" s="127" t="str">
        <f t="shared" si="13"/>
        <v>Belgia_win</v>
      </c>
      <c r="U70" s="123">
        <f t="shared" si="14"/>
        <v>0</v>
      </c>
      <c r="V70" s="123">
        <f t="shared" si="15"/>
        <v>0</v>
      </c>
      <c r="W70" s="123">
        <f t="shared" si="16"/>
        <v>0</v>
      </c>
      <c r="X70" s="123">
        <f t="shared" si="17"/>
        <v>0</v>
      </c>
      <c r="Y70" s="123">
        <f t="shared" si="18"/>
        <v>0</v>
      </c>
      <c r="Z70" s="123">
        <f t="shared" si="19"/>
        <v>0</v>
      </c>
      <c r="AA70" s="123">
        <f t="shared" si="20"/>
        <v>0</v>
      </c>
      <c r="AB70" s="123">
        <f t="shared" si="21"/>
        <v>-1</v>
      </c>
      <c r="AD70" s="123">
        <f>COUNTIF(AR68:AR71,CONCATENATE("&gt;=",AR70))</f>
        <v>4</v>
      </c>
      <c r="AE70" s="124" t="str">
        <f>VLOOKUP("Uzbekistan",T,lang,FALSE)</f>
        <v>Usbekistan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7</v>
      </c>
      <c r="AL70" s="123">
        <f>AI70-AJ70</f>
        <v>-6</v>
      </c>
      <c r="AM70" s="123">
        <f>AL70-AL72</f>
        <v>0</v>
      </c>
      <c r="AN70" s="123">
        <f>AF70*3+AG70</f>
        <v>1</v>
      </c>
      <c r="AO70" s="123">
        <f>AN70/AN72*10+BA70</f>
        <v>1.9805825242718447</v>
      </c>
      <c r="AP70" s="123">
        <f>AO70*10000000+BI70*100+AM70/AM72*10+AI70/AI72*1++IF(AQ70=0,ROW(),AQ70)/2000000</f>
        <v>19805923.401703548</v>
      </c>
      <c r="AQ70" s="126">
        <f>VLOOKUP(AE70,db_fifarank,2,FALSE)</f>
        <v>1465.34</v>
      </c>
      <c r="AR70" s="125">
        <f>AP70/AP72</f>
        <v>0.22006578810485686</v>
      </c>
      <c r="AT70" s="126">
        <f t="array" ref="AT70">SUMPRODUCT(($S$7:$S$78=AE70&amp;"_win")*($U$7:$U$78))+SUMPRODUCT(($T$7:$T$78=AE70&amp;"_win")*($U$7:$U$78))</f>
        <v>0</v>
      </c>
      <c r="AU70" s="126">
        <f t="array" ref="AU70">SUMPRODUCT(($S$7:$S$78=AE70&amp;"_draw")*($U$7:$U$78))+SUMPRODUCT(($T$7:$T$78=AE70&amp;"_draw")*($U$7:$U$78))</f>
        <v>1</v>
      </c>
      <c r="AV70" s="126">
        <f t="array" ref="AV70">SUMPRODUCT(($E$7:$E$78=AE70)*($U$7:$U$78)*($F$7:$F$78))+SUMPRODUCT(($H$7:$H$78=AE70)*($U$7:$U$78)*($G$7:$G$78))</f>
        <v>1</v>
      </c>
      <c r="AW70" s="126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50.5</v>
      </c>
      <c r="BA70" s="126">
        <f>AZ70/AZ72</f>
        <v>0.98058252427184467</v>
      </c>
      <c r="BB70" s="126">
        <f t="array" ref="BB70">SUMPRODUCT(($S$7:$S$78=AE70&amp;"_win")*($X$7:$X$78))+SUMPRODUCT(($T$7:$T$78=AE70&amp;"_win")*($X$7:$X$78))</f>
        <v>0</v>
      </c>
      <c r="BC70" s="126">
        <f t="array" ref="BC70">SUMPRODUCT(($S$7:$S$78=AE70&amp;"_draw")*($X$7:$X$78))+SUMPRODUCT(($T$7:$T$78=AE70&amp;"_draw")*($X$7:$X$78))</f>
        <v>1</v>
      </c>
      <c r="BD70" s="126">
        <f t="array" ref="BD70">SUMPRODUCT(($E$7:$E$78=AE70)*($X$7:$X$78)*($F$7:$F$78))+SUMPRODUCT(($H$7:$H$78=AE70)*($X$7:$X$78)*($G$7:$G$78))</f>
        <v>1</v>
      </c>
      <c r="BE70" s="126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50.5</v>
      </c>
      <c r="BI70" s="126">
        <f>BH70/BH72</f>
        <v>0.98058252427184467</v>
      </c>
      <c r="BK70" s="149">
        <v>87</v>
      </c>
      <c r="BL70" s="24" t="str">
        <f>AS68</f>
        <v>Portugal</v>
      </c>
      <c r="BM70" s="61">
        <v>3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3000</v>
      </c>
      <c r="BQ70" s="112"/>
      <c r="BW70" s="112"/>
    </row>
    <row r="71" spans="1:95" x14ac:dyDescent="0.25">
      <c r="A71" s="16">
        <v>65</v>
      </c>
      <c r="B71" s="17" t="str">
        <f t="array" ref="B71">INDEX(T,18+INT(MOD(R71-1,7)),lang)</f>
        <v>Lør</v>
      </c>
      <c r="C71" s="18" t="str">
        <f t="array" ref="C71">INDEX(T,24+MONTH(R71),lang) &amp; " " &amp; DAY(R71) &amp; ", " &amp; YEAR(R71)</f>
        <v>Jun 27, 2026</v>
      </c>
      <c r="D71" s="120">
        <f t="shared" ref="D71:D78" si="22">TIME(HOUR(R71),MINUTE(R71),0)</f>
        <v>0</v>
      </c>
      <c r="E71" s="78" t="str">
        <f>AE51</f>
        <v>Kapp Verde</v>
      </c>
      <c r="F71" s="19">
        <v>1</v>
      </c>
      <c r="G71" s="20">
        <v>1</v>
      </c>
      <c r="H71" s="80" t="str">
        <f>AE52</f>
        <v>Saudi-Arabia</v>
      </c>
      <c r="I71" s="69"/>
      <c r="J71" s="33" t="str">
        <f>VLOOKUP(3,AD68:AN71,2,FALSE)</f>
        <v>DR Kongo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2 - 8</v>
      </c>
      <c r="P71" s="34">
        <f>L71*3+M71</f>
        <v>1</v>
      </c>
      <c r="R71" s="123">
        <f>DATE(2026,6,26)+TIME(13,0,0)+gmt_delta</f>
        <v>46200</v>
      </c>
      <c r="S71" s="127" t="str">
        <f t="shared" ref="S71:S78" si="23">IF(OR(F71="",G71=""),"",IF(F71&gt;G71,E71&amp;"_win",IF(F71&lt;G71,E71&amp;"_lose",E71&amp;"_draw")))</f>
        <v>Kapp Verde_draw</v>
      </c>
      <c r="T71" s="127" t="str">
        <f t="shared" ref="T71:T102" si="24">IF(S71="","",IF(F71&lt;G71,H71&amp;"_win",IF(F71&gt;G71,H71&amp;"_lose",H71&amp;"_draw")))</f>
        <v>Saudi-Arabia_draw</v>
      </c>
      <c r="U71" s="123">
        <f t="shared" ref="U71:U78" si="25">IF(S71="",0,IF(VLOOKUP(E71,$AE$8:$AN$77,10,FALSE)=VLOOKUP(H71,$AE$8:$AN$77,10,FALSE),1,0))</f>
        <v>1</v>
      </c>
      <c r="V71" s="123">
        <f t="shared" ref="V71:V102" si="26">U71*F71</f>
        <v>1</v>
      </c>
      <c r="W71" s="123">
        <f t="shared" ref="W71:W78" si="27">U71*G71</f>
        <v>1</v>
      </c>
      <c r="X71" s="123">
        <f t="shared" ref="X71:X78" si="28">IF(S71="",0,IF(VLOOKUP(E71,$AE$8:$AO$77,11,FALSE)=VLOOKUP(H71,$AE$8:$AO$77,11,FALSE),1,0))</f>
        <v>1</v>
      </c>
      <c r="Y71" s="123">
        <f t="shared" ref="Y71:Y102" si="29">X71*F71</f>
        <v>1</v>
      </c>
      <c r="Z71" s="123">
        <f t="shared" ref="Z71:Z78" si="30">X71*G71</f>
        <v>1</v>
      </c>
      <c r="AA71" s="123">
        <f t="shared" ref="AA71:AA78" si="31">IF(OR(E71=my_team,H71=my_team),1,IF(INT(MATCH(E71,$AE$8:$AE$78,0)/6)=$AA$6,1,0))</f>
        <v>0</v>
      </c>
      <c r="AB71" s="123">
        <f t="shared" ref="AB71:AB78" si="32">IF(OR(F71="",G71=""),"",IF(F71&gt;G71,1,IF(F71&lt;G71,-1,0)))</f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7</v>
      </c>
      <c r="AJ71" s="123">
        <f>SUMIF($E$7:$E$78,$AE71,$G$7:$G$78) + SUMIF($H$7:$H$78,$AE71,$F$7:$F$78)</f>
        <v>3</v>
      </c>
      <c r="AL71" s="123">
        <f>AI71-AJ71</f>
        <v>4</v>
      </c>
      <c r="AM71" s="123">
        <f>AL71-AL72</f>
        <v>10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60000007.36751321</v>
      </c>
      <c r="AQ71" s="126">
        <f>VLOOKUP(AE71,db_fifarank,2,FALSE)</f>
        <v>1693.09</v>
      </c>
      <c r="AR71" s="125">
        <f>AP71/AP72</f>
        <v>0.66666666531151553</v>
      </c>
      <c r="AT71" s="126">
        <f t="array" ref="AT71">SUMPRODUCT(($S$7:$S$78=AE71&amp;"_win")*($U$7:$U$78))+SUMPRODUCT(($T$7:$T$78=AE71&amp;"_win")*($U$7:$U$78))</f>
        <v>0</v>
      </c>
      <c r="AU71" s="126">
        <f t="array" ref="AU71">SUMPRODUCT(($S$7:$S$78=AE71&amp;"_draw")*($U$7:$U$78))+SUMPRODUCT(($T$7:$T$78=AE71&amp;"_draw")*($U$7:$U$78))</f>
        <v>0</v>
      </c>
      <c r="AV71" s="126">
        <f t="array" ref="AV71">SUMPRODUCT(($E$7:$E$78=AE71)*($U$7:$U$78)*($F$7:$F$78))+SUMPRODUCT(($H$7:$H$78=AE71)*($U$7:$U$78)*($G$7:$G$78))</f>
        <v>0</v>
      </c>
      <c r="AW71" s="126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>
        <f t="array" ref="BB71">SUMPRODUCT(($S$7:$S$78=AE71&amp;"_win")*($X$7:$X$78))+SUMPRODUCT(($T$7:$T$78=AE71&amp;"_win")*($X$7:$X$78))</f>
        <v>0</v>
      </c>
      <c r="BC71" s="126">
        <f t="array" ref="BC71">SUMPRODUCT(($S$7:$S$78=AE71&amp;"_draw")*($X$7:$X$78))+SUMPRODUCT(($T$7:$T$78=AE71&amp;"_draw")*($X$7:$X$78))</f>
        <v>0</v>
      </c>
      <c r="BD71" s="126">
        <f t="array" ref="BD71">SUMPRODUCT(($E$7:$E$78=AE71)*($X$7:$X$78)*($F$7:$F$78))+SUMPRODUCT(($H$7:$H$78=AE71)*($X$7:$X$78)*($G$7:$G$78))</f>
        <v>0</v>
      </c>
      <c r="BE71" s="126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50"/>
      <c r="BL71" s="26" t="str">
        <f>IF(group_round_completed,VLOOKUP('3rd places'!J3,AK80:AS91,9,FALSE),"3rd Group D/E/I/J/L")</f>
        <v>Senegal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25">
      <c r="A72" s="16">
        <v>66</v>
      </c>
      <c r="B72" s="17" t="str">
        <f t="array" ref="B72">INDEX(T,18+INT(MOD(R72-1,7)),lang)</f>
        <v>Lør</v>
      </c>
      <c r="C72" s="18" t="str">
        <f t="array" ref="C72">INDEX(T,24+MONTH(R72),lang) &amp; " " &amp; DAY(R72) &amp; ", " &amp; YEAR(R72)</f>
        <v>Jun 27, 2026</v>
      </c>
      <c r="D72" s="120">
        <f t="shared" si="22"/>
        <v>0</v>
      </c>
      <c r="E72" s="78" t="str">
        <f>AE53</f>
        <v>Uruguay</v>
      </c>
      <c r="F72" s="19">
        <v>1</v>
      </c>
      <c r="G72" s="20">
        <v>2</v>
      </c>
      <c r="H72" s="80" t="str">
        <f>AE50</f>
        <v>Spania</v>
      </c>
      <c r="I72" s="69"/>
      <c r="J72" s="35" t="str">
        <f>VLOOKUP(4,AD68:AN71,2,FALSE)</f>
        <v>Usbekistan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1 - 7</v>
      </c>
      <c r="P72" s="37">
        <f>L72*3+M72</f>
        <v>1</v>
      </c>
      <c r="R72" s="123">
        <f>DATE(2026,6,26)+TIME(13,0,0)+gmt_delta</f>
        <v>46200</v>
      </c>
      <c r="S72" s="127" t="str">
        <f t="shared" si="23"/>
        <v>Uruguay_lose</v>
      </c>
      <c r="T72" s="127" t="str">
        <f t="shared" si="24"/>
        <v>Spania_win</v>
      </c>
      <c r="U72" s="123">
        <f t="shared" si="25"/>
        <v>0</v>
      </c>
      <c r="V72" s="123">
        <f t="shared" si="26"/>
        <v>0</v>
      </c>
      <c r="W72" s="123">
        <f t="shared" si="27"/>
        <v>0</v>
      </c>
      <c r="X72" s="123">
        <f t="shared" si="28"/>
        <v>0</v>
      </c>
      <c r="Y72" s="123">
        <f t="shared" si="29"/>
        <v>0</v>
      </c>
      <c r="Z72" s="123">
        <f t="shared" si="30"/>
        <v>0</v>
      </c>
      <c r="AA72" s="123">
        <f t="shared" si="31"/>
        <v>0</v>
      </c>
      <c r="AB72" s="123">
        <f t="shared" si="32"/>
        <v>-1</v>
      </c>
      <c r="AF72" s="123">
        <f>MAX(AF68:AF71)-MIN(AF68:AF71)+1</f>
        <v>4</v>
      </c>
      <c r="AG72" s="123">
        <f>MAX(AG68:AG71)-MIN(AG68:AG71)+1</f>
        <v>2</v>
      </c>
      <c r="AH72" s="123">
        <f>MAX(AH68:AH71)-MIN(AH68:AH71)+1</f>
        <v>3</v>
      </c>
      <c r="AI72" s="123">
        <f>MAX(AI68:AI71)+1</f>
        <v>10</v>
      </c>
      <c r="AL72" s="123">
        <f>MIN(AL68:AL71)</f>
        <v>-6</v>
      </c>
      <c r="AM72" s="123">
        <f>MAX(AM68:AM71)+1</f>
        <v>15</v>
      </c>
      <c r="AN72" s="123">
        <f>MAX(AN68:AN71)+1</f>
        <v>10</v>
      </c>
      <c r="AO72" s="123">
        <f>MAX(AO68:AO71)+1</f>
        <v>10</v>
      </c>
      <c r="AP72" s="123">
        <f>MAX(AP68:AP71)+1</f>
        <v>90000011.234215245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25">
      <c r="A73" s="16">
        <v>67</v>
      </c>
      <c r="B73" s="17" t="str">
        <f t="array" ref="B73">INDEX(T,18+INT(MOD(R73-1,7)),lang)</f>
        <v>Lør</v>
      </c>
      <c r="C73" s="18" t="str">
        <f t="array" ref="C73">INDEX(T,24+MONTH(R73),lang) &amp; " " &amp; DAY(R73) &amp; ", " &amp; YEAR(R73)</f>
        <v>Jun 27, 2026</v>
      </c>
      <c r="D73" s="120">
        <f t="shared" si="22"/>
        <v>0.875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23"/>
        <v>Panama_lose</v>
      </c>
      <c r="T73" s="127" t="str">
        <f t="shared" si="24"/>
        <v>England_win</v>
      </c>
      <c r="U73" s="123">
        <f t="shared" si="25"/>
        <v>0</v>
      </c>
      <c r="V73" s="123">
        <f t="shared" si="26"/>
        <v>0</v>
      </c>
      <c r="W73" s="123">
        <f t="shared" si="27"/>
        <v>0</v>
      </c>
      <c r="X73" s="123">
        <f t="shared" si="28"/>
        <v>0</v>
      </c>
      <c r="Y73" s="123">
        <f t="shared" si="29"/>
        <v>0</v>
      </c>
      <c r="Z73" s="123">
        <f t="shared" si="30"/>
        <v>0</v>
      </c>
      <c r="AA73" s="123">
        <f t="shared" si="31"/>
        <v>0</v>
      </c>
      <c r="AB73" s="123">
        <f t="shared" si="32"/>
        <v>-1</v>
      </c>
    </row>
    <row r="74" spans="1:95" x14ac:dyDescent="0.25">
      <c r="A74" s="16">
        <v>68</v>
      </c>
      <c r="B74" s="17" t="str">
        <f t="array" ref="B74">INDEX(T,18+INT(MOD(R74-1,7)),lang)</f>
        <v>Lør</v>
      </c>
      <c r="C74" s="18" t="str">
        <f t="array" ref="C74">INDEX(T,24+MONTH(R74),lang) &amp; " " &amp; DAY(R74) &amp; ", " &amp; YEAR(R74)</f>
        <v>Jun 27, 2026</v>
      </c>
      <c r="D74" s="120">
        <f t="shared" si="22"/>
        <v>0.875</v>
      </c>
      <c r="E74" s="78" t="str">
        <f>AE75</f>
        <v>Kroatia</v>
      </c>
      <c r="F74" s="19">
        <v>3</v>
      </c>
      <c r="G74" s="20">
        <v>0</v>
      </c>
      <c r="H74" s="80" t="str">
        <f>AE76</f>
        <v>Ghana</v>
      </c>
      <c r="I74" s="69"/>
      <c r="J74" s="38" t="str">
        <f t="array" ref="J74">INDEX(T,9,lang) &amp; " " &amp; "L"</f>
        <v>Gruppe L</v>
      </c>
      <c r="K74" s="94" t="str">
        <f t="array" ref="K74">INDEX(T,10,lang)</f>
        <v>S</v>
      </c>
      <c r="L74" s="94" t="str">
        <f t="array" ref="L74">INDEX(T,11,lang)</f>
        <v>V</v>
      </c>
      <c r="M74" s="94" t="str">
        <f t="array" ref="M74">INDEX(T,12,lang)</f>
        <v>T</v>
      </c>
      <c r="N74" s="94" t="str">
        <f t="array" ref="N74">INDEX(T,13,lang)</f>
        <v>U</v>
      </c>
      <c r="O74" s="94" t="str">
        <f t="array" ref="O74">INDEX(T,14,lang)</f>
        <v>Mål</v>
      </c>
      <c r="P74" s="95" t="str">
        <f t="array" ref="P74">INDEX(T,15,lang)</f>
        <v>P</v>
      </c>
      <c r="R74" s="123">
        <f>DATE(2026,6,27)+TIME(10,0,0)+gmt_delta</f>
        <v>46200.875</v>
      </c>
      <c r="S74" s="127" t="str">
        <f t="shared" si="23"/>
        <v>Kroatia_win</v>
      </c>
      <c r="T74" s="127" t="str">
        <f t="shared" si="24"/>
        <v>Ghana_lose</v>
      </c>
      <c r="U74" s="123">
        <f t="shared" si="25"/>
        <v>0</v>
      </c>
      <c r="V74" s="123">
        <f t="shared" si="26"/>
        <v>0</v>
      </c>
      <c r="W74" s="123">
        <f t="shared" si="27"/>
        <v>0</v>
      </c>
      <c r="X74" s="123">
        <f t="shared" si="28"/>
        <v>0</v>
      </c>
      <c r="Y74" s="123">
        <f t="shared" si="29"/>
        <v>0</v>
      </c>
      <c r="Z74" s="123">
        <f t="shared" si="30"/>
        <v>0</v>
      </c>
      <c r="AA74" s="123">
        <f t="shared" si="31"/>
        <v>0</v>
      </c>
      <c r="AB74" s="123">
        <f t="shared" si="32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1</v>
      </c>
      <c r="AL74" s="123">
        <f>AI74-AJ74</f>
        <v>6</v>
      </c>
      <c r="AM74" s="123">
        <f>AL74-AL78</f>
        <v>12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90000010.106682211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>
        <f t="array" ref="AT74">SUMPRODUCT(($S$7:$S$78=AE74&amp;"_win")*($U$7:$U$78))+SUMPRODUCT(($T$7:$T$78=AE74&amp;"_win")*($U$7:$U$78))</f>
        <v>0</v>
      </c>
      <c r="AU74" s="126">
        <f t="array" ref="AU74">SUMPRODUCT(($S$7:$S$78=AE74&amp;"_draw")*($U$7:$U$78))+SUMPRODUCT(($T$7:$T$78=AE74&amp;"_draw")*($U$7:$U$78))</f>
        <v>0</v>
      </c>
      <c r="AV74" s="126">
        <f t="array" ref="AV74">SUMPRODUCT(($E$7:$E$78=AE74)*($U$7:$U$78)*($F$7:$F$78))+SUMPRODUCT(($H$7:$H$78=AE74)*($U$7:$U$78)*($G$7:$G$78))</f>
        <v>0</v>
      </c>
      <c r="AW74" s="126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>
        <f t="array" ref="BB74">SUMPRODUCT(($S$7:$S$78=AE74&amp;"_win")*($X$7:$X$78))+SUMPRODUCT(($T$7:$T$78=AE74&amp;"_win")*($X$7:$X$78))</f>
        <v>0</v>
      </c>
      <c r="BC74" s="126">
        <f t="array" ref="BC74">SUMPRODUCT(($S$7:$S$78=AE74&amp;"_draw")*($X$7:$X$78))+SUMPRODUCT(($T$7:$T$78=AE74&amp;"_draw")*($X$7:$X$78))</f>
        <v>0</v>
      </c>
      <c r="BD74" s="126">
        <f t="array" ref="BD74">SUMPRODUCT(($E$7:$E$78=AE74)*($X$7:$X$78)*($F$7:$F$78))+SUMPRODUCT(($H$7:$H$78=AE74)*($X$7:$X$78)*($G$7:$G$78))</f>
        <v>0</v>
      </c>
      <c r="BE74" s="126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>
        <f t="array" ref="B75">INDEX(T,18+INT(MOD(R75-1,7)),lang)</f>
        <v>Søn</v>
      </c>
      <c r="C75" s="18" t="str">
        <f t="array" ref="C75">INDEX(T,24+MONTH(R75),lang) &amp; " " &amp; DAY(R75) &amp; ", " &amp; YEAR(R75)</f>
        <v>Jun 28, 2026</v>
      </c>
      <c r="D75" s="120">
        <f t="shared" si="22"/>
        <v>8.3333333333333329E-2</v>
      </c>
      <c r="E75" s="78" t="str">
        <f>AE63</f>
        <v>Algerie</v>
      </c>
      <c r="F75" s="19">
        <v>1</v>
      </c>
      <c r="G75" s="20">
        <v>2</v>
      </c>
      <c r="H75" s="80" t="str">
        <f>AE64</f>
        <v>Østerrike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7 - 1</v>
      </c>
      <c r="P75" s="32">
        <f>L75*3+M75</f>
        <v>9</v>
      </c>
      <c r="R75" s="123">
        <f>DATE(2026,6,27)+TIME(15,0,0)+gmt_delta</f>
        <v>46201.083333333336</v>
      </c>
      <c r="S75" s="127" t="str">
        <f t="shared" si="23"/>
        <v>Algerie_lose</v>
      </c>
      <c r="T75" s="127" t="str">
        <f t="shared" si="24"/>
        <v>Østerrike_win</v>
      </c>
      <c r="U75" s="123">
        <f t="shared" si="25"/>
        <v>0</v>
      </c>
      <c r="V75" s="123">
        <f t="shared" si="26"/>
        <v>0</v>
      </c>
      <c r="W75" s="123">
        <f t="shared" si="27"/>
        <v>0</v>
      </c>
      <c r="X75" s="123">
        <f t="shared" si="28"/>
        <v>0</v>
      </c>
      <c r="Y75" s="123">
        <f t="shared" si="29"/>
        <v>0</v>
      </c>
      <c r="Z75" s="123">
        <f t="shared" si="30"/>
        <v>0</v>
      </c>
      <c r="AA75" s="123">
        <f t="shared" si="31"/>
        <v>0</v>
      </c>
      <c r="AB75" s="123">
        <f t="shared" si="32"/>
        <v>-1</v>
      </c>
      <c r="AD75" s="123">
        <f>COUNTIF(AR74:AR77,CONCATENATE("&gt;=",AR75))</f>
        <v>2</v>
      </c>
      <c r="AE75" s="124" t="str">
        <f>VLOOKUP("Croatia",T,lang,FALSE)</f>
        <v>Kroatia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7</v>
      </c>
      <c r="AJ75" s="123">
        <f>SUMIF($E$7:$E$78,$AE75,$G$7:$G$78) + SUMIF($H$7:$H$78,$AE75,$F$7:$F$78)</f>
        <v>2</v>
      </c>
      <c r="AL75" s="123">
        <f>AI75-AJ75</f>
        <v>5</v>
      </c>
      <c r="AM75" s="123">
        <f>AL75-AL78</f>
        <v>11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60000009.337397002</v>
      </c>
      <c r="AQ75" s="126">
        <f>VLOOKUP(AE75,db_fifarank,2,FALSE)</f>
        <v>1717.07</v>
      </c>
      <c r="AR75" s="125">
        <f>AP75/AP78</f>
        <v>0.66666668814379948</v>
      </c>
      <c r="AS75" s="125" t="str">
        <f>IF(SUM(AF74:AH77)=12,J76,"2L")</f>
        <v>Kroatia</v>
      </c>
      <c r="AT75" s="126">
        <f t="array" ref="AT75">SUMPRODUCT(($S$7:$S$78=AE75&amp;"_win")*($U$7:$U$78))+SUMPRODUCT(($T$7:$T$78=AE75&amp;"_win")*($U$7:$U$78))</f>
        <v>0</v>
      </c>
      <c r="AU75" s="126">
        <f t="array" ref="AU75">SUMPRODUCT(($S$7:$S$78=AE75&amp;"_draw")*($U$7:$U$78))+SUMPRODUCT(($T$7:$T$78=AE75&amp;"_draw")*($U$7:$U$78))</f>
        <v>0</v>
      </c>
      <c r="AV75" s="126">
        <f t="array" ref="AV75">SUMPRODUCT(($E$7:$E$78=AE75)*($U$7:$U$78)*($F$7:$F$78))+SUMPRODUCT(($H$7:$H$78=AE75)*($U$7:$U$78)*($G$7:$G$78))</f>
        <v>0</v>
      </c>
      <c r="AW75" s="126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>
        <f t="array" ref="BB75">SUMPRODUCT(($S$7:$S$78=AE75&amp;"_win")*($X$7:$X$78))+SUMPRODUCT(($T$7:$T$78=AE75&amp;"_win")*($X$7:$X$78))</f>
        <v>0</v>
      </c>
      <c r="BC75" s="126">
        <f t="array" ref="BC75">SUMPRODUCT(($S$7:$S$78=AE75&amp;"_draw")*($X$7:$X$78))+SUMPRODUCT(($T$7:$T$78=AE75&amp;"_draw")*($X$7:$X$78))</f>
        <v>0</v>
      </c>
      <c r="BD75" s="126">
        <f t="array" ref="BD75">SUMPRODUCT(($E$7:$E$78=AE75)*($X$7:$X$78)*($F$7:$F$78))+SUMPRODUCT(($H$7:$H$78=AE75)*($X$7:$X$78)*($G$7:$G$78))</f>
        <v>0</v>
      </c>
      <c r="BE75" s="126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>
        <f t="array" ref="B76">INDEX(T,18+INT(MOD(R76-1,7)),lang)</f>
        <v>Søn</v>
      </c>
      <c r="C76" s="18" t="str">
        <f t="array" ref="C76">INDEX(T,24+MONTH(R76),lang) &amp; " " &amp; DAY(R76) &amp; ", " &amp; YEAR(R76)</f>
        <v>Jun 28, 2026</v>
      </c>
      <c r="D76" s="120">
        <f t="shared" si="22"/>
        <v>8.3333333333333329E-2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Kroatia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7 - 2</v>
      </c>
      <c r="P76" s="34">
        <f>L76*3+M76</f>
        <v>6</v>
      </c>
      <c r="R76" s="123">
        <f>DATE(2026,6,27)+TIME(15,0,0)+gmt_delta</f>
        <v>46201.083333333336</v>
      </c>
      <c r="S76" s="127" t="str">
        <f t="shared" si="23"/>
        <v>Jordan_lose</v>
      </c>
      <c r="T76" s="127" t="str">
        <f t="shared" si="24"/>
        <v>Argentina_win</v>
      </c>
      <c r="U76" s="123">
        <f t="shared" si="25"/>
        <v>0</v>
      </c>
      <c r="V76" s="123">
        <f t="shared" si="26"/>
        <v>0</v>
      </c>
      <c r="W76" s="123">
        <f t="shared" si="27"/>
        <v>0</v>
      </c>
      <c r="X76" s="123">
        <f t="shared" si="28"/>
        <v>0</v>
      </c>
      <c r="Y76" s="123">
        <f t="shared" si="29"/>
        <v>0</v>
      </c>
      <c r="Z76" s="123">
        <f t="shared" si="30"/>
        <v>0</v>
      </c>
      <c r="AA76" s="123">
        <f t="shared" si="31"/>
        <v>0</v>
      </c>
      <c r="AB76" s="123">
        <f t="shared" si="32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7</v>
      </c>
      <c r="AL76" s="123">
        <f>AI76-AJ76</f>
        <v>-5</v>
      </c>
      <c r="AM76" s="123">
        <f>AL76-AL78</f>
        <v>1</v>
      </c>
      <c r="AN76" s="123">
        <f>AF76*3+AG76</f>
        <v>3</v>
      </c>
      <c r="AO76" s="123">
        <f>AN76/AN78*10+BA76</f>
        <v>3</v>
      </c>
      <c r="AP76" s="123">
        <f>AO76*10000000+BI76*100+AM76/AM78*10+AI76/AI78*1++IF(AQ76=0,ROW(),AQ76)/2000000</f>
        <v>30000001.019903924</v>
      </c>
      <c r="AQ76" s="126">
        <f>VLOOKUP(AE76,db_fifarank,2,FALSE)</f>
        <v>1346.31</v>
      </c>
      <c r="AR76" s="125">
        <f>AP76/AP78</f>
        <v>0.33333330352974277</v>
      </c>
      <c r="AT76" s="126">
        <f t="array" ref="AT76">SUMPRODUCT(($S$7:$S$78=AE76&amp;"_win")*($U$7:$U$78))+SUMPRODUCT(($T$7:$T$78=AE76&amp;"_win")*($U$7:$U$78))</f>
        <v>0</v>
      </c>
      <c r="AU76" s="126">
        <f t="array" ref="AU76">SUMPRODUCT(($S$7:$S$78=AE76&amp;"_draw")*($U$7:$U$78))+SUMPRODUCT(($T$7:$T$78=AE76&amp;"_draw")*($U$7:$U$78))</f>
        <v>0</v>
      </c>
      <c r="AV76" s="126">
        <f t="array" ref="AV76">SUMPRODUCT(($E$7:$E$78=AE76)*($U$7:$U$78)*($F$7:$F$78))+SUMPRODUCT(($H$7:$H$78=AE76)*($U$7:$U$78)*($G$7:$G$78))</f>
        <v>0</v>
      </c>
      <c r="AW76" s="126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>
        <f t="array" ref="BB76">SUMPRODUCT(($S$7:$S$78=AE76&amp;"_win")*($X$7:$X$78))+SUMPRODUCT(($T$7:$T$78=AE76&amp;"_win")*($X$7:$X$78))</f>
        <v>0</v>
      </c>
      <c r="BC76" s="126">
        <f t="array" ref="BC76">SUMPRODUCT(($S$7:$S$78=AE76&amp;"_draw")*($X$7:$X$78))+SUMPRODUCT(($T$7:$T$78=AE76&amp;"_draw")*($X$7:$X$78))</f>
        <v>0</v>
      </c>
      <c r="BD76" s="126">
        <f t="array" ref="BD76">SUMPRODUCT(($E$7:$E$78=AE76)*($X$7:$X$78)*($F$7:$F$78))+SUMPRODUCT(($H$7:$H$78=AE76)*($X$7:$X$78)*($G$7:$G$78))</f>
        <v>0</v>
      </c>
      <c r="BE76" s="126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>
        <f t="array" ref="B77">INDEX(T,18+INT(MOD(R77-1,7)),lang)</f>
        <v>Lør</v>
      </c>
      <c r="C77" s="18" t="str">
        <f t="array" ref="C77">INDEX(T,24+MONTH(R77),lang) &amp; " " &amp; DAY(R77) &amp; ", " &amp; YEAR(R77)</f>
        <v>Jun 27, 2026</v>
      </c>
      <c r="D77" s="120">
        <f t="shared" si="22"/>
        <v>0.97916666666666663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2 - 7</v>
      </c>
      <c r="P77" s="34">
        <f>L77*3+M77</f>
        <v>3</v>
      </c>
      <c r="R77" s="123">
        <f>DATE(2026,6,27)+TIME(12,30,0)+gmt_delta</f>
        <v>46200.979166666672</v>
      </c>
      <c r="S77" s="127" t="str">
        <f t="shared" si="23"/>
        <v>Colombia_lose</v>
      </c>
      <c r="T77" s="127" t="str">
        <f t="shared" si="24"/>
        <v>Portugal_win</v>
      </c>
      <c r="U77" s="123">
        <f t="shared" si="25"/>
        <v>0</v>
      </c>
      <c r="V77" s="123">
        <f t="shared" si="26"/>
        <v>0</v>
      </c>
      <c r="W77" s="123">
        <f t="shared" si="27"/>
        <v>0</v>
      </c>
      <c r="X77" s="123">
        <f t="shared" si="28"/>
        <v>0</v>
      </c>
      <c r="Y77" s="123">
        <f t="shared" si="29"/>
        <v>0</v>
      </c>
      <c r="Z77" s="123">
        <f t="shared" si="30"/>
        <v>0</v>
      </c>
      <c r="AA77" s="123">
        <f t="shared" si="31"/>
        <v>0</v>
      </c>
      <c r="AB77" s="123">
        <f t="shared" si="32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7</v>
      </c>
      <c r="AL77" s="123">
        <f>AI77-AJ77</f>
        <v>-6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0.12577031999999999</v>
      </c>
      <c r="AQ77" s="126">
        <f>VLOOKUP(AE77,db_fifarank,2,FALSE)</f>
        <v>1540.64</v>
      </c>
      <c r="AR77" s="125">
        <f>AP77/AP78</f>
        <v>1.3974478275443452E-9</v>
      </c>
      <c r="AT77" s="126">
        <f t="array" ref="AT77">SUMPRODUCT(($S$7:$S$78=AE77&amp;"_win")*($U$7:$U$78))+SUMPRODUCT(($T$7:$T$78=AE77&amp;"_win")*($U$7:$U$78))</f>
        <v>0</v>
      </c>
      <c r="AU77" s="126">
        <f t="array" ref="AU77">SUMPRODUCT(($S$7:$S$78=AE77&amp;"_draw")*($U$7:$U$78))+SUMPRODUCT(($T$7:$T$78=AE77&amp;"_draw")*($U$7:$U$78))</f>
        <v>0</v>
      </c>
      <c r="AV77" s="126">
        <f t="array" ref="AV77">SUMPRODUCT(($E$7:$E$78=AE77)*($U$7:$U$78)*($F$7:$F$78))+SUMPRODUCT(($H$7:$H$78=AE77)*($U$7:$U$78)*($G$7:$G$78))</f>
        <v>0</v>
      </c>
      <c r="AW77" s="126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>
        <f t="array" ref="BB77">SUMPRODUCT(($S$7:$S$78=AE77&amp;"_win")*($X$7:$X$78))+SUMPRODUCT(($T$7:$T$78=AE77&amp;"_win")*($X$7:$X$78))</f>
        <v>0</v>
      </c>
      <c r="BC77" s="126">
        <f t="array" ref="BC77">SUMPRODUCT(($S$7:$S$78=AE77&amp;"_draw")*($X$7:$X$78))+SUMPRODUCT(($T$7:$T$78=AE77&amp;"_draw")*($X$7:$X$78))</f>
        <v>0</v>
      </c>
      <c r="BD77" s="126">
        <f t="array" ref="BD77">SUMPRODUCT(($E$7:$E$78=AE77)*($X$7:$X$78)*($F$7:$F$78))+SUMPRODUCT(($H$7:$H$78=AE77)*($X$7:$X$78)*($G$7:$G$78))</f>
        <v>0</v>
      </c>
      <c r="BE77" s="126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>
        <f t="array" ref="B78">INDEX(T,18+INT(MOD(R78-1,7)),lang)</f>
        <v>Lør</v>
      </c>
      <c r="C78" s="18" t="str">
        <f t="array" ref="C78">INDEX(T,24+MONTH(R78),lang) &amp; " " &amp; DAY(R78) &amp; ", " &amp; YEAR(R78)</f>
        <v>Jun 27, 2026</v>
      </c>
      <c r="D78" s="120">
        <f t="shared" si="22"/>
        <v>0.97916666666666663</v>
      </c>
      <c r="E78" s="78" t="str">
        <f>AE69</f>
        <v>DR Kongo</v>
      </c>
      <c r="F78" s="19">
        <v>1</v>
      </c>
      <c r="G78" s="20">
        <v>1</v>
      </c>
      <c r="H78" s="80" t="str">
        <f>AE70</f>
        <v>Usbekistan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1 - 7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23"/>
        <v>DR Kongo_draw</v>
      </c>
      <c r="T78" s="127" t="str">
        <f t="shared" si="24"/>
        <v>Usbekistan_draw</v>
      </c>
      <c r="U78" s="123">
        <f t="shared" si="25"/>
        <v>1</v>
      </c>
      <c r="V78" s="123">
        <f t="shared" si="26"/>
        <v>1</v>
      </c>
      <c r="W78" s="123">
        <f t="shared" si="27"/>
        <v>1</v>
      </c>
      <c r="X78" s="123">
        <f t="shared" si="28"/>
        <v>1</v>
      </c>
      <c r="Y78" s="123">
        <f t="shared" si="29"/>
        <v>1</v>
      </c>
      <c r="Z78" s="123">
        <f t="shared" si="30"/>
        <v>1</v>
      </c>
      <c r="AA78" s="123">
        <f t="shared" si="31"/>
        <v>0</v>
      </c>
      <c r="AB78" s="123">
        <f t="shared" si="32"/>
        <v>0</v>
      </c>
      <c r="AF78" s="123">
        <f>MAX(AF74:AF77)-MIN(AF74:AF77)+1</f>
        <v>4</v>
      </c>
      <c r="AG78" s="123">
        <f>MAX(AG74:AG77)-MIN(AG74:AG77)+1</f>
        <v>1</v>
      </c>
      <c r="AH78" s="123">
        <f>MAX(AH74:AH77)-MIN(AH74:AH77)+1</f>
        <v>4</v>
      </c>
      <c r="AI78" s="123">
        <f>MAX(AI74:AI77)+1</f>
        <v>8</v>
      </c>
      <c r="AL78" s="123">
        <f>MIN(AL74:AL77)</f>
        <v>-6</v>
      </c>
      <c r="AM78" s="123">
        <f>MAX(AM74:AM77)+1</f>
        <v>13</v>
      </c>
      <c r="AN78" s="123">
        <f>MAX(AN74:AN77)+1</f>
        <v>10</v>
      </c>
      <c r="AO78" s="123">
        <f>MAX(AO74:AO77)+1</f>
        <v>10</v>
      </c>
      <c r="AP78" s="123">
        <f>MAX(AP74:AP77)+1</f>
        <v>90000011.106682211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>
        <f t="array" ref="K80">INDEX(T,10,lang)</f>
        <v>S</v>
      </c>
      <c r="L80" s="94" t="str">
        <f t="array" ref="L80">INDEX(T,11,lang)</f>
        <v>V</v>
      </c>
      <c r="M80" s="94" t="str">
        <f t="array" ref="M80">INDEX(T,12,lang)</f>
        <v>T</v>
      </c>
      <c r="N80" s="94" t="str">
        <f t="array" ref="N80">INDEX(T,13,lang)</f>
        <v>U</v>
      </c>
      <c r="O80" s="94" t="str">
        <f t="array" ref="O80">INDEX(T,14,lang)</f>
        <v>Mål</v>
      </c>
      <c r="P80" s="95" t="str">
        <f t="array" ref="P80">INDEX(T,15,lang)</f>
        <v>P</v>
      </c>
      <c r="AD80" s="123">
        <f t="shared" ref="AD80:AD91" si="33">COUNTIF($AP$80:$AP$91,CONCATENATE("&gt;=",AP80))</f>
        <v>1</v>
      </c>
      <c r="AE80" s="124" t="str">
        <f>J11</f>
        <v>Sør-Korea</v>
      </c>
      <c r="AF80" s="123">
        <f t="shared" ref="AF80:AF91" si="34">VLOOKUP($AE80,$AE$8:$AQ$78,2,FALSE)</f>
        <v>1</v>
      </c>
      <c r="AG80" s="123">
        <f t="shared" ref="AG80:AG91" si="35">VLOOKUP($AE80,$AE$8:$AQ$78,3,FALSE)</f>
        <v>1</v>
      </c>
      <c r="AH80" s="123">
        <f t="shared" ref="AH80:AH91" si="36">VLOOKUP($AE80,$AE$8:$AQ$78,4,FALSE)</f>
        <v>1</v>
      </c>
      <c r="AI80" s="123">
        <f t="shared" ref="AI80:AI91" si="37">VLOOKUP($AE80,$AE$8:$AQ$78,5,FALSE)</f>
        <v>4</v>
      </c>
      <c r="AJ80" s="123">
        <f t="shared" ref="AJ80:AJ91" si="38">VLOOKUP($AE80,$AE$8:$AQ$78,6,FALSE)</f>
        <v>3</v>
      </c>
      <c r="AK80" s="123" t="s">
        <v>18</v>
      </c>
      <c r="AL80" s="123">
        <f t="shared" ref="AL80:AL91" si="39">VLOOKUP($AE80,$AE$8:$AQ$78,8,FALSE)</f>
        <v>1</v>
      </c>
      <c r="AM80" s="123">
        <f t="shared" ref="AM80:AM91" si="40">AL80-$AL$92</f>
        <v>7</v>
      </c>
      <c r="AN80" s="123">
        <f t="shared" ref="AN80:AN91" si="41">VLOOKUP($AE80,$AE$8:$AQ$78,10,FALSE)</f>
        <v>4</v>
      </c>
      <c r="AP80" s="123">
        <f>AN80/AN92*10000+AM80/AM92*1000+AI80/AI92*100+IF(AQ80=0,ROW(),AQ80)/2000000</f>
        <v>8941.6674609966667</v>
      </c>
      <c r="AQ80" s="126">
        <f t="shared" ref="AQ80:AQ91" si="42">VLOOKUP($AE80,$AE$8:$AQ$78,13,FALSE)</f>
        <v>1588.66</v>
      </c>
      <c r="AR80" s="125" t="str">
        <f>IF(AD80&lt;=8,RIGHT(AK80,1),"")</f>
        <v>A</v>
      </c>
      <c r="AS80" s="129" t="str">
        <f t="shared" ref="AS80:AS91" si="43">IF(AD80&lt;=8,AE80,"")</f>
        <v>Sør-Korea</v>
      </c>
      <c r="AT80" s="130" t="str">
        <f>"Ⓐ "&amp;AE80</f>
        <v>Ⓐ Sør-Korea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Ⓐ Sør-Korea</v>
      </c>
      <c r="K81" s="97">
        <f t="shared" ref="K81:K92" si="44"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4 - 3</v>
      </c>
      <c r="P81" s="98">
        <f t="shared" ref="P81:P92" si="45">L81*3+M81</f>
        <v>4</v>
      </c>
      <c r="AD81" s="123">
        <f t="shared" si="33"/>
        <v>4</v>
      </c>
      <c r="AE81" s="124" t="str">
        <f>J17</f>
        <v>Bosnia-Hercegovina</v>
      </c>
      <c r="AF81" s="123">
        <f t="shared" si="34"/>
        <v>1</v>
      </c>
      <c r="AG81" s="123">
        <f t="shared" si="35"/>
        <v>1</v>
      </c>
      <c r="AH81" s="123">
        <f t="shared" si="36"/>
        <v>1</v>
      </c>
      <c r="AI81" s="123">
        <f t="shared" si="37"/>
        <v>4</v>
      </c>
      <c r="AJ81" s="123">
        <f t="shared" si="38"/>
        <v>4</v>
      </c>
      <c r="AK81" s="123" t="s">
        <v>19</v>
      </c>
      <c r="AL81" s="123">
        <f t="shared" si="39"/>
        <v>0</v>
      </c>
      <c r="AM81" s="123">
        <f t="shared" si="40"/>
        <v>6</v>
      </c>
      <c r="AN81" s="123">
        <f t="shared" si="41"/>
        <v>4</v>
      </c>
      <c r="AP81" s="123">
        <f>AN81/AN92*10000+AM81/AM92*1000+AI81/AI92*100+IF(AQ81=0,ROW(),AQ81)/2000000</f>
        <v>8816.6673595866669</v>
      </c>
      <c r="AQ81" s="126">
        <f t="shared" si="42"/>
        <v>1385.84</v>
      </c>
      <c r="AR81" s="125" t="str">
        <f t="shared" ref="AR81:AR91" si="46">AR80&amp;IF(AD81&lt;=8,RIGHT(AK81,1),"")</f>
        <v>AB</v>
      </c>
      <c r="AS81" s="129" t="str">
        <f t="shared" si="43"/>
        <v>Bosnia-Hercegovina</v>
      </c>
      <c r="AT81" s="130" t="str">
        <f>"Ⓑ "&amp;AE81</f>
        <v>Ⓑ Bosnia-Hercegovina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Ⓘ Senegal</v>
      </c>
      <c r="K82" s="100">
        <f t="shared" si="44"/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5 - 5</v>
      </c>
      <c r="P82" s="101">
        <f t="shared" si="45"/>
        <v>4</v>
      </c>
      <c r="AD82" s="123">
        <f t="shared" si="33"/>
        <v>8</v>
      </c>
      <c r="AE82" s="124" t="str">
        <f>J23</f>
        <v>Skottland</v>
      </c>
      <c r="AF82" s="123">
        <f t="shared" si="34"/>
        <v>1</v>
      </c>
      <c r="AG82" s="123">
        <f t="shared" si="35"/>
        <v>0</v>
      </c>
      <c r="AH82" s="123">
        <f t="shared" si="36"/>
        <v>2</v>
      </c>
      <c r="AI82" s="123">
        <f t="shared" si="37"/>
        <v>2</v>
      </c>
      <c r="AJ82" s="123">
        <f t="shared" si="38"/>
        <v>5</v>
      </c>
      <c r="AK82" s="123" t="s">
        <v>20</v>
      </c>
      <c r="AL82" s="123">
        <f t="shared" si="39"/>
        <v>-3</v>
      </c>
      <c r="AM82" s="123">
        <f t="shared" si="40"/>
        <v>3</v>
      </c>
      <c r="AN82" s="123">
        <f t="shared" si="41"/>
        <v>3</v>
      </c>
      <c r="AP82" s="123">
        <f>AN82/AN92*10000+AM82/AM92*1000+AI82/AI92*100+IF(AQ82=0,ROW(),AQ82)/2000000</f>
        <v>6408.3340825083333</v>
      </c>
      <c r="AQ82" s="126">
        <f t="shared" si="42"/>
        <v>1498.35</v>
      </c>
      <c r="AR82" s="125" t="str">
        <f t="shared" si="46"/>
        <v>ABC</v>
      </c>
      <c r="AS82" s="129" t="str">
        <f t="shared" si="43"/>
        <v>Skottland</v>
      </c>
      <c r="AT82" s="130" t="str">
        <f>"Ⓒ "&amp;AE82</f>
        <v>Ⓒ Skottland</v>
      </c>
    </row>
    <row r="83" spans="1:46" ht="15" customHeight="1" x14ac:dyDescent="0.25">
      <c r="A83" s="73"/>
      <c r="B83" s="73"/>
      <c r="C83" s="169" t="s">
        <v>21</v>
      </c>
      <c r="D83" s="160"/>
      <c r="E83" s="160"/>
      <c r="F83" s="160"/>
      <c r="G83" s="161"/>
      <c r="H83" s="75"/>
      <c r="I83" s="69"/>
      <c r="J83" s="99" t="str">
        <f>VLOOKUP(3,$AD$80:$AT$91,17,FALSE)</f>
        <v>Ⓔ Elfenbenskysten</v>
      </c>
      <c r="K83" s="100">
        <f t="shared" si="44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4 - 4</v>
      </c>
      <c r="P83" s="101">
        <f t="shared" si="45"/>
        <v>4</v>
      </c>
      <c r="AD83" s="123">
        <f t="shared" si="33"/>
        <v>10</v>
      </c>
      <c r="AE83" s="124" t="str">
        <f>J29</f>
        <v>Paraguay</v>
      </c>
      <c r="AF83" s="123">
        <f t="shared" si="34"/>
        <v>0</v>
      </c>
      <c r="AG83" s="123">
        <f t="shared" si="35"/>
        <v>1</v>
      </c>
      <c r="AH83" s="123">
        <f t="shared" si="36"/>
        <v>2</v>
      </c>
      <c r="AI83" s="123">
        <f t="shared" si="37"/>
        <v>3</v>
      </c>
      <c r="AJ83" s="123">
        <f t="shared" si="38"/>
        <v>7</v>
      </c>
      <c r="AK83" s="123" t="s">
        <v>22</v>
      </c>
      <c r="AL83" s="123">
        <f t="shared" si="39"/>
        <v>-4</v>
      </c>
      <c r="AM83" s="123">
        <f t="shared" si="40"/>
        <v>2</v>
      </c>
      <c r="AN83" s="123">
        <f t="shared" si="41"/>
        <v>1</v>
      </c>
      <c r="AP83" s="123">
        <f>AN83/AN92*10000+AM83/AM92*1000+AI83/AI92*100+IF(AQ83=0,ROW(),AQ83)/2000000</f>
        <v>2300.0007517499998</v>
      </c>
      <c r="AQ83" s="126">
        <f t="shared" si="42"/>
        <v>1503.5</v>
      </c>
      <c r="AR83" s="125" t="str">
        <f t="shared" si="46"/>
        <v>ABC</v>
      </c>
      <c r="AS83" s="129" t="str">
        <f t="shared" si="43"/>
        <v/>
      </c>
      <c r="AT83" s="130" t="str">
        <f>"Ⓓ "&amp;AE83</f>
        <v>Ⓓ Paraguay</v>
      </c>
    </row>
    <row r="84" spans="1:46" ht="15" customHeight="1" x14ac:dyDescent="0.25">
      <c r="A84" s="73"/>
      <c r="B84" s="73"/>
      <c r="C84" s="170"/>
      <c r="D84" s="152"/>
      <c r="E84" s="152"/>
      <c r="F84" s="152"/>
      <c r="G84" s="171"/>
      <c r="H84" s="75"/>
      <c r="I84" s="69"/>
      <c r="J84" s="99" t="str">
        <f>VLOOKUP(4,$AD$80:$AT$91,17,FALSE)</f>
        <v>Ⓑ Bosnia-Hercegovina</v>
      </c>
      <c r="K84" s="100">
        <f t="shared" si="44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4 - 4</v>
      </c>
      <c r="P84" s="101">
        <f t="shared" si="45"/>
        <v>4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Tyskland</v>
      </c>
      <c r="T84" s="127" t="str">
        <f t="array" ref="T84">IF(OR(S84="",S84="draw"),INDEX(T,86,lang),S84)</f>
        <v>Tyskland</v>
      </c>
      <c r="AD84" s="123">
        <f t="shared" si="33"/>
        <v>3</v>
      </c>
      <c r="AE84" s="124" t="str">
        <f>J35</f>
        <v>Elfenbenskysten</v>
      </c>
      <c r="AF84" s="123">
        <f t="shared" si="34"/>
        <v>1</v>
      </c>
      <c r="AG84" s="123">
        <f t="shared" si="35"/>
        <v>1</v>
      </c>
      <c r="AH84" s="123">
        <f t="shared" si="36"/>
        <v>1</v>
      </c>
      <c r="AI84" s="123">
        <f t="shared" si="37"/>
        <v>4</v>
      </c>
      <c r="AJ84" s="123">
        <f t="shared" si="38"/>
        <v>4</v>
      </c>
      <c r="AK84" s="123" t="s">
        <v>23</v>
      </c>
      <c r="AL84" s="123">
        <f t="shared" si="39"/>
        <v>0</v>
      </c>
      <c r="AM84" s="123">
        <f t="shared" si="40"/>
        <v>6</v>
      </c>
      <c r="AN84" s="123">
        <f t="shared" si="41"/>
        <v>4</v>
      </c>
      <c r="AP84" s="123">
        <f>AN84/AN92*10000+AM84/AM92*1000+AI84/AI92*100+IF(AQ84=0,ROW(),AQ84)/2000000</f>
        <v>8816.6674331566664</v>
      </c>
      <c r="AQ84" s="126">
        <f t="shared" si="42"/>
        <v>1532.98</v>
      </c>
      <c r="AR84" s="125" t="str">
        <f t="shared" si="46"/>
        <v>ABCE</v>
      </c>
      <c r="AS84" s="129" t="str">
        <f t="shared" si="43"/>
        <v>Elfenbenskysten</v>
      </c>
      <c r="AT84" s="130" t="str">
        <f>"Ⓔ "&amp;AE84</f>
        <v>Ⓔ Elfenbenskysten</v>
      </c>
    </row>
    <row r="85" spans="1:46" ht="15" customHeight="1" x14ac:dyDescent="0.25">
      <c r="A85" s="73"/>
      <c r="B85" s="73"/>
      <c r="C85" s="170"/>
      <c r="D85" s="152"/>
      <c r="E85" s="152"/>
      <c r="F85" s="152"/>
      <c r="G85" s="171"/>
      <c r="H85" s="75"/>
      <c r="I85" s="69"/>
      <c r="J85" s="99" t="str">
        <f>VLOOKUP(5,$AD$80:$AT$91,17,FALSE)</f>
        <v>Ⓖ Egypt</v>
      </c>
      <c r="K85" s="100">
        <f t="shared" si="44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3 - 4</v>
      </c>
      <c r="P85" s="101">
        <f t="shared" si="45"/>
        <v>4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Frankrike</v>
      </c>
      <c r="T85" s="127" t="str">
        <f t="array" ref="T85">IF(OR(S85="",S85="draw"),INDEX(T,87,lang),S85)</f>
        <v>Frankrike</v>
      </c>
      <c r="AD85" s="123">
        <f t="shared" si="33"/>
        <v>6</v>
      </c>
      <c r="AE85" s="124" t="str">
        <f>J41</f>
        <v>Sverige</v>
      </c>
      <c r="AF85" s="123">
        <f t="shared" si="34"/>
        <v>1</v>
      </c>
      <c r="AG85" s="123">
        <f t="shared" si="35"/>
        <v>0</v>
      </c>
      <c r="AH85" s="123">
        <f t="shared" si="36"/>
        <v>2</v>
      </c>
      <c r="AI85" s="123">
        <f t="shared" si="37"/>
        <v>4</v>
      </c>
      <c r="AJ85" s="123">
        <f t="shared" si="38"/>
        <v>7</v>
      </c>
      <c r="AK85" s="123" t="s">
        <v>24</v>
      </c>
      <c r="AL85" s="123">
        <f t="shared" si="39"/>
        <v>-3</v>
      </c>
      <c r="AM85" s="123">
        <f t="shared" si="40"/>
        <v>3</v>
      </c>
      <c r="AN85" s="123">
        <f t="shared" si="41"/>
        <v>3</v>
      </c>
      <c r="AP85" s="123">
        <f>AN85/AN92*10000+AM85/AM92*1000+AI85/AI92*100+IF(AQ85=0,ROW(),AQ85)/2000000</f>
        <v>6441.6674240516668</v>
      </c>
      <c r="AQ85" s="126">
        <f t="shared" si="42"/>
        <v>1514.77</v>
      </c>
      <c r="AR85" s="125" t="str">
        <f t="shared" si="46"/>
        <v>ABCEF</v>
      </c>
      <c r="AS85" s="129" t="str">
        <f t="shared" si="43"/>
        <v>Sverige</v>
      </c>
      <c r="AT85" s="130" t="str">
        <f>"Ⓕ "&amp;AE85</f>
        <v>Ⓕ Sverige</v>
      </c>
    </row>
    <row r="86" spans="1:46" ht="15" customHeight="1" x14ac:dyDescent="0.25">
      <c r="A86" s="73"/>
      <c r="B86" s="73"/>
      <c r="C86" s="170"/>
      <c r="D86" s="152"/>
      <c r="E86" s="152"/>
      <c r="F86" s="152"/>
      <c r="G86" s="171"/>
      <c r="H86" s="75"/>
      <c r="I86" s="69"/>
      <c r="J86" s="99" t="str">
        <f>VLOOKUP(6,$AD$80:$AT$91,17,FALSE)</f>
        <v>Ⓕ Sverige</v>
      </c>
      <c r="K86" s="100">
        <f t="shared" si="44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4 - 7</v>
      </c>
      <c r="P86" s="101">
        <f t="shared" si="45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Kroatia</v>
      </c>
      <c r="T86" s="127" t="str">
        <f t="array" ref="T86">IF(OR(S86="",S86="draw"),INDEX(T,88,lang),S86)</f>
        <v>Kroatia</v>
      </c>
      <c r="AD86" s="123">
        <f t="shared" si="33"/>
        <v>5</v>
      </c>
      <c r="AE86" s="124" t="str">
        <f>J47</f>
        <v>Egypt</v>
      </c>
      <c r="AF86" s="123">
        <f t="shared" si="34"/>
        <v>1</v>
      </c>
      <c r="AG86" s="123">
        <f t="shared" si="35"/>
        <v>1</v>
      </c>
      <c r="AH86" s="123">
        <f t="shared" si="36"/>
        <v>1</v>
      </c>
      <c r="AI86" s="123">
        <f t="shared" si="37"/>
        <v>3</v>
      </c>
      <c r="AJ86" s="123">
        <f t="shared" si="38"/>
        <v>4</v>
      </c>
      <c r="AK86" s="123" t="s">
        <v>25</v>
      </c>
      <c r="AL86" s="123">
        <f t="shared" si="39"/>
        <v>-1</v>
      </c>
      <c r="AM86" s="123">
        <f t="shared" si="40"/>
        <v>5</v>
      </c>
      <c r="AN86" s="123">
        <f t="shared" si="41"/>
        <v>4</v>
      </c>
      <c r="AP86" s="123">
        <f>AN86/AN92*10000+AM86/AM92*1000+AI86/AI92*100+IF(AQ86=0,ROW(),AQ86)/2000000</f>
        <v>8675.0007816199995</v>
      </c>
      <c r="AQ86" s="126">
        <f t="shared" si="42"/>
        <v>1563.24</v>
      </c>
      <c r="AR86" s="125" t="str">
        <f t="shared" si="46"/>
        <v>ABCEFG</v>
      </c>
      <c r="AS86" s="129" t="str">
        <f t="shared" si="43"/>
        <v>Egypt</v>
      </c>
      <c r="AT86" s="130" t="str">
        <f>"Ⓖ "&amp;AE86</f>
        <v>Ⓖ Egypt</v>
      </c>
    </row>
    <row r="87" spans="1:46" ht="15" customHeight="1" x14ac:dyDescent="0.25">
      <c r="A87" s="73"/>
      <c r="B87" s="73"/>
      <c r="C87" s="170"/>
      <c r="D87" s="152"/>
      <c r="E87" s="152"/>
      <c r="F87" s="152"/>
      <c r="G87" s="171"/>
      <c r="H87" s="75"/>
      <c r="I87" s="69"/>
      <c r="J87" s="99" t="str">
        <f>VLOOKUP(7,$AD$80:$AT$91,17,FALSE)</f>
        <v>Ⓙ Algerie</v>
      </c>
      <c r="K87" s="100">
        <f t="shared" si="44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2 - 5</v>
      </c>
      <c r="P87" s="101">
        <f t="shared" si="45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Spania</v>
      </c>
      <c r="T87" s="127" t="str">
        <f t="array" ref="T87">IF(OR(S87="",S87="draw"),INDEX(T,89,lang),S87)</f>
        <v>Spania</v>
      </c>
      <c r="AD87" s="123">
        <f t="shared" si="33"/>
        <v>11</v>
      </c>
      <c r="AE87" s="124" t="str">
        <f>J53</f>
        <v>Saudi-Arabia</v>
      </c>
      <c r="AF87" s="123">
        <f t="shared" si="34"/>
        <v>0</v>
      </c>
      <c r="AG87" s="123">
        <f t="shared" si="35"/>
        <v>1</v>
      </c>
      <c r="AH87" s="123">
        <f t="shared" si="36"/>
        <v>2</v>
      </c>
      <c r="AI87" s="123">
        <f t="shared" si="37"/>
        <v>1</v>
      </c>
      <c r="AJ87" s="123">
        <f t="shared" si="38"/>
        <v>6</v>
      </c>
      <c r="AK87" s="123" t="s">
        <v>26</v>
      </c>
      <c r="AL87" s="123">
        <f t="shared" si="39"/>
        <v>-5</v>
      </c>
      <c r="AM87" s="123">
        <f t="shared" si="40"/>
        <v>1</v>
      </c>
      <c r="AN87" s="123">
        <f t="shared" si="41"/>
        <v>1</v>
      </c>
      <c r="AP87" s="123">
        <f>AN87/AN92*10000+AM87/AM92*1000+AI87/AI92*100+IF(AQ87=0,ROW(),AQ87)/2000000</f>
        <v>2141.6673773816665</v>
      </c>
      <c r="AQ87" s="126">
        <f t="shared" si="42"/>
        <v>1421.43</v>
      </c>
      <c r="AR87" s="125" t="str">
        <f t="shared" si="46"/>
        <v>ABCEFG</v>
      </c>
      <c r="AS87" s="129" t="str">
        <f t="shared" si="43"/>
        <v/>
      </c>
      <c r="AT87" s="130" t="str">
        <f>"Ⓗ "&amp;AE87</f>
        <v>Ⓗ Saudi-Arabia</v>
      </c>
    </row>
    <row r="88" spans="1:46" ht="15" customHeight="1" x14ac:dyDescent="0.25">
      <c r="A88" s="73"/>
      <c r="B88" s="73"/>
      <c r="C88" s="162"/>
      <c r="D88" s="163"/>
      <c r="E88" s="163"/>
      <c r="F88" s="163"/>
      <c r="G88" s="164"/>
      <c r="H88" s="75"/>
      <c r="I88" s="69"/>
      <c r="J88" s="99" t="str">
        <f>VLOOKUP(8,$AD$80:$AT$91,17,FALSE)</f>
        <v>Ⓒ Skottland</v>
      </c>
      <c r="K88" s="100">
        <f t="shared" si="44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2 - 5</v>
      </c>
      <c r="P88" s="101">
        <f t="shared" si="45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Canada</v>
      </c>
      <c r="T88" s="127" t="str">
        <f t="array" ref="T88">IF(OR(S88="",S88="draw"),INDEX(T,90,lang),S88)</f>
        <v>Canada</v>
      </c>
      <c r="AD88" s="123">
        <f t="shared" si="33"/>
        <v>2</v>
      </c>
      <c r="AE88" s="124" t="str">
        <f>J59</f>
        <v>Senegal</v>
      </c>
      <c r="AF88" s="123">
        <f t="shared" si="34"/>
        <v>1</v>
      </c>
      <c r="AG88" s="123">
        <f t="shared" si="35"/>
        <v>1</v>
      </c>
      <c r="AH88" s="123">
        <f t="shared" si="36"/>
        <v>1</v>
      </c>
      <c r="AI88" s="123">
        <f t="shared" si="37"/>
        <v>5</v>
      </c>
      <c r="AJ88" s="123">
        <f t="shared" si="38"/>
        <v>5</v>
      </c>
      <c r="AK88" s="123" t="s">
        <v>27</v>
      </c>
      <c r="AL88" s="123">
        <f t="shared" si="39"/>
        <v>0</v>
      </c>
      <c r="AM88" s="123">
        <f t="shared" si="40"/>
        <v>6</v>
      </c>
      <c r="AN88" s="123">
        <f t="shared" si="41"/>
        <v>4</v>
      </c>
      <c r="AP88" s="123">
        <f>AN88/AN92*10000+AM88/AM92*1000+AI88/AI92*100+IF(AQ88=0,ROW(),AQ88)/2000000</f>
        <v>8833.3341778283338</v>
      </c>
      <c r="AQ88" s="126">
        <f t="shared" si="42"/>
        <v>1688.99</v>
      </c>
      <c r="AR88" s="125" t="str">
        <f t="shared" si="46"/>
        <v>ABCEFGI</v>
      </c>
      <c r="AS88" s="129" t="str">
        <f t="shared" si="43"/>
        <v>Senegal</v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Ⓛ Ghana</v>
      </c>
      <c r="K89" s="103">
        <f t="shared" si="44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2 - 7</v>
      </c>
      <c r="P89" s="104">
        <f t="shared" si="45"/>
        <v>3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Marokko</v>
      </c>
      <c r="T89" s="127" t="str">
        <f t="array" ref="T89">IF(OR(S89="",S89="draw"),INDEX(T,91,lang),S89)</f>
        <v>Marokko</v>
      </c>
      <c r="AD89" s="123">
        <f t="shared" si="33"/>
        <v>7</v>
      </c>
      <c r="AE89" s="124" t="str">
        <f>J65</f>
        <v>Algerie</v>
      </c>
      <c r="AF89" s="123">
        <f t="shared" si="34"/>
        <v>1</v>
      </c>
      <c r="AG89" s="123">
        <f t="shared" si="35"/>
        <v>0</v>
      </c>
      <c r="AH89" s="123">
        <f t="shared" si="36"/>
        <v>2</v>
      </c>
      <c r="AI89" s="123">
        <f t="shared" si="37"/>
        <v>2</v>
      </c>
      <c r="AJ89" s="123">
        <f t="shared" si="38"/>
        <v>5</v>
      </c>
      <c r="AK89" s="123" t="s">
        <v>28</v>
      </c>
      <c r="AL89" s="123">
        <f t="shared" si="39"/>
        <v>-3</v>
      </c>
      <c r="AM89" s="123">
        <f t="shared" si="40"/>
        <v>3</v>
      </c>
      <c r="AN89" s="123">
        <f t="shared" si="41"/>
        <v>3</v>
      </c>
      <c r="AP89" s="123">
        <f>AN89/AN92*10000+AM89/AM92*1000+AI89/AI92*100+IF(AQ89=0,ROW(),AQ89)/2000000</f>
        <v>6408.3341154633326</v>
      </c>
      <c r="AQ89" s="126">
        <f t="shared" si="42"/>
        <v>1564.26</v>
      </c>
      <c r="AR89" s="125" t="str">
        <f t="shared" si="46"/>
        <v>ABCEFGIJ</v>
      </c>
      <c r="AS89" s="129" t="str">
        <f t="shared" si="43"/>
        <v>Algerie</v>
      </c>
      <c r="AT89" s="130" t="str">
        <f>"Ⓙ "&amp;AE89</f>
        <v>Ⓙ Algerie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Ⓓ Paraguay</v>
      </c>
      <c r="K90" s="103">
        <f t="shared" si="44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3 - 7</v>
      </c>
      <c r="P90" s="104">
        <f t="shared" si="45"/>
        <v>1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USA</v>
      </c>
      <c r="T90" s="127" t="str">
        <f t="array" ref="T90">IF(OR(S90="",S90="draw"),INDEX(T,92,lang),S90)</f>
        <v>USA</v>
      </c>
      <c r="AD90" s="123">
        <f t="shared" si="33"/>
        <v>12</v>
      </c>
      <c r="AE90" s="124" t="str">
        <f>J71</f>
        <v>DR Kongo</v>
      </c>
      <c r="AF90" s="123">
        <f t="shared" si="34"/>
        <v>0</v>
      </c>
      <c r="AG90" s="123">
        <f t="shared" si="35"/>
        <v>1</v>
      </c>
      <c r="AH90" s="123">
        <f t="shared" si="36"/>
        <v>2</v>
      </c>
      <c r="AI90" s="123">
        <f t="shared" si="37"/>
        <v>2</v>
      </c>
      <c r="AJ90" s="123">
        <f t="shared" si="38"/>
        <v>8</v>
      </c>
      <c r="AK90" s="123" t="s">
        <v>29</v>
      </c>
      <c r="AL90" s="123">
        <f t="shared" si="39"/>
        <v>-6</v>
      </c>
      <c r="AM90" s="123">
        <f t="shared" si="40"/>
        <v>0</v>
      </c>
      <c r="AN90" s="123">
        <f t="shared" si="41"/>
        <v>1</v>
      </c>
      <c r="AP90" s="123">
        <f>AN90/AN92*10000+AM90/AM92*1000+AI90/AI92*100+IF(AQ90=0,ROW(),AQ90)/2000000</f>
        <v>2033.3340725083333</v>
      </c>
      <c r="AQ90" s="126">
        <f t="shared" si="42"/>
        <v>1478.35</v>
      </c>
      <c r="AR90" s="125" t="str">
        <f t="shared" si="46"/>
        <v>ABCEFGIJ</v>
      </c>
      <c r="AS90" s="129" t="str">
        <f t="shared" si="43"/>
        <v/>
      </c>
      <c r="AT90" s="130" t="str">
        <f>"Ⓚ "&amp;AE90</f>
        <v>Ⓚ DR Kongo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Ⓗ Saudi-Arabia</v>
      </c>
      <c r="K91" s="103">
        <f t="shared" si="44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1 - 6</v>
      </c>
      <c r="P91" s="104">
        <f t="shared" si="45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Belgia</v>
      </c>
      <c r="T91" s="127" t="str">
        <f t="array" ref="T91">IF(OR(S91="",S91="draw"),INDEX(T,93,lang),S91)</f>
        <v>Belgia</v>
      </c>
      <c r="AD91" s="123">
        <f t="shared" si="33"/>
        <v>9</v>
      </c>
      <c r="AE91" s="124" t="str">
        <f>J77</f>
        <v>Ghana</v>
      </c>
      <c r="AF91" s="123">
        <f t="shared" si="34"/>
        <v>1</v>
      </c>
      <c r="AG91" s="123">
        <f t="shared" si="35"/>
        <v>0</v>
      </c>
      <c r="AH91" s="123">
        <f t="shared" si="36"/>
        <v>2</v>
      </c>
      <c r="AI91" s="123">
        <f t="shared" si="37"/>
        <v>2</v>
      </c>
      <c r="AJ91" s="123">
        <f t="shared" si="38"/>
        <v>7</v>
      </c>
      <c r="AK91" s="123" t="s">
        <v>30</v>
      </c>
      <c r="AL91" s="123">
        <f t="shared" si="39"/>
        <v>-5</v>
      </c>
      <c r="AM91" s="123">
        <f t="shared" si="40"/>
        <v>1</v>
      </c>
      <c r="AN91" s="123">
        <f t="shared" si="41"/>
        <v>3</v>
      </c>
      <c r="AP91" s="123">
        <f>AN91/AN92*10000+AM91/AM92*1000+AI91/AI92*100+IF(AQ91=0,ROW(),AQ91)/2000000</f>
        <v>6158.3340064883332</v>
      </c>
      <c r="AQ91" s="126">
        <f t="shared" si="42"/>
        <v>1346.31</v>
      </c>
      <c r="AR91" s="125" t="str">
        <f t="shared" si="46"/>
        <v>ABCEFGIJ</v>
      </c>
      <c r="AS91" s="129" t="str">
        <f t="shared" si="43"/>
        <v/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Kongo</v>
      </c>
      <c r="K92" s="106">
        <f t="shared" si="44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2 - 8</v>
      </c>
      <c r="P92" s="107">
        <f t="shared" si="45"/>
        <v>1</v>
      </c>
      <c r="AF92" s="123">
        <f>MAX(AF80:AF91)+1</f>
        <v>2</v>
      </c>
      <c r="AG92" s="123">
        <f>MAX(AG80:AG91)+1</f>
        <v>2</v>
      </c>
      <c r="AH92" s="123">
        <f>MAX(AH80:AH91)+1</f>
        <v>3</v>
      </c>
      <c r="AI92" s="123">
        <f>MAX(AI80:AI91)+1</f>
        <v>6</v>
      </c>
      <c r="AJ92" s="123">
        <f>MAX(AJ80:AJ91)+1</f>
        <v>9</v>
      </c>
      <c r="AL92" s="123">
        <f>MIN(AL80:AL91)</f>
        <v>-6</v>
      </c>
      <c r="AM92" s="123">
        <f>MAX(AM80:AM91)+1</f>
        <v>8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Frankrike</v>
      </c>
      <c r="T95" s="127" t="str">
        <f t="array" ref="T95">IF(OR(S95="",S95="draw"),INDEX(T,94,lang),S95)</f>
        <v>Frankrike</v>
      </c>
    </row>
    <row r="96" spans="1:46" ht="12.75" customHeight="1" x14ac:dyDescent="0.2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Marokko</v>
      </c>
      <c r="T96" s="127" t="str">
        <f t="array" ref="T96">IF(OR(S96="",S96="draw"),INDEX(T,95,lang),S96)</f>
        <v>Marokko</v>
      </c>
    </row>
    <row r="97" spans="18:29" ht="12.75" customHeight="1" x14ac:dyDescent="0.2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Spania</v>
      </c>
      <c r="T97" s="127" t="str">
        <f t="array" ref="T97">IF(OR(S97="",S97="draw"),INDEX(T,96,lang),S97)</f>
        <v>Spania</v>
      </c>
    </row>
    <row r="98" spans="18:29" x14ac:dyDescent="0.2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USA</v>
      </c>
      <c r="T98" s="127" t="str">
        <f t="array" ref="T98">IF(OR(S98="",S98="draw"),INDEX(T,97,lang),S98)</f>
        <v>USA</v>
      </c>
    </row>
    <row r="102" spans="18:29" x14ac:dyDescent="0.2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Frankrike</v>
      </c>
      <c r="T102" s="127" t="str">
        <f t="array" ref="T102">IF(OR(S102="",S102="draw"),INDEX(T,98,lang),S102)</f>
        <v>Frankrike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Marokko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>
        <f t="array" ref="AC102">IF(OR(U102="",U102="draw"),INDEX(T,100,lang),U102)</f>
        <v>Marokko</v>
      </c>
    </row>
    <row r="103" spans="18:29" x14ac:dyDescent="0.2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Spania</v>
      </c>
      <c r="T103" s="127" t="str">
        <f t="array" ref="T103">IF(OR(S103="",S103="draw"),INDEX(T,99,lang),S103)</f>
        <v>Spania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USA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>
        <f t="array" ref="AC103">IF(OR(U103="",U103="draw"),INDEX(T,101,lang),U103)</f>
        <v>USA</v>
      </c>
    </row>
    <row r="107" spans="18:29" x14ac:dyDescent="0.2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Spania</v>
      </c>
      <c r="T111" s="127" t="str">
        <f>S111</f>
        <v>Spania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83:G88"/>
    <mergeCell ref="BK50:BK51"/>
    <mergeCell ref="CM44:CQ45"/>
    <mergeCell ref="BR20:BR21"/>
    <mergeCell ref="J5:P6"/>
    <mergeCell ref="BK22:BK23"/>
    <mergeCell ref="BY48:BY49"/>
    <mergeCell ref="BK34:BK35"/>
    <mergeCell ref="CM48:CM49"/>
    <mergeCell ref="BK70:BK71"/>
    <mergeCell ref="CF55:CF56"/>
    <mergeCell ref="BR60:BR61"/>
    <mergeCell ref="A1:P1"/>
    <mergeCell ref="BK54:BK55"/>
    <mergeCell ref="CE68:CJ69"/>
    <mergeCell ref="CM33:CQ34"/>
    <mergeCell ref="BK10:BK11"/>
    <mergeCell ref="CK68:CQ69"/>
    <mergeCell ref="BK38:BK39"/>
    <mergeCell ref="BY6:CC7"/>
    <mergeCell ref="BY64:BY65"/>
    <mergeCell ref="CM37:CM38"/>
    <mergeCell ref="BR12:BR13"/>
    <mergeCell ref="BR68:BR69"/>
    <mergeCell ref="CF23:CF24"/>
    <mergeCell ref="BK66:BK67"/>
    <mergeCell ref="BK42:BK43"/>
    <mergeCell ref="A5:H6"/>
    <mergeCell ref="BR28:BR29"/>
    <mergeCell ref="CF6:CJ7"/>
    <mergeCell ref="BR36:BR37"/>
    <mergeCell ref="BK62:BK63"/>
    <mergeCell ref="BR52:BR53"/>
    <mergeCell ref="BR6:BV7"/>
    <mergeCell ref="BY32:BY33"/>
    <mergeCell ref="BK6:BO7"/>
    <mergeCell ref="BK18:BK19"/>
    <mergeCell ref="BK58:BK59"/>
    <mergeCell ref="BK14:BK15"/>
    <mergeCell ref="BK46:BK47"/>
    <mergeCell ref="O3:P3"/>
    <mergeCell ref="BK30:BK31"/>
    <mergeCell ref="BR44:BR45"/>
    <mergeCell ref="BY16:BY17"/>
    <mergeCell ref="BK26:BK27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M42:BM43 BM46:BM47 BM50:BM51 BM54:BM55 BM58:BM59 BM62:BM63 BM66:BM67 BM70:BM71 BT12:BT13 BT20:BT21 BT28:BT29 BT36:BT37 BT44:BT45 BT52:BT53 BT60:BT61 BT68:BT69 CA16:CA17 CA32:CA33 CA48:CA49 CA64:CA65 CH23:CH24 CH55:CH56 CO37:CO38 CO48:CO49" xr:uid="{00000000-0002-0000-0300-000000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N42:BN43 BN46:BN47 BN50:BN51 BN54:BN55 BN58:BN59 BN62:BN63 BN66:BN67 BN70:BN71 BU12:BU13 BU20:BU21 BU28:BU29 BU36:BU37 BU44:BU45 BU52:BU53 BU60:BU61 BU68:BU69 CB16:CB17 CB32:CB33 CB48:CB49 CB64:CB65 CI23:CI24 CI55:CI56 CP37:CP38 CP48:CP49" xr:uid="{00000000-0002-0000-0300-000001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O42:BO43 BO46:BO47 BO50:BO51 BO54:BO55 BO58:BO59 BO62:BO63 BO66:BO67 BO70:BO71 BV12:BV13 BV20:BV21 BV28:BV29 BV36:BV37 BV44:BV45 BV52:BV53 BV60:BV61 BV68:BV69 CC16:CC17 CC32:CC33 CC48:CC49 CC64:CC65 CJ23:CJ24 CJ55:CJ56 CQ37:CQ38 CQ48:CQ49" xr:uid="{00000000-0002-0000-0300-000002000000}">
      <formula1>"0,1,2,3,4,5,6,7,8,9,10,11,12,13,14,15,16,17,18,19,20"</formula1>
    </dataValidation>
    <dataValidation type="list" allowBlank="1" showInputMessage="1" showErrorMessage="1" sqref="F7:G78" xr:uid="{00000000-0002-0000-0300-000003000000}">
      <formula1>"0,1,2,3,4,5,6,7,8,9"</formula1>
    </dataValidation>
  </dataValidations>
  <hyperlinks>
    <hyperlink ref="O3" location="Settings!C4" tooltip="Settings" display="Settings!C4" xr:uid="{00000000-0004-0000-0300-000000000000}"/>
    <hyperlink ref="J5" r:id="rId1" tooltip="World Cup 2026 Schedule in Excel" xr:uid="{00000000-0004-0000-0300-000001000000}"/>
    <hyperlink ref="C83" r:id="rId2" tooltip="World Cup 2026 Interactive Schedule Online - www.wallchart.io" display="http://www.wallchart.io/football/world-cup-2026.html" xr:uid="{00000000-0004-0000-0300-000002000000}"/>
  </hyperlinks>
  <printOptions horizontalCentered="1" verticalCentered="1"/>
  <pageMargins left="0.7" right="0.7" top="0.75" bottom="0.75" header="0.3" footer="0.3"/>
  <pageSetup paperSize="9" scale="35" orientation="landscape"/>
  <headerFooter>
    <oddFooter>&amp;Cwww.excely.com (c) 2026</oddFooter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500"/>
  <sheetViews>
    <sheetView showGridLines="0" workbookViewId="0">
      <selection activeCell="D6" sqref="D6"/>
    </sheetView>
  </sheetViews>
  <sheetFormatPr defaultRowHeight="15" x14ac:dyDescent="0.25"/>
  <cols>
    <col min="1" max="1" width="2.42578125" style="82" customWidth="1"/>
    <col min="2" max="2" width="9.140625" style="81" customWidth="1"/>
    <col min="3" max="3" width="13.7109375" style="81" customWidth="1"/>
    <col min="4" max="11" width="9.42578125" style="81" customWidth="1"/>
    <col min="12" max="12" width="9.140625" style="82" customWidth="1"/>
    <col min="13" max="16384" width="9.140625" style="82"/>
  </cols>
  <sheetData>
    <row r="1" spans="2:11" ht="8.25" customHeight="1" x14ac:dyDescent="0.25"/>
    <row r="2" spans="2:11" ht="21" customHeight="1" x14ac:dyDescent="0.25">
      <c r="B2" s="108" t="s">
        <v>3193</v>
      </c>
    </row>
    <row r="3" spans="2:11" x14ac:dyDescent="0.25">
      <c r="B3" s="109">
        <f>MATCH(C3,C6:C500,0)</f>
        <v>421</v>
      </c>
      <c r="C3" s="121" t="str">
        <f>'2026 World Cup'!AR91</f>
        <v>ABCEFGIJ</v>
      </c>
      <c r="D3" s="121" t="str">
        <f>VLOOKUP($C3,$C$6:$K$500,2,FALSE)</f>
        <v>3E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3I</v>
      </c>
      <c r="K3" s="122" t="str">
        <f>VLOOKUP($C3,$C$6:$K$500,9,FALSE)</f>
        <v>3J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23</v>
      </c>
      <c r="E6" s="83" t="s">
        <v>28</v>
      </c>
      <c r="F6" s="83" t="s">
        <v>27</v>
      </c>
      <c r="G6" s="83" t="s">
        <v>24</v>
      </c>
      <c r="H6" s="83" t="s">
        <v>26</v>
      </c>
      <c r="I6" s="83" t="s">
        <v>25</v>
      </c>
      <c r="J6" s="83" t="s">
        <v>30</v>
      </c>
      <c r="K6" s="89" t="s">
        <v>29</v>
      </c>
    </row>
    <row r="7" spans="2:11" x14ac:dyDescent="0.25">
      <c r="B7" s="88">
        <v>2</v>
      </c>
      <c r="C7" s="83" t="s">
        <v>3204</v>
      </c>
      <c r="D7" s="83" t="s">
        <v>26</v>
      </c>
      <c r="E7" s="83" t="s">
        <v>25</v>
      </c>
      <c r="F7" s="83" t="s">
        <v>27</v>
      </c>
      <c r="G7" s="83" t="s">
        <v>22</v>
      </c>
      <c r="H7" s="83" t="s">
        <v>28</v>
      </c>
      <c r="I7" s="83" t="s">
        <v>24</v>
      </c>
      <c r="J7" s="83" t="s">
        <v>30</v>
      </c>
      <c r="K7" s="89" t="s">
        <v>29</v>
      </c>
    </row>
    <row r="8" spans="2:11" x14ac:dyDescent="0.25">
      <c r="B8" s="88">
        <v>3</v>
      </c>
      <c r="C8" s="83" t="s">
        <v>3205</v>
      </c>
      <c r="D8" s="83" t="s">
        <v>23</v>
      </c>
      <c r="E8" s="83" t="s">
        <v>28</v>
      </c>
      <c r="F8" s="83" t="s">
        <v>27</v>
      </c>
      <c r="G8" s="83" t="s">
        <v>22</v>
      </c>
      <c r="H8" s="83" t="s">
        <v>26</v>
      </c>
      <c r="I8" s="83" t="s">
        <v>25</v>
      </c>
      <c r="J8" s="83" t="s">
        <v>30</v>
      </c>
      <c r="K8" s="89" t="s">
        <v>29</v>
      </c>
    </row>
    <row r="9" spans="2:11" x14ac:dyDescent="0.25">
      <c r="B9" s="88">
        <v>4</v>
      </c>
      <c r="C9" s="83" t="s">
        <v>3206</v>
      </c>
      <c r="D9" s="83" t="s">
        <v>23</v>
      </c>
      <c r="E9" s="83" t="s">
        <v>28</v>
      </c>
      <c r="F9" s="83" t="s">
        <v>27</v>
      </c>
      <c r="G9" s="83" t="s">
        <v>22</v>
      </c>
      <c r="H9" s="83" t="s">
        <v>26</v>
      </c>
      <c r="I9" s="83" t="s">
        <v>24</v>
      </c>
      <c r="J9" s="83" t="s">
        <v>30</v>
      </c>
      <c r="K9" s="89" t="s">
        <v>29</v>
      </c>
    </row>
    <row r="10" spans="2:11" x14ac:dyDescent="0.25">
      <c r="B10" s="88">
        <v>5</v>
      </c>
      <c r="C10" s="83" t="s">
        <v>3207</v>
      </c>
      <c r="D10" s="83" t="s">
        <v>23</v>
      </c>
      <c r="E10" s="83" t="s">
        <v>25</v>
      </c>
      <c r="F10" s="83" t="s">
        <v>27</v>
      </c>
      <c r="G10" s="83" t="s">
        <v>22</v>
      </c>
      <c r="H10" s="83" t="s">
        <v>28</v>
      </c>
      <c r="I10" s="83" t="s">
        <v>24</v>
      </c>
      <c r="J10" s="83" t="s">
        <v>30</v>
      </c>
      <c r="K10" s="89" t="s">
        <v>29</v>
      </c>
    </row>
    <row r="11" spans="2:11" x14ac:dyDescent="0.25">
      <c r="B11" s="88">
        <v>6</v>
      </c>
      <c r="C11" s="83" t="s">
        <v>3208</v>
      </c>
      <c r="D11" s="83" t="s">
        <v>23</v>
      </c>
      <c r="E11" s="83" t="s">
        <v>25</v>
      </c>
      <c r="F11" s="83" t="s">
        <v>28</v>
      </c>
      <c r="G11" s="83" t="s">
        <v>22</v>
      </c>
      <c r="H11" s="83" t="s">
        <v>26</v>
      </c>
      <c r="I11" s="83" t="s">
        <v>24</v>
      </c>
      <c r="J11" s="83" t="s">
        <v>30</v>
      </c>
      <c r="K11" s="89" t="s">
        <v>29</v>
      </c>
    </row>
    <row r="12" spans="2:11" x14ac:dyDescent="0.25">
      <c r="B12" s="88">
        <v>7</v>
      </c>
      <c r="C12" s="83" t="s">
        <v>3209</v>
      </c>
      <c r="D12" s="83" t="s">
        <v>23</v>
      </c>
      <c r="E12" s="83" t="s">
        <v>25</v>
      </c>
      <c r="F12" s="83" t="s">
        <v>27</v>
      </c>
      <c r="G12" s="83" t="s">
        <v>22</v>
      </c>
      <c r="H12" s="83" t="s">
        <v>26</v>
      </c>
      <c r="I12" s="83" t="s">
        <v>24</v>
      </c>
      <c r="J12" s="83" t="s">
        <v>30</v>
      </c>
      <c r="K12" s="89" t="s">
        <v>29</v>
      </c>
    </row>
    <row r="13" spans="2:11" x14ac:dyDescent="0.25">
      <c r="B13" s="88">
        <v>8</v>
      </c>
      <c r="C13" s="83" t="s">
        <v>3210</v>
      </c>
      <c r="D13" s="83" t="s">
        <v>23</v>
      </c>
      <c r="E13" s="83" t="s">
        <v>25</v>
      </c>
      <c r="F13" s="83" t="s">
        <v>28</v>
      </c>
      <c r="G13" s="83" t="s">
        <v>22</v>
      </c>
      <c r="H13" s="83" t="s">
        <v>26</v>
      </c>
      <c r="I13" s="83" t="s">
        <v>24</v>
      </c>
      <c r="J13" s="83" t="s">
        <v>30</v>
      </c>
      <c r="K13" s="89" t="s">
        <v>27</v>
      </c>
    </row>
    <row r="14" spans="2:11" x14ac:dyDescent="0.25">
      <c r="B14" s="88">
        <v>9</v>
      </c>
      <c r="C14" s="83" t="s">
        <v>3211</v>
      </c>
      <c r="D14" s="83" t="s">
        <v>23</v>
      </c>
      <c r="E14" s="83" t="s">
        <v>25</v>
      </c>
      <c r="F14" s="83" t="s">
        <v>28</v>
      </c>
      <c r="G14" s="83" t="s">
        <v>22</v>
      </c>
      <c r="H14" s="83" t="s">
        <v>26</v>
      </c>
      <c r="I14" s="83" t="s">
        <v>24</v>
      </c>
      <c r="J14" s="83" t="s">
        <v>27</v>
      </c>
      <c r="K14" s="89" t="s">
        <v>29</v>
      </c>
    </row>
    <row r="15" spans="2:11" x14ac:dyDescent="0.25">
      <c r="B15" s="88">
        <v>10</v>
      </c>
      <c r="C15" s="83" t="s">
        <v>3212</v>
      </c>
      <c r="D15" s="83" t="s">
        <v>26</v>
      </c>
      <c r="E15" s="83" t="s">
        <v>25</v>
      </c>
      <c r="F15" s="83" t="s">
        <v>27</v>
      </c>
      <c r="G15" s="83" t="s">
        <v>20</v>
      </c>
      <c r="H15" s="83" t="s">
        <v>28</v>
      </c>
      <c r="I15" s="83" t="s">
        <v>24</v>
      </c>
      <c r="J15" s="83" t="s">
        <v>30</v>
      </c>
      <c r="K15" s="89" t="s">
        <v>29</v>
      </c>
    </row>
    <row r="16" spans="2:11" x14ac:dyDescent="0.25">
      <c r="B16" s="88">
        <v>11</v>
      </c>
      <c r="C16" s="83" t="s">
        <v>3213</v>
      </c>
      <c r="D16" s="83" t="s">
        <v>23</v>
      </c>
      <c r="E16" s="83" t="s">
        <v>28</v>
      </c>
      <c r="F16" s="83" t="s">
        <v>27</v>
      </c>
      <c r="G16" s="83" t="s">
        <v>20</v>
      </c>
      <c r="H16" s="83" t="s">
        <v>26</v>
      </c>
      <c r="I16" s="83" t="s">
        <v>25</v>
      </c>
      <c r="J16" s="83" t="s">
        <v>30</v>
      </c>
      <c r="K16" s="89" t="s">
        <v>29</v>
      </c>
    </row>
    <row r="17" spans="2:11" x14ac:dyDescent="0.25">
      <c r="B17" s="88">
        <v>12</v>
      </c>
      <c r="C17" s="83" t="s">
        <v>3214</v>
      </c>
      <c r="D17" s="83" t="s">
        <v>23</v>
      </c>
      <c r="E17" s="83" t="s">
        <v>28</v>
      </c>
      <c r="F17" s="83" t="s">
        <v>27</v>
      </c>
      <c r="G17" s="83" t="s">
        <v>20</v>
      </c>
      <c r="H17" s="83" t="s">
        <v>26</v>
      </c>
      <c r="I17" s="83" t="s">
        <v>24</v>
      </c>
      <c r="J17" s="83" t="s">
        <v>30</v>
      </c>
      <c r="K17" s="89" t="s">
        <v>29</v>
      </c>
    </row>
    <row r="18" spans="2:11" x14ac:dyDescent="0.25">
      <c r="B18" s="88">
        <v>13</v>
      </c>
      <c r="C18" s="83" t="s">
        <v>3215</v>
      </c>
      <c r="D18" s="83" t="s">
        <v>23</v>
      </c>
      <c r="E18" s="83" t="s">
        <v>25</v>
      </c>
      <c r="F18" s="83" t="s">
        <v>27</v>
      </c>
      <c r="G18" s="83" t="s">
        <v>20</v>
      </c>
      <c r="H18" s="83" t="s">
        <v>28</v>
      </c>
      <c r="I18" s="83" t="s">
        <v>24</v>
      </c>
      <c r="J18" s="83" t="s">
        <v>30</v>
      </c>
      <c r="K18" s="89" t="s">
        <v>29</v>
      </c>
    </row>
    <row r="19" spans="2:11" x14ac:dyDescent="0.25">
      <c r="B19" s="88">
        <v>14</v>
      </c>
      <c r="C19" s="83" t="s">
        <v>3216</v>
      </c>
      <c r="D19" s="83" t="s">
        <v>23</v>
      </c>
      <c r="E19" s="83" t="s">
        <v>25</v>
      </c>
      <c r="F19" s="83" t="s">
        <v>28</v>
      </c>
      <c r="G19" s="83" t="s">
        <v>20</v>
      </c>
      <c r="H19" s="83" t="s">
        <v>26</v>
      </c>
      <c r="I19" s="83" t="s">
        <v>24</v>
      </c>
      <c r="J19" s="83" t="s">
        <v>30</v>
      </c>
      <c r="K19" s="89" t="s">
        <v>29</v>
      </c>
    </row>
    <row r="20" spans="2:11" x14ac:dyDescent="0.25">
      <c r="B20" s="88">
        <v>15</v>
      </c>
      <c r="C20" s="83" t="s">
        <v>3217</v>
      </c>
      <c r="D20" s="83" t="s">
        <v>23</v>
      </c>
      <c r="E20" s="83" t="s">
        <v>25</v>
      </c>
      <c r="F20" s="83" t="s">
        <v>27</v>
      </c>
      <c r="G20" s="83" t="s">
        <v>20</v>
      </c>
      <c r="H20" s="83" t="s">
        <v>26</v>
      </c>
      <c r="I20" s="83" t="s">
        <v>24</v>
      </c>
      <c r="J20" s="83" t="s">
        <v>30</v>
      </c>
      <c r="K20" s="89" t="s">
        <v>29</v>
      </c>
    </row>
    <row r="21" spans="2:11" x14ac:dyDescent="0.25">
      <c r="B21" s="88">
        <v>16</v>
      </c>
      <c r="C21" s="83" t="s">
        <v>3218</v>
      </c>
      <c r="D21" s="83" t="s">
        <v>23</v>
      </c>
      <c r="E21" s="83" t="s">
        <v>25</v>
      </c>
      <c r="F21" s="83" t="s">
        <v>28</v>
      </c>
      <c r="G21" s="83" t="s">
        <v>20</v>
      </c>
      <c r="H21" s="83" t="s">
        <v>26</v>
      </c>
      <c r="I21" s="83" t="s">
        <v>24</v>
      </c>
      <c r="J21" s="83" t="s">
        <v>30</v>
      </c>
      <c r="K21" s="89" t="s">
        <v>27</v>
      </c>
    </row>
    <row r="22" spans="2:11" x14ac:dyDescent="0.25">
      <c r="B22" s="88">
        <v>17</v>
      </c>
      <c r="C22" s="83" t="s">
        <v>3219</v>
      </c>
      <c r="D22" s="83" t="s">
        <v>23</v>
      </c>
      <c r="E22" s="83" t="s">
        <v>25</v>
      </c>
      <c r="F22" s="83" t="s">
        <v>28</v>
      </c>
      <c r="G22" s="83" t="s">
        <v>20</v>
      </c>
      <c r="H22" s="83" t="s">
        <v>26</v>
      </c>
      <c r="I22" s="83" t="s">
        <v>24</v>
      </c>
      <c r="J22" s="83" t="s">
        <v>27</v>
      </c>
      <c r="K22" s="89" t="s">
        <v>29</v>
      </c>
    </row>
    <row r="23" spans="2:11" x14ac:dyDescent="0.25">
      <c r="B23" s="88">
        <v>18</v>
      </c>
      <c r="C23" s="83" t="s">
        <v>3220</v>
      </c>
      <c r="D23" s="83" t="s">
        <v>26</v>
      </c>
      <c r="E23" s="83" t="s">
        <v>25</v>
      </c>
      <c r="F23" s="83" t="s">
        <v>27</v>
      </c>
      <c r="G23" s="83" t="s">
        <v>20</v>
      </c>
      <c r="H23" s="83" t="s">
        <v>28</v>
      </c>
      <c r="I23" s="83" t="s">
        <v>22</v>
      </c>
      <c r="J23" s="83" t="s">
        <v>30</v>
      </c>
      <c r="K23" s="89" t="s">
        <v>29</v>
      </c>
    </row>
    <row r="24" spans="2:11" x14ac:dyDescent="0.25">
      <c r="B24" s="88">
        <v>19</v>
      </c>
      <c r="C24" s="83" t="s">
        <v>3221</v>
      </c>
      <c r="D24" s="83" t="s">
        <v>20</v>
      </c>
      <c r="E24" s="83" t="s">
        <v>28</v>
      </c>
      <c r="F24" s="83" t="s">
        <v>27</v>
      </c>
      <c r="G24" s="83" t="s">
        <v>22</v>
      </c>
      <c r="H24" s="83" t="s">
        <v>26</v>
      </c>
      <c r="I24" s="83" t="s">
        <v>24</v>
      </c>
      <c r="J24" s="83" t="s">
        <v>30</v>
      </c>
      <c r="K24" s="89" t="s">
        <v>29</v>
      </c>
    </row>
    <row r="25" spans="2:11" x14ac:dyDescent="0.25">
      <c r="B25" s="88">
        <v>20</v>
      </c>
      <c r="C25" s="83" t="s">
        <v>3222</v>
      </c>
      <c r="D25" s="83" t="s">
        <v>20</v>
      </c>
      <c r="E25" s="83" t="s">
        <v>25</v>
      </c>
      <c r="F25" s="83" t="s">
        <v>27</v>
      </c>
      <c r="G25" s="83" t="s">
        <v>22</v>
      </c>
      <c r="H25" s="83" t="s">
        <v>28</v>
      </c>
      <c r="I25" s="83" t="s">
        <v>24</v>
      </c>
      <c r="J25" s="83" t="s">
        <v>30</v>
      </c>
      <c r="K25" s="89" t="s">
        <v>29</v>
      </c>
    </row>
    <row r="26" spans="2:11" x14ac:dyDescent="0.25">
      <c r="B26" s="88">
        <v>21</v>
      </c>
      <c r="C26" s="83" t="s">
        <v>3223</v>
      </c>
      <c r="D26" s="83" t="s">
        <v>20</v>
      </c>
      <c r="E26" s="83" t="s">
        <v>25</v>
      </c>
      <c r="F26" s="83" t="s">
        <v>28</v>
      </c>
      <c r="G26" s="83" t="s">
        <v>22</v>
      </c>
      <c r="H26" s="83" t="s">
        <v>26</v>
      </c>
      <c r="I26" s="83" t="s">
        <v>24</v>
      </c>
      <c r="J26" s="83" t="s">
        <v>30</v>
      </c>
      <c r="K26" s="89" t="s">
        <v>29</v>
      </c>
    </row>
    <row r="27" spans="2:11" x14ac:dyDescent="0.25">
      <c r="B27" s="88">
        <v>22</v>
      </c>
      <c r="C27" s="83" t="s">
        <v>3224</v>
      </c>
      <c r="D27" s="83" t="s">
        <v>20</v>
      </c>
      <c r="E27" s="83" t="s">
        <v>25</v>
      </c>
      <c r="F27" s="83" t="s">
        <v>27</v>
      </c>
      <c r="G27" s="83" t="s">
        <v>22</v>
      </c>
      <c r="H27" s="83" t="s">
        <v>26</v>
      </c>
      <c r="I27" s="83" t="s">
        <v>24</v>
      </c>
      <c r="J27" s="83" t="s">
        <v>30</v>
      </c>
      <c r="K27" s="89" t="s">
        <v>29</v>
      </c>
    </row>
    <row r="28" spans="2:11" x14ac:dyDescent="0.25">
      <c r="B28" s="88">
        <v>23</v>
      </c>
      <c r="C28" s="83" t="s">
        <v>3225</v>
      </c>
      <c r="D28" s="83" t="s">
        <v>20</v>
      </c>
      <c r="E28" s="83" t="s">
        <v>25</v>
      </c>
      <c r="F28" s="83" t="s">
        <v>28</v>
      </c>
      <c r="G28" s="83" t="s">
        <v>22</v>
      </c>
      <c r="H28" s="83" t="s">
        <v>26</v>
      </c>
      <c r="I28" s="83" t="s">
        <v>24</v>
      </c>
      <c r="J28" s="83" t="s">
        <v>30</v>
      </c>
      <c r="K28" s="89" t="s">
        <v>27</v>
      </c>
    </row>
    <row r="29" spans="2:11" x14ac:dyDescent="0.25">
      <c r="B29" s="88">
        <v>24</v>
      </c>
      <c r="C29" s="83" t="s">
        <v>3226</v>
      </c>
      <c r="D29" s="83" t="s">
        <v>20</v>
      </c>
      <c r="E29" s="83" t="s">
        <v>25</v>
      </c>
      <c r="F29" s="83" t="s">
        <v>28</v>
      </c>
      <c r="G29" s="83" t="s">
        <v>22</v>
      </c>
      <c r="H29" s="83" t="s">
        <v>26</v>
      </c>
      <c r="I29" s="83" t="s">
        <v>24</v>
      </c>
      <c r="J29" s="83" t="s">
        <v>27</v>
      </c>
      <c r="K29" s="89" t="s">
        <v>29</v>
      </c>
    </row>
    <row r="30" spans="2:11" x14ac:dyDescent="0.25">
      <c r="B30" s="88">
        <v>25</v>
      </c>
      <c r="C30" s="83" t="s">
        <v>3227</v>
      </c>
      <c r="D30" s="83" t="s">
        <v>23</v>
      </c>
      <c r="E30" s="83" t="s">
        <v>28</v>
      </c>
      <c r="F30" s="83" t="s">
        <v>27</v>
      </c>
      <c r="G30" s="83" t="s">
        <v>20</v>
      </c>
      <c r="H30" s="83" t="s">
        <v>26</v>
      </c>
      <c r="I30" s="83" t="s">
        <v>22</v>
      </c>
      <c r="J30" s="83" t="s">
        <v>30</v>
      </c>
      <c r="K30" s="89" t="s">
        <v>29</v>
      </c>
    </row>
    <row r="31" spans="2:11" x14ac:dyDescent="0.25">
      <c r="B31" s="88">
        <v>26</v>
      </c>
      <c r="C31" s="83" t="s">
        <v>3228</v>
      </c>
      <c r="D31" s="83" t="s">
        <v>23</v>
      </c>
      <c r="E31" s="83" t="s">
        <v>25</v>
      </c>
      <c r="F31" s="83" t="s">
        <v>27</v>
      </c>
      <c r="G31" s="83" t="s">
        <v>20</v>
      </c>
      <c r="H31" s="83" t="s">
        <v>28</v>
      </c>
      <c r="I31" s="83" t="s">
        <v>22</v>
      </c>
      <c r="J31" s="83" t="s">
        <v>30</v>
      </c>
      <c r="K31" s="89" t="s">
        <v>29</v>
      </c>
    </row>
    <row r="32" spans="2:11" x14ac:dyDescent="0.25">
      <c r="B32" s="88">
        <v>27</v>
      </c>
      <c r="C32" s="83" t="s">
        <v>3229</v>
      </c>
      <c r="D32" s="83" t="s">
        <v>23</v>
      </c>
      <c r="E32" s="83" t="s">
        <v>25</v>
      </c>
      <c r="F32" s="83" t="s">
        <v>28</v>
      </c>
      <c r="G32" s="83" t="s">
        <v>20</v>
      </c>
      <c r="H32" s="83" t="s">
        <v>26</v>
      </c>
      <c r="I32" s="83" t="s">
        <v>22</v>
      </c>
      <c r="J32" s="83" t="s">
        <v>30</v>
      </c>
      <c r="K32" s="89" t="s">
        <v>29</v>
      </c>
    </row>
    <row r="33" spans="2:11" x14ac:dyDescent="0.25">
      <c r="B33" s="88">
        <v>28</v>
      </c>
      <c r="C33" s="83" t="s">
        <v>3230</v>
      </c>
      <c r="D33" s="83" t="s">
        <v>23</v>
      </c>
      <c r="E33" s="83" t="s">
        <v>25</v>
      </c>
      <c r="F33" s="83" t="s">
        <v>27</v>
      </c>
      <c r="G33" s="83" t="s">
        <v>20</v>
      </c>
      <c r="H33" s="83" t="s">
        <v>26</v>
      </c>
      <c r="I33" s="83" t="s">
        <v>22</v>
      </c>
      <c r="J33" s="83" t="s">
        <v>30</v>
      </c>
      <c r="K33" s="89" t="s">
        <v>29</v>
      </c>
    </row>
    <row r="34" spans="2:11" x14ac:dyDescent="0.25">
      <c r="B34" s="88">
        <v>29</v>
      </c>
      <c r="C34" s="83" t="s">
        <v>3231</v>
      </c>
      <c r="D34" s="83" t="s">
        <v>23</v>
      </c>
      <c r="E34" s="83" t="s">
        <v>25</v>
      </c>
      <c r="F34" s="83" t="s">
        <v>28</v>
      </c>
      <c r="G34" s="83" t="s">
        <v>20</v>
      </c>
      <c r="H34" s="83" t="s">
        <v>26</v>
      </c>
      <c r="I34" s="83" t="s">
        <v>22</v>
      </c>
      <c r="J34" s="83" t="s">
        <v>30</v>
      </c>
      <c r="K34" s="89" t="s">
        <v>27</v>
      </c>
    </row>
    <row r="35" spans="2:11" x14ac:dyDescent="0.25">
      <c r="B35" s="88">
        <v>30</v>
      </c>
      <c r="C35" s="83" t="s">
        <v>3232</v>
      </c>
      <c r="D35" s="83" t="s">
        <v>23</v>
      </c>
      <c r="E35" s="83" t="s">
        <v>25</v>
      </c>
      <c r="F35" s="83" t="s">
        <v>28</v>
      </c>
      <c r="G35" s="83" t="s">
        <v>20</v>
      </c>
      <c r="H35" s="83" t="s">
        <v>26</v>
      </c>
      <c r="I35" s="83" t="s">
        <v>22</v>
      </c>
      <c r="J35" s="83" t="s">
        <v>27</v>
      </c>
      <c r="K35" s="89" t="s">
        <v>29</v>
      </c>
    </row>
    <row r="36" spans="2:11" x14ac:dyDescent="0.25">
      <c r="B36" s="88">
        <v>31</v>
      </c>
      <c r="C36" s="83" t="s">
        <v>3233</v>
      </c>
      <c r="D36" s="83" t="s">
        <v>20</v>
      </c>
      <c r="E36" s="83" t="s">
        <v>28</v>
      </c>
      <c r="F36" s="83" t="s">
        <v>23</v>
      </c>
      <c r="G36" s="83" t="s">
        <v>22</v>
      </c>
      <c r="H36" s="83" t="s">
        <v>27</v>
      </c>
      <c r="I36" s="83" t="s">
        <v>24</v>
      </c>
      <c r="J36" s="83" t="s">
        <v>30</v>
      </c>
      <c r="K36" s="89" t="s">
        <v>29</v>
      </c>
    </row>
    <row r="37" spans="2:11" x14ac:dyDescent="0.25">
      <c r="B37" s="88">
        <v>32</v>
      </c>
      <c r="C37" s="83" t="s">
        <v>3234</v>
      </c>
      <c r="D37" s="83" t="s">
        <v>20</v>
      </c>
      <c r="E37" s="83" t="s">
        <v>28</v>
      </c>
      <c r="F37" s="83" t="s">
        <v>23</v>
      </c>
      <c r="G37" s="83" t="s">
        <v>22</v>
      </c>
      <c r="H37" s="83" t="s">
        <v>26</v>
      </c>
      <c r="I37" s="83" t="s">
        <v>24</v>
      </c>
      <c r="J37" s="83" t="s">
        <v>30</v>
      </c>
      <c r="K37" s="89" t="s">
        <v>29</v>
      </c>
    </row>
    <row r="38" spans="2:11" x14ac:dyDescent="0.25">
      <c r="B38" s="88">
        <v>33</v>
      </c>
      <c r="C38" s="83" t="s">
        <v>3235</v>
      </c>
      <c r="D38" s="83" t="s">
        <v>20</v>
      </c>
      <c r="E38" s="83" t="s">
        <v>23</v>
      </c>
      <c r="F38" s="83" t="s">
        <v>27</v>
      </c>
      <c r="G38" s="83" t="s">
        <v>22</v>
      </c>
      <c r="H38" s="83" t="s">
        <v>26</v>
      </c>
      <c r="I38" s="83" t="s">
        <v>24</v>
      </c>
      <c r="J38" s="83" t="s">
        <v>30</v>
      </c>
      <c r="K38" s="89" t="s">
        <v>29</v>
      </c>
    </row>
    <row r="39" spans="2:11" x14ac:dyDescent="0.25">
      <c r="B39" s="88">
        <v>34</v>
      </c>
      <c r="C39" s="83" t="s">
        <v>3236</v>
      </c>
      <c r="D39" s="83" t="s">
        <v>20</v>
      </c>
      <c r="E39" s="83" t="s">
        <v>28</v>
      </c>
      <c r="F39" s="83" t="s">
        <v>23</v>
      </c>
      <c r="G39" s="83" t="s">
        <v>22</v>
      </c>
      <c r="H39" s="83" t="s">
        <v>26</v>
      </c>
      <c r="I39" s="83" t="s">
        <v>24</v>
      </c>
      <c r="J39" s="83" t="s">
        <v>30</v>
      </c>
      <c r="K39" s="89" t="s">
        <v>27</v>
      </c>
    </row>
    <row r="40" spans="2:11" x14ac:dyDescent="0.25">
      <c r="B40" s="88">
        <v>35</v>
      </c>
      <c r="C40" s="83" t="s">
        <v>3237</v>
      </c>
      <c r="D40" s="83" t="s">
        <v>20</v>
      </c>
      <c r="E40" s="83" t="s">
        <v>28</v>
      </c>
      <c r="F40" s="83" t="s">
        <v>23</v>
      </c>
      <c r="G40" s="83" t="s">
        <v>22</v>
      </c>
      <c r="H40" s="83" t="s">
        <v>26</v>
      </c>
      <c r="I40" s="83" t="s">
        <v>24</v>
      </c>
      <c r="J40" s="83" t="s">
        <v>27</v>
      </c>
      <c r="K40" s="89" t="s">
        <v>29</v>
      </c>
    </row>
    <row r="41" spans="2:11" x14ac:dyDescent="0.25">
      <c r="B41" s="88">
        <v>36</v>
      </c>
      <c r="C41" s="83" t="s">
        <v>3238</v>
      </c>
      <c r="D41" s="83" t="s">
        <v>20</v>
      </c>
      <c r="E41" s="83" t="s">
        <v>25</v>
      </c>
      <c r="F41" s="83" t="s">
        <v>23</v>
      </c>
      <c r="G41" s="83" t="s">
        <v>22</v>
      </c>
      <c r="H41" s="83" t="s">
        <v>28</v>
      </c>
      <c r="I41" s="83" t="s">
        <v>24</v>
      </c>
      <c r="J41" s="83" t="s">
        <v>30</v>
      </c>
      <c r="K41" s="89" t="s">
        <v>29</v>
      </c>
    </row>
    <row r="42" spans="2:11" x14ac:dyDescent="0.25">
      <c r="B42" s="88">
        <v>37</v>
      </c>
      <c r="C42" s="83" t="s">
        <v>3239</v>
      </c>
      <c r="D42" s="83" t="s">
        <v>20</v>
      </c>
      <c r="E42" s="83" t="s">
        <v>25</v>
      </c>
      <c r="F42" s="83" t="s">
        <v>23</v>
      </c>
      <c r="G42" s="83" t="s">
        <v>22</v>
      </c>
      <c r="H42" s="83" t="s">
        <v>27</v>
      </c>
      <c r="I42" s="83" t="s">
        <v>24</v>
      </c>
      <c r="J42" s="83" t="s">
        <v>30</v>
      </c>
      <c r="K42" s="89" t="s">
        <v>29</v>
      </c>
    </row>
    <row r="43" spans="2:11" x14ac:dyDescent="0.25">
      <c r="B43" s="88">
        <v>38</v>
      </c>
      <c r="C43" s="83" t="s">
        <v>3240</v>
      </c>
      <c r="D43" s="83" t="s">
        <v>20</v>
      </c>
      <c r="E43" s="83" t="s">
        <v>25</v>
      </c>
      <c r="F43" s="83" t="s">
        <v>23</v>
      </c>
      <c r="G43" s="83" t="s">
        <v>22</v>
      </c>
      <c r="H43" s="83" t="s">
        <v>28</v>
      </c>
      <c r="I43" s="83" t="s">
        <v>24</v>
      </c>
      <c r="J43" s="83" t="s">
        <v>30</v>
      </c>
      <c r="K43" s="89" t="s">
        <v>27</v>
      </c>
    </row>
    <row r="44" spans="2:11" x14ac:dyDescent="0.25">
      <c r="B44" s="88">
        <v>39</v>
      </c>
      <c r="C44" s="83" t="s">
        <v>3241</v>
      </c>
      <c r="D44" s="83" t="s">
        <v>20</v>
      </c>
      <c r="E44" s="83" t="s">
        <v>25</v>
      </c>
      <c r="F44" s="83" t="s">
        <v>23</v>
      </c>
      <c r="G44" s="83" t="s">
        <v>22</v>
      </c>
      <c r="H44" s="83" t="s">
        <v>28</v>
      </c>
      <c r="I44" s="83" t="s">
        <v>24</v>
      </c>
      <c r="J44" s="83" t="s">
        <v>27</v>
      </c>
      <c r="K44" s="89" t="s">
        <v>29</v>
      </c>
    </row>
    <row r="45" spans="2:11" x14ac:dyDescent="0.25">
      <c r="B45" s="88">
        <v>40</v>
      </c>
      <c r="C45" s="83" t="s">
        <v>3242</v>
      </c>
      <c r="D45" s="83" t="s">
        <v>20</v>
      </c>
      <c r="E45" s="83" t="s">
        <v>25</v>
      </c>
      <c r="F45" s="83" t="s">
        <v>23</v>
      </c>
      <c r="G45" s="83" t="s">
        <v>22</v>
      </c>
      <c r="H45" s="83" t="s">
        <v>26</v>
      </c>
      <c r="I45" s="83" t="s">
        <v>24</v>
      </c>
      <c r="J45" s="83" t="s">
        <v>30</v>
      </c>
      <c r="K45" s="89" t="s">
        <v>29</v>
      </c>
    </row>
    <row r="46" spans="2:11" x14ac:dyDescent="0.25">
      <c r="B46" s="88">
        <v>41</v>
      </c>
      <c r="C46" s="83" t="s">
        <v>3243</v>
      </c>
      <c r="D46" s="83" t="s">
        <v>20</v>
      </c>
      <c r="E46" s="83" t="s">
        <v>25</v>
      </c>
      <c r="F46" s="83" t="s">
        <v>28</v>
      </c>
      <c r="G46" s="83" t="s">
        <v>22</v>
      </c>
      <c r="H46" s="83" t="s">
        <v>26</v>
      </c>
      <c r="I46" s="83" t="s">
        <v>24</v>
      </c>
      <c r="J46" s="83" t="s">
        <v>30</v>
      </c>
      <c r="K46" s="89" t="s">
        <v>23</v>
      </c>
    </row>
    <row r="47" spans="2:11" x14ac:dyDescent="0.25">
      <c r="B47" s="88">
        <v>42</v>
      </c>
      <c r="C47" s="83" t="s">
        <v>3244</v>
      </c>
      <c r="D47" s="83" t="s">
        <v>20</v>
      </c>
      <c r="E47" s="83" t="s">
        <v>25</v>
      </c>
      <c r="F47" s="83" t="s">
        <v>28</v>
      </c>
      <c r="G47" s="83" t="s">
        <v>22</v>
      </c>
      <c r="H47" s="83" t="s">
        <v>26</v>
      </c>
      <c r="I47" s="83" t="s">
        <v>24</v>
      </c>
      <c r="J47" s="83" t="s">
        <v>23</v>
      </c>
      <c r="K47" s="89" t="s">
        <v>29</v>
      </c>
    </row>
    <row r="48" spans="2:11" x14ac:dyDescent="0.25">
      <c r="B48" s="88">
        <v>43</v>
      </c>
      <c r="C48" s="83" t="s">
        <v>3245</v>
      </c>
      <c r="D48" s="83" t="s">
        <v>20</v>
      </c>
      <c r="E48" s="83" t="s">
        <v>25</v>
      </c>
      <c r="F48" s="83" t="s">
        <v>23</v>
      </c>
      <c r="G48" s="83" t="s">
        <v>22</v>
      </c>
      <c r="H48" s="83" t="s">
        <v>26</v>
      </c>
      <c r="I48" s="83" t="s">
        <v>24</v>
      </c>
      <c r="J48" s="83" t="s">
        <v>30</v>
      </c>
      <c r="K48" s="89" t="s">
        <v>27</v>
      </c>
    </row>
    <row r="49" spans="2:11" x14ac:dyDescent="0.25">
      <c r="B49" s="88">
        <v>44</v>
      </c>
      <c r="C49" s="83" t="s">
        <v>3246</v>
      </c>
      <c r="D49" s="83" t="s">
        <v>20</v>
      </c>
      <c r="E49" s="83" t="s">
        <v>25</v>
      </c>
      <c r="F49" s="83" t="s">
        <v>23</v>
      </c>
      <c r="G49" s="83" t="s">
        <v>22</v>
      </c>
      <c r="H49" s="83" t="s">
        <v>26</v>
      </c>
      <c r="I49" s="83" t="s">
        <v>24</v>
      </c>
      <c r="J49" s="83" t="s">
        <v>27</v>
      </c>
      <c r="K49" s="89" t="s">
        <v>29</v>
      </c>
    </row>
    <row r="50" spans="2:11" x14ac:dyDescent="0.25">
      <c r="B50" s="88">
        <v>45</v>
      </c>
      <c r="C50" s="83" t="s">
        <v>3247</v>
      </c>
      <c r="D50" s="83" t="s">
        <v>20</v>
      </c>
      <c r="E50" s="83" t="s">
        <v>25</v>
      </c>
      <c r="F50" s="83" t="s">
        <v>28</v>
      </c>
      <c r="G50" s="83" t="s">
        <v>22</v>
      </c>
      <c r="H50" s="83" t="s">
        <v>26</v>
      </c>
      <c r="I50" s="83" t="s">
        <v>24</v>
      </c>
      <c r="J50" s="83" t="s">
        <v>23</v>
      </c>
      <c r="K50" s="89" t="s">
        <v>27</v>
      </c>
    </row>
    <row r="51" spans="2:11" x14ac:dyDescent="0.25">
      <c r="B51" s="88">
        <v>46</v>
      </c>
      <c r="C51" s="83" t="s">
        <v>3248</v>
      </c>
      <c r="D51" s="83" t="s">
        <v>26</v>
      </c>
      <c r="E51" s="83" t="s">
        <v>28</v>
      </c>
      <c r="F51" s="83" t="s">
        <v>19</v>
      </c>
      <c r="G51" s="83" t="s">
        <v>24</v>
      </c>
      <c r="H51" s="83" t="s">
        <v>27</v>
      </c>
      <c r="I51" s="83" t="s">
        <v>25</v>
      </c>
      <c r="J51" s="83" t="s">
        <v>30</v>
      </c>
      <c r="K51" s="89" t="s">
        <v>29</v>
      </c>
    </row>
    <row r="52" spans="2:11" x14ac:dyDescent="0.25">
      <c r="B52" s="88">
        <v>47</v>
      </c>
      <c r="C52" s="83" t="s">
        <v>3249</v>
      </c>
      <c r="D52" s="83" t="s">
        <v>23</v>
      </c>
      <c r="E52" s="83" t="s">
        <v>28</v>
      </c>
      <c r="F52" s="83" t="s">
        <v>27</v>
      </c>
      <c r="G52" s="83" t="s">
        <v>19</v>
      </c>
      <c r="H52" s="83" t="s">
        <v>26</v>
      </c>
      <c r="I52" s="83" t="s">
        <v>25</v>
      </c>
      <c r="J52" s="83" t="s">
        <v>30</v>
      </c>
      <c r="K52" s="89" t="s">
        <v>29</v>
      </c>
    </row>
    <row r="53" spans="2:11" x14ac:dyDescent="0.25">
      <c r="B53" s="88">
        <v>48</v>
      </c>
      <c r="C53" s="83" t="s">
        <v>3250</v>
      </c>
      <c r="D53" s="83" t="s">
        <v>23</v>
      </c>
      <c r="E53" s="83" t="s">
        <v>28</v>
      </c>
      <c r="F53" s="83" t="s">
        <v>19</v>
      </c>
      <c r="G53" s="83" t="s">
        <v>24</v>
      </c>
      <c r="H53" s="83" t="s">
        <v>27</v>
      </c>
      <c r="I53" s="83" t="s">
        <v>26</v>
      </c>
      <c r="J53" s="83" t="s">
        <v>30</v>
      </c>
      <c r="K53" s="89" t="s">
        <v>29</v>
      </c>
    </row>
    <row r="54" spans="2:11" x14ac:dyDescent="0.25">
      <c r="B54" s="88">
        <v>49</v>
      </c>
      <c r="C54" s="83" t="s">
        <v>3251</v>
      </c>
      <c r="D54" s="83" t="s">
        <v>23</v>
      </c>
      <c r="E54" s="83" t="s">
        <v>28</v>
      </c>
      <c r="F54" s="83" t="s">
        <v>19</v>
      </c>
      <c r="G54" s="83" t="s">
        <v>24</v>
      </c>
      <c r="H54" s="83" t="s">
        <v>27</v>
      </c>
      <c r="I54" s="83" t="s">
        <v>25</v>
      </c>
      <c r="J54" s="83" t="s">
        <v>30</v>
      </c>
      <c r="K54" s="89" t="s">
        <v>29</v>
      </c>
    </row>
    <row r="55" spans="2:11" x14ac:dyDescent="0.25">
      <c r="B55" s="88">
        <v>50</v>
      </c>
      <c r="C55" s="83" t="s">
        <v>3252</v>
      </c>
      <c r="D55" s="83" t="s">
        <v>23</v>
      </c>
      <c r="E55" s="83" t="s">
        <v>28</v>
      </c>
      <c r="F55" s="83" t="s">
        <v>19</v>
      </c>
      <c r="G55" s="83" t="s">
        <v>24</v>
      </c>
      <c r="H55" s="83" t="s">
        <v>26</v>
      </c>
      <c r="I55" s="83" t="s">
        <v>25</v>
      </c>
      <c r="J55" s="83" t="s">
        <v>30</v>
      </c>
      <c r="K55" s="89" t="s">
        <v>29</v>
      </c>
    </row>
    <row r="56" spans="2:11" x14ac:dyDescent="0.25">
      <c r="B56" s="88">
        <v>51</v>
      </c>
      <c r="C56" s="83" t="s">
        <v>3253</v>
      </c>
      <c r="D56" s="83" t="s">
        <v>23</v>
      </c>
      <c r="E56" s="83" t="s">
        <v>25</v>
      </c>
      <c r="F56" s="83" t="s">
        <v>19</v>
      </c>
      <c r="G56" s="83" t="s">
        <v>24</v>
      </c>
      <c r="H56" s="83" t="s">
        <v>27</v>
      </c>
      <c r="I56" s="83" t="s">
        <v>26</v>
      </c>
      <c r="J56" s="83" t="s">
        <v>30</v>
      </c>
      <c r="K56" s="89" t="s">
        <v>29</v>
      </c>
    </row>
    <row r="57" spans="2:11" x14ac:dyDescent="0.25">
      <c r="B57" s="88">
        <v>52</v>
      </c>
      <c r="C57" s="83" t="s">
        <v>3254</v>
      </c>
      <c r="D57" s="83" t="s">
        <v>23</v>
      </c>
      <c r="E57" s="83" t="s">
        <v>28</v>
      </c>
      <c r="F57" s="83" t="s">
        <v>19</v>
      </c>
      <c r="G57" s="83" t="s">
        <v>24</v>
      </c>
      <c r="H57" s="83" t="s">
        <v>26</v>
      </c>
      <c r="I57" s="83" t="s">
        <v>25</v>
      </c>
      <c r="J57" s="83" t="s">
        <v>30</v>
      </c>
      <c r="K57" s="89" t="s">
        <v>27</v>
      </c>
    </row>
    <row r="58" spans="2:11" x14ac:dyDescent="0.25">
      <c r="B58" s="88">
        <v>53</v>
      </c>
      <c r="C58" s="83" t="s">
        <v>3255</v>
      </c>
      <c r="D58" s="83" t="s">
        <v>23</v>
      </c>
      <c r="E58" s="83" t="s">
        <v>28</v>
      </c>
      <c r="F58" s="83" t="s">
        <v>19</v>
      </c>
      <c r="G58" s="83" t="s">
        <v>24</v>
      </c>
      <c r="H58" s="83" t="s">
        <v>26</v>
      </c>
      <c r="I58" s="83" t="s">
        <v>25</v>
      </c>
      <c r="J58" s="83" t="s">
        <v>27</v>
      </c>
      <c r="K58" s="89" t="s">
        <v>29</v>
      </c>
    </row>
    <row r="59" spans="2:11" x14ac:dyDescent="0.25">
      <c r="B59" s="88">
        <v>54</v>
      </c>
      <c r="C59" s="83" t="s">
        <v>3256</v>
      </c>
      <c r="D59" s="83" t="s">
        <v>26</v>
      </c>
      <c r="E59" s="83" t="s">
        <v>28</v>
      </c>
      <c r="F59" s="83" t="s">
        <v>19</v>
      </c>
      <c r="G59" s="83" t="s">
        <v>22</v>
      </c>
      <c r="H59" s="83" t="s">
        <v>27</v>
      </c>
      <c r="I59" s="83" t="s">
        <v>25</v>
      </c>
      <c r="J59" s="83" t="s">
        <v>30</v>
      </c>
      <c r="K59" s="89" t="s">
        <v>29</v>
      </c>
    </row>
    <row r="60" spans="2:11" x14ac:dyDescent="0.25">
      <c r="B60" s="88">
        <v>55</v>
      </c>
      <c r="C60" s="83" t="s">
        <v>3257</v>
      </c>
      <c r="D60" s="83" t="s">
        <v>26</v>
      </c>
      <c r="E60" s="83" t="s">
        <v>28</v>
      </c>
      <c r="F60" s="83" t="s">
        <v>19</v>
      </c>
      <c r="G60" s="83" t="s">
        <v>22</v>
      </c>
      <c r="H60" s="83" t="s">
        <v>27</v>
      </c>
      <c r="I60" s="83" t="s">
        <v>24</v>
      </c>
      <c r="J60" s="83" t="s">
        <v>30</v>
      </c>
      <c r="K60" s="89" t="s">
        <v>29</v>
      </c>
    </row>
    <row r="61" spans="2:11" x14ac:dyDescent="0.25">
      <c r="B61" s="88">
        <v>56</v>
      </c>
      <c r="C61" s="83" t="s">
        <v>3258</v>
      </c>
      <c r="D61" s="83" t="s">
        <v>27</v>
      </c>
      <c r="E61" s="83" t="s">
        <v>25</v>
      </c>
      <c r="F61" s="83" t="s">
        <v>19</v>
      </c>
      <c r="G61" s="83" t="s">
        <v>22</v>
      </c>
      <c r="H61" s="83" t="s">
        <v>28</v>
      </c>
      <c r="I61" s="83" t="s">
        <v>24</v>
      </c>
      <c r="J61" s="83" t="s">
        <v>30</v>
      </c>
      <c r="K61" s="89" t="s">
        <v>29</v>
      </c>
    </row>
    <row r="62" spans="2:11" x14ac:dyDescent="0.25">
      <c r="B62" s="88">
        <v>57</v>
      </c>
      <c r="C62" s="83" t="s">
        <v>3259</v>
      </c>
      <c r="D62" s="83" t="s">
        <v>26</v>
      </c>
      <c r="E62" s="83" t="s">
        <v>25</v>
      </c>
      <c r="F62" s="83" t="s">
        <v>19</v>
      </c>
      <c r="G62" s="83" t="s">
        <v>22</v>
      </c>
      <c r="H62" s="83" t="s">
        <v>28</v>
      </c>
      <c r="I62" s="83" t="s">
        <v>24</v>
      </c>
      <c r="J62" s="83" t="s">
        <v>30</v>
      </c>
      <c r="K62" s="89" t="s">
        <v>29</v>
      </c>
    </row>
    <row r="63" spans="2:11" x14ac:dyDescent="0.25">
      <c r="B63" s="88">
        <v>58</v>
      </c>
      <c r="C63" s="83" t="s">
        <v>3260</v>
      </c>
      <c r="D63" s="83" t="s">
        <v>26</v>
      </c>
      <c r="E63" s="83" t="s">
        <v>25</v>
      </c>
      <c r="F63" s="83" t="s">
        <v>19</v>
      </c>
      <c r="G63" s="83" t="s">
        <v>22</v>
      </c>
      <c r="H63" s="83" t="s">
        <v>27</v>
      </c>
      <c r="I63" s="83" t="s">
        <v>24</v>
      </c>
      <c r="J63" s="83" t="s">
        <v>30</v>
      </c>
      <c r="K63" s="89" t="s">
        <v>29</v>
      </c>
    </row>
    <row r="64" spans="2:11" x14ac:dyDescent="0.25">
      <c r="B64" s="88">
        <v>59</v>
      </c>
      <c r="C64" s="83" t="s">
        <v>3261</v>
      </c>
      <c r="D64" s="83" t="s">
        <v>26</v>
      </c>
      <c r="E64" s="83" t="s">
        <v>25</v>
      </c>
      <c r="F64" s="83" t="s">
        <v>19</v>
      </c>
      <c r="G64" s="83" t="s">
        <v>22</v>
      </c>
      <c r="H64" s="83" t="s">
        <v>28</v>
      </c>
      <c r="I64" s="83" t="s">
        <v>24</v>
      </c>
      <c r="J64" s="83" t="s">
        <v>30</v>
      </c>
      <c r="K64" s="89" t="s">
        <v>27</v>
      </c>
    </row>
    <row r="65" spans="2:11" x14ac:dyDescent="0.25">
      <c r="B65" s="88">
        <v>60</v>
      </c>
      <c r="C65" s="83" t="s">
        <v>3262</v>
      </c>
      <c r="D65" s="83" t="s">
        <v>26</v>
      </c>
      <c r="E65" s="83" t="s">
        <v>25</v>
      </c>
      <c r="F65" s="83" t="s">
        <v>19</v>
      </c>
      <c r="G65" s="83" t="s">
        <v>22</v>
      </c>
      <c r="H65" s="83" t="s">
        <v>28</v>
      </c>
      <c r="I65" s="83" t="s">
        <v>24</v>
      </c>
      <c r="J65" s="83" t="s">
        <v>27</v>
      </c>
      <c r="K65" s="89" t="s">
        <v>29</v>
      </c>
    </row>
    <row r="66" spans="2:11" x14ac:dyDescent="0.25">
      <c r="B66" s="88">
        <v>61</v>
      </c>
      <c r="C66" s="83" t="s">
        <v>3263</v>
      </c>
      <c r="D66" s="83" t="s">
        <v>23</v>
      </c>
      <c r="E66" s="83" t="s">
        <v>28</v>
      </c>
      <c r="F66" s="83" t="s">
        <v>19</v>
      </c>
      <c r="G66" s="83" t="s">
        <v>22</v>
      </c>
      <c r="H66" s="83" t="s">
        <v>27</v>
      </c>
      <c r="I66" s="83" t="s">
        <v>26</v>
      </c>
      <c r="J66" s="83" t="s">
        <v>30</v>
      </c>
      <c r="K66" s="89" t="s">
        <v>29</v>
      </c>
    </row>
    <row r="67" spans="2:11" x14ac:dyDescent="0.25">
      <c r="B67" s="88">
        <v>62</v>
      </c>
      <c r="C67" s="83" t="s">
        <v>3264</v>
      </c>
      <c r="D67" s="83" t="s">
        <v>23</v>
      </c>
      <c r="E67" s="83" t="s">
        <v>28</v>
      </c>
      <c r="F67" s="83" t="s">
        <v>19</v>
      </c>
      <c r="G67" s="83" t="s">
        <v>22</v>
      </c>
      <c r="H67" s="83" t="s">
        <v>27</v>
      </c>
      <c r="I67" s="83" t="s">
        <v>25</v>
      </c>
      <c r="J67" s="83" t="s">
        <v>30</v>
      </c>
      <c r="K67" s="89" t="s">
        <v>29</v>
      </c>
    </row>
    <row r="68" spans="2:11" x14ac:dyDescent="0.25">
      <c r="B68" s="88">
        <v>63</v>
      </c>
      <c r="C68" s="83" t="s">
        <v>3265</v>
      </c>
      <c r="D68" s="83" t="s">
        <v>23</v>
      </c>
      <c r="E68" s="83" t="s">
        <v>28</v>
      </c>
      <c r="F68" s="83" t="s">
        <v>19</v>
      </c>
      <c r="G68" s="83" t="s">
        <v>22</v>
      </c>
      <c r="H68" s="83" t="s">
        <v>26</v>
      </c>
      <c r="I68" s="83" t="s">
        <v>25</v>
      </c>
      <c r="J68" s="83" t="s">
        <v>30</v>
      </c>
      <c r="K68" s="89" t="s">
        <v>29</v>
      </c>
    </row>
    <row r="69" spans="2:11" x14ac:dyDescent="0.25">
      <c r="B69" s="88">
        <v>64</v>
      </c>
      <c r="C69" s="83" t="s">
        <v>3266</v>
      </c>
      <c r="D69" s="83" t="s">
        <v>23</v>
      </c>
      <c r="E69" s="83" t="s">
        <v>25</v>
      </c>
      <c r="F69" s="83" t="s">
        <v>19</v>
      </c>
      <c r="G69" s="83" t="s">
        <v>22</v>
      </c>
      <c r="H69" s="83" t="s">
        <v>27</v>
      </c>
      <c r="I69" s="83" t="s">
        <v>26</v>
      </c>
      <c r="J69" s="83" t="s">
        <v>30</v>
      </c>
      <c r="K69" s="89" t="s">
        <v>29</v>
      </c>
    </row>
    <row r="70" spans="2:11" x14ac:dyDescent="0.25">
      <c r="B70" s="88">
        <v>65</v>
      </c>
      <c r="C70" s="83" t="s">
        <v>3267</v>
      </c>
      <c r="D70" s="83" t="s">
        <v>23</v>
      </c>
      <c r="E70" s="83" t="s">
        <v>28</v>
      </c>
      <c r="F70" s="83" t="s">
        <v>19</v>
      </c>
      <c r="G70" s="83" t="s">
        <v>22</v>
      </c>
      <c r="H70" s="83" t="s">
        <v>26</v>
      </c>
      <c r="I70" s="83" t="s">
        <v>25</v>
      </c>
      <c r="J70" s="83" t="s">
        <v>30</v>
      </c>
      <c r="K70" s="89" t="s">
        <v>27</v>
      </c>
    </row>
    <row r="71" spans="2:11" x14ac:dyDescent="0.25">
      <c r="B71" s="88">
        <v>66</v>
      </c>
      <c r="C71" s="83" t="s">
        <v>3268</v>
      </c>
      <c r="D71" s="83" t="s">
        <v>23</v>
      </c>
      <c r="E71" s="83" t="s">
        <v>28</v>
      </c>
      <c r="F71" s="83" t="s">
        <v>19</v>
      </c>
      <c r="G71" s="83" t="s">
        <v>22</v>
      </c>
      <c r="H71" s="83" t="s">
        <v>26</v>
      </c>
      <c r="I71" s="83" t="s">
        <v>25</v>
      </c>
      <c r="J71" s="83" t="s">
        <v>27</v>
      </c>
      <c r="K71" s="89" t="s">
        <v>29</v>
      </c>
    </row>
    <row r="72" spans="2:11" x14ac:dyDescent="0.25">
      <c r="B72" s="88">
        <v>67</v>
      </c>
      <c r="C72" s="83" t="s">
        <v>3269</v>
      </c>
      <c r="D72" s="83" t="s">
        <v>23</v>
      </c>
      <c r="E72" s="83" t="s">
        <v>28</v>
      </c>
      <c r="F72" s="83" t="s">
        <v>19</v>
      </c>
      <c r="G72" s="83" t="s">
        <v>22</v>
      </c>
      <c r="H72" s="83" t="s">
        <v>27</v>
      </c>
      <c r="I72" s="83" t="s">
        <v>24</v>
      </c>
      <c r="J72" s="83" t="s">
        <v>30</v>
      </c>
      <c r="K72" s="89" t="s">
        <v>29</v>
      </c>
    </row>
    <row r="73" spans="2:11" x14ac:dyDescent="0.25">
      <c r="B73" s="88">
        <v>68</v>
      </c>
      <c r="C73" s="83" t="s">
        <v>3270</v>
      </c>
      <c r="D73" s="83" t="s">
        <v>23</v>
      </c>
      <c r="E73" s="83" t="s">
        <v>28</v>
      </c>
      <c r="F73" s="83" t="s">
        <v>19</v>
      </c>
      <c r="G73" s="83" t="s">
        <v>22</v>
      </c>
      <c r="H73" s="83" t="s">
        <v>26</v>
      </c>
      <c r="I73" s="83" t="s">
        <v>24</v>
      </c>
      <c r="J73" s="83" t="s">
        <v>30</v>
      </c>
      <c r="K73" s="89" t="s">
        <v>29</v>
      </c>
    </row>
    <row r="74" spans="2:11" x14ac:dyDescent="0.25">
      <c r="B74" s="88">
        <v>69</v>
      </c>
      <c r="C74" s="83" t="s">
        <v>3271</v>
      </c>
      <c r="D74" s="83" t="s">
        <v>23</v>
      </c>
      <c r="E74" s="83" t="s">
        <v>27</v>
      </c>
      <c r="F74" s="83" t="s">
        <v>19</v>
      </c>
      <c r="G74" s="83" t="s">
        <v>22</v>
      </c>
      <c r="H74" s="83" t="s">
        <v>26</v>
      </c>
      <c r="I74" s="83" t="s">
        <v>24</v>
      </c>
      <c r="J74" s="83" t="s">
        <v>30</v>
      </c>
      <c r="K74" s="89" t="s">
        <v>29</v>
      </c>
    </row>
    <row r="75" spans="2:11" x14ac:dyDescent="0.25">
      <c r="B75" s="88">
        <v>70</v>
      </c>
      <c r="C75" s="83" t="s">
        <v>3272</v>
      </c>
      <c r="D75" s="83" t="s">
        <v>23</v>
      </c>
      <c r="E75" s="83" t="s">
        <v>28</v>
      </c>
      <c r="F75" s="83" t="s">
        <v>19</v>
      </c>
      <c r="G75" s="83" t="s">
        <v>22</v>
      </c>
      <c r="H75" s="83" t="s">
        <v>26</v>
      </c>
      <c r="I75" s="83" t="s">
        <v>24</v>
      </c>
      <c r="J75" s="83" t="s">
        <v>30</v>
      </c>
      <c r="K75" s="89" t="s">
        <v>27</v>
      </c>
    </row>
    <row r="76" spans="2:11" x14ac:dyDescent="0.25">
      <c r="B76" s="88">
        <v>71</v>
      </c>
      <c r="C76" s="83" t="s">
        <v>3273</v>
      </c>
      <c r="D76" s="83" t="s">
        <v>23</v>
      </c>
      <c r="E76" s="83" t="s">
        <v>28</v>
      </c>
      <c r="F76" s="83" t="s">
        <v>19</v>
      </c>
      <c r="G76" s="83" t="s">
        <v>22</v>
      </c>
      <c r="H76" s="83" t="s">
        <v>26</v>
      </c>
      <c r="I76" s="83" t="s">
        <v>24</v>
      </c>
      <c r="J76" s="83" t="s">
        <v>27</v>
      </c>
      <c r="K76" s="89" t="s">
        <v>29</v>
      </c>
    </row>
    <row r="77" spans="2:11" x14ac:dyDescent="0.25">
      <c r="B77" s="88">
        <v>72</v>
      </c>
      <c r="C77" s="83" t="s">
        <v>3274</v>
      </c>
      <c r="D77" s="83" t="s">
        <v>23</v>
      </c>
      <c r="E77" s="83" t="s">
        <v>25</v>
      </c>
      <c r="F77" s="83" t="s">
        <v>19</v>
      </c>
      <c r="G77" s="83" t="s">
        <v>22</v>
      </c>
      <c r="H77" s="83" t="s">
        <v>28</v>
      </c>
      <c r="I77" s="83" t="s">
        <v>24</v>
      </c>
      <c r="J77" s="83" t="s">
        <v>30</v>
      </c>
      <c r="K77" s="89" t="s">
        <v>29</v>
      </c>
    </row>
    <row r="78" spans="2:11" x14ac:dyDescent="0.25">
      <c r="B78" s="88">
        <v>73</v>
      </c>
      <c r="C78" s="83" t="s">
        <v>3275</v>
      </c>
      <c r="D78" s="83" t="s">
        <v>23</v>
      </c>
      <c r="E78" s="83" t="s">
        <v>25</v>
      </c>
      <c r="F78" s="83" t="s">
        <v>19</v>
      </c>
      <c r="G78" s="83" t="s">
        <v>22</v>
      </c>
      <c r="H78" s="83" t="s">
        <v>27</v>
      </c>
      <c r="I78" s="83" t="s">
        <v>24</v>
      </c>
      <c r="J78" s="83" t="s">
        <v>30</v>
      </c>
      <c r="K78" s="89" t="s">
        <v>29</v>
      </c>
    </row>
    <row r="79" spans="2:11" x14ac:dyDescent="0.25">
      <c r="B79" s="88">
        <v>74</v>
      </c>
      <c r="C79" s="83" t="s">
        <v>3276</v>
      </c>
      <c r="D79" s="83" t="s">
        <v>23</v>
      </c>
      <c r="E79" s="83" t="s">
        <v>25</v>
      </c>
      <c r="F79" s="83" t="s">
        <v>19</v>
      </c>
      <c r="G79" s="83" t="s">
        <v>22</v>
      </c>
      <c r="H79" s="83" t="s">
        <v>28</v>
      </c>
      <c r="I79" s="83" t="s">
        <v>24</v>
      </c>
      <c r="J79" s="83" t="s">
        <v>30</v>
      </c>
      <c r="K79" s="89" t="s">
        <v>27</v>
      </c>
    </row>
    <row r="80" spans="2:11" x14ac:dyDescent="0.25">
      <c r="B80" s="88">
        <v>75</v>
      </c>
      <c r="C80" s="83" t="s">
        <v>3277</v>
      </c>
      <c r="D80" s="83" t="s">
        <v>23</v>
      </c>
      <c r="E80" s="83" t="s">
        <v>25</v>
      </c>
      <c r="F80" s="83" t="s">
        <v>19</v>
      </c>
      <c r="G80" s="83" t="s">
        <v>22</v>
      </c>
      <c r="H80" s="83" t="s">
        <v>28</v>
      </c>
      <c r="I80" s="83" t="s">
        <v>24</v>
      </c>
      <c r="J80" s="83" t="s">
        <v>27</v>
      </c>
      <c r="K80" s="89" t="s">
        <v>29</v>
      </c>
    </row>
    <row r="81" spans="2:11" x14ac:dyDescent="0.25">
      <c r="B81" s="88">
        <v>76</v>
      </c>
      <c r="C81" s="83" t="s">
        <v>3278</v>
      </c>
      <c r="D81" s="83" t="s">
        <v>23</v>
      </c>
      <c r="E81" s="83" t="s">
        <v>25</v>
      </c>
      <c r="F81" s="83" t="s">
        <v>19</v>
      </c>
      <c r="G81" s="83" t="s">
        <v>22</v>
      </c>
      <c r="H81" s="83" t="s">
        <v>26</v>
      </c>
      <c r="I81" s="83" t="s">
        <v>24</v>
      </c>
      <c r="J81" s="83" t="s">
        <v>30</v>
      </c>
      <c r="K81" s="89" t="s">
        <v>29</v>
      </c>
    </row>
    <row r="82" spans="2:11" x14ac:dyDescent="0.25">
      <c r="B82" s="88">
        <v>77</v>
      </c>
      <c r="C82" s="83" t="s">
        <v>3279</v>
      </c>
      <c r="D82" s="83" t="s">
        <v>26</v>
      </c>
      <c r="E82" s="83" t="s">
        <v>25</v>
      </c>
      <c r="F82" s="83" t="s">
        <v>19</v>
      </c>
      <c r="G82" s="83" t="s">
        <v>22</v>
      </c>
      <c r="H82" s="83" t="s">
        <v>28</v>
      </c>
      <c r="I82" s="83" t="s">
        <v>24</v>
      </c>
      <c r="J82" s="83" t="s">
        <v>30</v>
      </c>
      <c r="K82" s="89" t="s">
        <v>23</v>
      </c>
    </row>
    <row r="83" spans="2:11" x14ac:dyDescent="0.25">
      <c r="B83" s="88">
        <v>78</v>
      </c>
      <c r="C83" s="83" t="s">
        <v>3280</v>
      </c>
      <c r="D83" s="83" t="s">
        <v>26</v>
      </c>
      <c r="E83" s="83" t="s">
        <v>25</v>
      </c>
      <c r="F83" s="83" t="s">
        <v>19</v>
      </c>
      <c r="G83" s="83" t="s">
        <v>22</v>
      </c>
      <c r="H83" s="83" t="s">
        <v>28</v>
      </c>
      <c r="I83" s="83" t="s">
        <v>24</v>
      </c>
      <c r="J83" s="83" t="s">
        <v>23</v>
      </c>
      <c r="K83" s="89" t="s">
        <v>29</v>
      </c>
    </row>
    <row r="84" spans="2:11" x14ac:dyDescent="0.25">
      <c r="B84" s="88">
        <v>79</v>
      </c>
      <c r="C84" s="83" t="s">
        <v>3281</v>
      </c>
      <c r="D84" s="83" t="s">
        <v>23</v>
      </c>
      <c r="E84" s="83" t="s">
        <v>25</v>
      </c>
      <c r="F84" s="83" t="s">
        <v>19</v>
      </c>
      <c r="G84" s="83" t="s">
        <v>22</v>
      </c>
      <c r="H84" s="83" t="s">
        <v>26</v>
      </c>
      <c r="I84" s="83" t="s">
        <v>24</v>
      </c>
      <c r="J84" s="83" t="s">
        <v>30</v>
      </c>
      <c r="K84" s="89" t="s">
        <v>27</v>
      </c>
    </row>
    <row r="85" spans="2:11" x14ac:dyDescent="0.25">
      <c r="B85" s="88">
        <v>80</v>
      </c>
      <c r="C85" s="83" t="s">
        <v>3282</v>
      </c>
      <c r="D85" s="83" t="s">
        <v>23</v>
      </c>
      <c r="E85" s="83" t="s">
        <v>25</v>
      </c>
      <c r="F85" s="83" t="s">
        <v>19</v>
      </c>
      <c r="G85" s="83" t="s">
        <v>22</v>
      </c>
      <c r="H85" s="83" t="s">
        <v>26</v>
      </c>
      <c r="I85" s="83" t="s">
        <v>24</v>
      </c>
      <c r="J85" s="83" t="s">
        <v>27</v>
      </c>
      <c r="K85" s="89" t="s">
        <v>29</v>
      </c>
    </row>
    <row r="86" spans="2:11" x14ac:dyDescent="0.25">
      <c r="B86" s="88">
        <v>81</v>
      </c>
      <c r="C86" s="83" t="s">
        <v>3283</v>
      </c>
      <c r="D86" s="83" t="s">
        <v>26</v>
      </c>
      <c r="E86" s="83" t="s">
        <v>25</v>
      </c>
      <c r="F86" s="83" t="s">
        <v>19</v>
      </c>
      <c r="G86" s="83" t="s">
        <v>22</v>
      </c>
      <c r="H86" s="83" t="s">
        <v>28</v>
      </c>
      <c r="I86" s="83" t="s">
        <v>24</v>
      </c>
      <c r="J86" s="83" t="s">
        <v>23</v>
      </c>
      <c r="K86" s="89" t="s">
        <v>27</v>
      </c>
    </row>
    <row r="87" spans="2:11" x14ac:dyDescent="0.25">
      <c r="B87" s="88">
        <v>82</v>
      </c>
      <c r="C87" s="83" t="s">
        <v>3284</v>
      </c>
      <c r="D87" s="83" t="s">
        <v>26</v>
      </c>
      <c r="E87" s="83" t="s">
        <v>28</v>
      </c>
      <c r="F87" s="83" t="s">
        <v>19</v>
      </c>
      <c r="G87" s="83" t="s">
        <v>20</v>
      </c>
      <c r="H87" s="83" t="s">
        <v>27</v>
      </c>
      <c r="I87" s="83" t="s">
        <v>25</v>
      </c>
      <c r="J87" s="83" t="s">
        <v>30</v>
      </c>
      <c r="K87" s="89" t="s">
        <v>29</v>
      </c>
    </row>
    <row r="88" spans="2:11" x14ac:dyDescent="0.25">
      <c r="B88" s="88">
        <v>83</v>
      </c>
      <c r="C88" s="83" t="s">
        <v>3285</v>
      </c>
      <c r="D88" s="83" t="s">
        <v>26</v>
      </c>
      <c r="E88" s="83" t="s">
        <v>28</v>
      </c>
      <c r="F88" s="83" t="s">
        <v>19</v>
      </c>
      <c r="G88" s="83" t="s">
        <v>20</v>
      </c>
      <c r="H88" s="83" t="s">
        <v>27</v>
      </c>
      <c r="I88" s="83" t="s">
        <v>24</v>
      </c>
      <c r="J88" s="83" t="s">
        <v>30</v>
      </c>
      <c r="K88" s="89" t="s">
        <v>29</v>
      </c>
    </row>
    <row r="89" spans="2:11" x14ac:dyDescent="0.25">
      <c r="B89" s="88">
        <v>84</v>
      </c>
      <c r="C89" s="83" t="s">
        <v>3286</v>
      </c>
      <c r="D89" s="83" t="s">
        <v>27</v>
      </c>
      <c r="E89" s="83" t="s">
        <v>25</v>
      </c>
      <c r="F89" s="83" t="s">
        <v>19</v>
      </c>
      <c r="G89" s="83" t="s">
        <v>20</v>
      </c>
      <c r="H89" s="83" t="s">
        <v>28</v>
      </c>
      <c r="I89" s="83" t="s">
        <v>24</v>
      </c>
      <c r="J89" s="83" t="s">
        <v>30</v>
      </c>
      <c r="K89" s="89" t="s">
        <v>29</v>
      </c>
    </row>
    <row r="90" spans="2:11" x14ac:dyDescent="0.25">
      <c r="B90" s="88">
        <v>85</v>
      </c>
      <c r="C90" s="83" t="s">
        <v>3287</v>
      </c>
      <c r="D90" s="83" t="s">
        <v>26</v>
      </c>
      <c r="E90" s="83" t="s">
        <v>25</v>
      </c>
      <c r="F90" s="83" t="s">
        <v>19</v>
      </c>
      <c r="G90" s="83" t="s">
        <v>20</v>
      </c>
      <c r="H90" s="83" t="s">
        <v>28</v>
      </c>
      <c r="I90" s="83" t="s">
        <v>24</v>
      </c>
      <c r="J90" s="83" t="s">
        <v>30</v>
      </c>
      <c r="K90" s="89" t="s">
        <v>29</v>
      </c>
    </row>
    <row r="91" spans="2:11" x14ac:dyDescent="0.25">
      <c r="B91" s="88">
        <v>86</v>
      </c>
      <c r="C91" s="83" t="s">
        <v>3288</v>
      </c>
      <c r="D91" s="83" t="s">
        <v>26</v>
      </c>
      <c r="E91" s="83" t="s">
        <v>25</v>
      </c>
      <c r="F91" s="83" t="s">
        <v>19</v>
      </c>
      <c r="G91" s="83" t="s">
        <v>20</v>
      </c>
      <c r="H91" s="83" t="s">
        <v>27</v>
      </c>
      <c r="I91" s="83" t="s">
        <v>24</v>
      </c>
      <c r="J91" s="83" t="s">
        <v>30</v>
      </c>
      <c r="K91" s="89" t="s">
        <v>29</v>
      </c>
    </row>
    <row r="92" spans="2:11" x14ac:dyDescent="0.25">
      <c r="B92" s="88">
        <v>87</v>
      </c>
      <c r="C92" s="83" t="s">
        <v>3289</v>
      </c>
      <c r="D92" s="83" t="s">
        <v>26</v>
      </c>
      <c r="E92" s="83" t="s">
        <v>25</v>
      </c>
      <c r="F92" s="83" t="s">
        <v>19</v>
      </c>
      <c r="G92" s="83" t="s">
        <v>20</v>
      </c>
      <c r="H92" s="83" t="s">
        <v>28</v>
      </c>
      <c r="I92" s="83" t="s">
        <v>24</v>
      </c>
      <c r="J92" s="83" t="s">
        <v>30</v>
      </c>
      <c r="K92" s="89" t="s">
        <v>27</v>
      </c>
    </row>
    <row r="93" spans="2:11" x14ac:dyDescent="0.25">
      <c r="B93" s="88">
        <v>88</v>
      </c>
      <c r="C93" s="83" t="s">
        <v>3290</v>
      </c>
      <c r="D93" s="83" t="s">
        <v>26</v>
      </c>
      <c r="E93" s="83" t="s">
        <v>25</v>
      </c>
      <c r="F93" s="83" t="s">
        <v>19</v>
      </c>
      <c r="G93" s="83" t="s">
        <v>20</v>
      </c>
      <c r="H93" s="83" t="s">
        <v>28</v>
      </c>
      <c r="I93" s="83" t="s">
        <v>24</v>
      </c>
      <c r="J93" s="83" t="s">
        <v>27</v>
      </c>
      <c r="K93" s="89" t="s">
        <v>29</v>
      </c>
    </row>
    <row r="94" spans="2:11" x14ac:dyDescent="0.25">
      <c r="B94" s="88">
        <v>89</v>
      </c>
      <c r="C94" s="83" t="s">
        <v>3291</v>
      </c>
      <c r="D94" s="83" t="s">
        <v>23</v>
      </c>
      <c r="E94" s="83" t="s">
        <v>28</v>
      </c>
      <c r="F94" s="83" t="s">
        <v>19</v>
      </c>
      <c r="G94" s="83" t="s">
        <v>20</v>
      </c>
      <c r="H94" s="83" t="s">
        <v>27</v>
      </c>
      <c r="I94" s="83" t="s">
        <v>26</v>
      </c>
      <c r="J94" s="83" t="s">
        <v>30</v>
      </c>
      <c r="K94" s="89" t="s">
        <v>29</v>
      </c>
    </row>
    <row r="95" spans="2:11" x14ac:dyDescent="0.25">
      <c r="B95" s="88">
        <v>90</v>
      </c>
      <c r="C95" s="83" t="s">
        <v>3292</v>
      </c>
      <c r="D95" s="83" t="s">
        <v>23</v>
      </c>
      <c r="E95" s="83" t="s">
        <v>28</v>
      </c>
      <c r="F95" s="83" t="s">
        <v>19</v>
      </c>
      <c r="G95" s="83" t="s">
        <v>20</v>
      </c>
      <c r="H95" s="83" t="s">
        <v>27</v>
      </c>
      <c r="I95" s="83" t="s">
        <v>25</v>
      </c>
      <c r="J95" s="83" t="s">
        <v>30</v>
      </c>
      <c r="K95" s="89" t="s">
        <v>29</v>
      </c>
    </row>
    <row r="96" spans="2:11" x14ac:dyDescent="0.25">
      <c r="B96" s="88">
        <v>91</v>
      </c>
      <c r="C96" s="83" t="s">
        <v>3293</v>
      </c>
      <c r="D96" s="83" t="s">
        <v>23</v>
      </c>
      <c r="E96" s="83" t="s">
        <v>28</v>
      </c>
      <c r="F96" s="83" t="s">
        <v>19</v>
      </c>
      <c r="G96" s="83" t="s">
        <v>20</v>
      </c>
      <c r="H96" s="83" t="s">
        <v>26</v>
      </c>
      <c r="I96" s="83" t="s">
        <v>25</v>
      </c>
      <c r="J96" s="83" t="s">
        <v>30</v>
      </c>
      <c r="K96" s="89" t="s">
        <v>29</v>
      </c>
    </row>
    <row r="97" spans="2:11" x14ac:dyDescent="0.25">
      <c r="B97" s="88">
        <v>92</v>
      </c>
      <c r="C97" s="83" t="s">
        <v>3294</v>
      </c>
      <c r="D97" s="83" t="s">
        <v>23</v>
      </c>
      <c r="E97" s="83" t="s">
        <v>25</v>
      </c>
      <c r="F97" s="83" t="s">
        <v>19</v>
      </c>
      <c r="G97" s="83" t="s">
        <v>20</v>
      </c>
      <c r="H97" s="83" t="s">
        <v>27</v>
      </c>
      <c r="I97" s="83" t="s">
        <v>26</v>
      </c>
      <c r="J97" s="83" t="s">
        <v>30</v>
      </c>
      <c r="K97" s="89" t="s">
        <v>29</v>
      </c>
    </row>
    <row r="98" spans="2:11" x14ac:dyDescent="0.25">
      <c r="B98" s="88">
        <v>93</v>
      </c>
      <c r="C98" s="83" t="s">
        <v>3295</v>
      </c>
      <c r="D98" s="83" t="s">
        <v>23</v>
      </c>
      <c r="E98" s="83" t="s">
        <v>28</v>
      </c>
      <c r="F98" s="83" t="s">
        <v>19</v>
      </c>
      <c r="G98" s="83" t="s">
        <v>20</v>
      </c>
      <c r="H98" s="83" t="s">
        <v>26</v>
      </c>
      <c r="I98" s="83" t="s">
        <v>25</v>
      </c>
      <c r="J98" s="83" t="s">
        <v>30</v>
      </c>
      <c r="K98" s="89" t="s">
        <v>27</v>
      </c>
    </row>
    <row r="99" spans="2:11" x14ac:dyDescent="0.25">
      <c r="B99" s="88">
        <v>94</v>
      </c>
      <c r="C99" s="83" t="s">
        <v>3296</v>
      </c>
      <c r="D99" s="83" t="s">
        <v>23</v>
      </c>
      <c r="E99" s="83" t="s">
        <v>28</v>
      </c>
      <c r="F99" s="83" t="s">
        <v>19</v>
      </c>
      <c r="G99" s="83" t="s">
        <v>20</v>
      </c>
      <c r="H99" s="83" t="s">
        <v>26</v>
      </c>
      <c r="I99" s="83" t="s">
        <v>25</v>
      </c>
      <c r="J99" s="83" t="s">
        <v>27</v>
      </c>
      <c r="K99" s="89" t="s">
        <v>29</v>
      </c>
    </row>
    <row r="100" spans="2:11" x14ac:dyDescent="0.25">
      <c r="B100" s="88">
        <v>95</v>
      </c>
      <c r="C100" s="83" t="s">
        <v>3297</v>
      </c>
      <c r="D100" s="83" t="s">
        <v>23</v>
      </c>
      <c r="E100" s="83" t="s">
        <v>28</v>
      </c>
      <c r="F100" s="83" t="s">
        <v>19</v>
      </c>
      <c r="G100" s="83" t="s">
        <v>20</v>
      </c>
      <c r="H100" s="83" t="s">
        <v>27</v>
      </c>
      <c r="I100" s="83" t="s">
        <v>24</v>
      </c>
      <c r="J100" s="83" t="s">
        <v>30</v>
      </c>
      <c r="K100" s="89" t="s">
        <v>29</v>
      </c>
    </row>
    <row r="101" spans="2:11" x14ac:dyDescent="0.25">
      <c r="B101" s="88">
        <v>96</v>
      </c>
      <c r="C101" s="83" t="s">
        <v>3298</v>
      </c>
      <c r="D101" s="83" t="s">
        <v>23</v>
      </c>
      <c r="E101" s="83" t="s">
        <v>28</v>
      </c>
      <c r="F101" s="83" t="s">
        <v>19</v>
      </c>
      <c r="G101" s="83" t="s">
        <v>20</v>
      </c>
      <c r="H101" s="83" t="s">
        <v>26</v>
      </c>
      <c r="I101" s="83" t="s">
        <v>24</v>
      </c>
      <c r="J101" s="83" t="s">
        <v>30</v>
      </c>
      <c r="K101" s="89" t="s">
        <v>29</v>
      </c>
    </row>
    <row r="102" spans="2:11" x14ac:dyDescent="0.25">
      <c r="B102" s="88">
        <v>97</v>
      </c>
      <c r="C102" s="83" t="s">
        <v>3299</v>
      </c>
      <c r="D102" s="83" t="s">
        <v>23</v>
      </c>
      <c r="E102" s="83" t="s">
        <v>27</v>
      </c>
      <c r="F102" s="83" t="s">
        <v>19</v>
      </c>
      <c r="G102" s="83" t="s">
        <v>20</v>
      </c>
      <c r="H102" s="83" t="s">
        <v>26</v>
      </c>
      <c r="I102" s="83" t="s">
        <v>24</v>
      </c>
      <c r="J102" s="83" t="s">
        <v>30</v>
      </c>
      <c r="K102" s="89" t="s">
        <v>29</v>
      </c>
    </row>
    <row r="103" spans="2:11" x14ac:dyDescent="0.25">
      <c r="B103" s="88">
        <v>98</v>
      </c>
      <c r="C103" s="83" t="s">
        <v>3300</v>
      </c>
      <c r="D103" s="83" t="s">
        <v>23</v>
      </c>
      <c r="E103" s="83" t="s">
        <v>28</v>
      </c>
      <c r="F103" s="83" t="s">
        <v>19</v>
      </c>
      <c r="G103" s="83" t="s">
        <v>20</v>
      </c>
      <c r="H103" s="83" t="s">
        <v>26</v>
      </c>
      <c r="I103" s="83" t="s">
        <v>24</v>
      </c>
      <c r="J103" s="83" t="s">
        <v>30</v>
      </c>
      <c r="K103" s="89" t="s">
        <v>27</v>
      </c>
    </row>
    <row r="104" spans="2:11" x14ac:dyDescent="0.25">
      <c r="B104" s="88">
        <v>99</v>
      </c>
      <c r="C104" s="83" t="s">
        <v>3301</v>
      </c>
      <c r="D104" s="83" t="s">
        <v>23</v>
      </c>
      <c r="E104" s="83" t="s">
        <v>28</v>
      </c>
      <c r="F104" s="83" t="s">
        <v>19</v>
      </c>
      <c r="G104" s="83" t="s">
        <v>20</v>
      </c>
      <c r="H104" s="83" t="s">
        <v>26</v>
      </c>
      <c r="I104" s="83" t="s">
        <v>24</v>
      </c>
      <c r="J104" s="83" t="s">
        <v>27</v>
      </c>
      <c r="K104" s="89" t="s">
        <v>29</v>
      </c>
    </row>
    <row r="105" spans="2:11" x14ac:dyDescent="0.25">
      <c r="B105" s="88">
        <v>100</v>
      </c>
      <c r="C105" s="83" t="s">
        <v>3302</v>
      </c>
      <c r="D105" s="83" t="s">
        <v>23</v>
      </c>
      <c r="E105" s="83" t="s">
        <v>25</v>
      </c>
      <c r="F105" s="83" t="s">
        <v>19</v>
      </c>
      <c r="G105" s="83" t="s">
        <v>20</v>
      </c>
      <c r="H105" s="83" t="s">
        <v>28</v>
      </c>
      <c r="I105" s="83" t="s">
        <v>24</v>
      </c>
      <c r="J105" s="83" t="s">
        <v>30</v>
      </c>
      <c r="K105" s="89" t="s">
        <v>29</v>
      </c>
    </row>
    <row r="106" spans="2:11" x14ac:dyDescent="0.25">
      <c r="B106" s="88">
        <v>101</v>
      </c>
      <c r="C106" s="83" t="s">
        <v>3303</v>
      </c>
      <c r="D106" s="83" t="s">
        <v>23</v>
      </c>
      <c r="E106" s="83" t="s">
        <v>25</v>
      </c>
      <c r="F106" s="83" t="s">
        <v>19</v>
      </c>
      <c r="G106" s="83" t="s">
        <v>20</v>
      </c>
      <c r="H106" s="83" t="s">
        <v>27</v>
      </c>
      <c r="I106" s="83" t="s">
        <v>24</v>
      </c>
      <c r="J106" s="83" t="s">
        <v>30</v>
      </c>
      <c r="K106" s="89" t="s">
        <v>29</v>
      </c>
    </row>
    <row r="107" spans="2:11" x14ac:dyDescent="0.25">
      <c r="B107" s="88">
        <v>102</v>
      </c>
      <c r="C107" s="83" t="s">
        <v>3304</v>
      </c>
      <c r="D107" s="83" t="s">
        <v>23</v>
      </c>
      <c r="E107" s="83" t="s">
        <v>25</v>
      </c>
      <c r="F107" s="83" t="s">
        <v>19</v>
      </c>
      <c r="G107" s="83" t="s">
        <v>20</v>
      </c>
      <c r="H107" s="83" t="s">
        <v>28</v>
      </c>
      <c r="I107" s="83" t="s">
        <v>24</v>
      </c>
      <c r="J107" s="83" t="s">
        <v>30</v>
      </c>
      <c r="K107" s="89" t="s">
        <v>27</v>
      </c>
    </row>
    <row r="108" spans="2:11" x14ac:dyDescent="0.25">
      <c r="B108" s="88">
        <v>103</v>
      </c>
      <c r="C108" s="83" t="s">
        <v>3305</v>
      </c>
      <c r="D108" s="83" t="s">
        <v>23</v>
      </c>
      <c r="E108" s="83" t="s">
        <v>25</v>
      </c>
      <c r="F108" s="83" t="s">
        <v>19</v>
      </c>
      <c r="G108" s="83" t="s">
        <v>20</v>
      </c>
      <c r="H108" s="83" t="s">
        <v>28</v>
      </c>
      <c r="I108" s="83" t="s">
        <v>24</v>
      </c>
      <c r="J108" s="83" t="s">
        <v>27</v>
      </c>
      <c r="K108" s="89" t="s">
        <v>29</v>
      </c>
    </row>
    <row r="109" spans="2:11" x14ac:dyDescent="0.25">
      <c r="B109" s="88">
        <v>104</v>
      </c>
      <c r="C109" s="83" t="s">
        <v>3306</v>
      </c>
      <c r="D109" s="83" t="s">
        <v>23</v>
      </c>
      <c r="E109" s="83" t="s">
        <v>25</v>
      </c>
      <c r="F109" s="83" t="s">
        <v>19</v>
      </c>
      <c r="G109" s="83" t="s">
        <v>20</v>
      </c>
      <c r="H109" s="83" t="s">
        <v>26</v>
      </c>
      <c r="I109" s="83" t="s">
        <v>24</v>
      </c>
      <c r="J109" s="83" t="s">
        <v>30</v>
      </c>
      <c r="K109" s="89" t="s">
        <v>29</v>
      </c>
    </row>
    <row r="110" spans="2:11" x14ac:dyDescent="0.25">
      <c r="B110" s="88">
        <v>105</v>
      </c>
      <c r="C110" s="83" t="s">
        <v>3307</v>
      </c>
      <c r="D110" s="83" t="s">
        <v>26</v>
      </c>
      <c r="E110" s="83" t="s">
        <v>25</v>
      </c>
      <c r="F110" s="83" t="s">
        <v>19</v>
      </c>
      <c r="G110" s="83" t="s">
        <v>20</v>
      </c>
      <c r="H110" s="83" t="s">
        <v>28</v>
      </c>
      <c r="I110" s="83" t="s">
        <v>24</v>
      </c>
      <c r="J110" s="83" t="s">
        <v>30</v>
      </c>
      <c r="K110" s="89" t="s">
        <v>23</v>
      </c>
    </row>
    <row r="111" spans="2:11" x14ac:dyDescent="0.25">
      <c r="B111" s="88">
        <v>106</v>
      </c>
      <c r="C111" s="83" t="s">
        <v>3308</v>
      </c>
      <c r="D111" s="83" t="s">
        <v>26</v>
      </c>
      <c r="E111" s="83" t="s">
        <v>25</v>
      </c>
      <c r="F111" s="83" t="s">
        <v>19</v>
      </c>
      <c r="G111" s="83" t="s">
        <v>20</v>
      </c>
      <c r="H111" s="83" t="s">
        <v>28</v>
      </c>
      <c r="I111" s="83" t="s">
        <v>24</v>
      </c>
      <c r="J111" s="83" t="s">
        <v>23</v>
      </c>
      <c r="K111" s="89" t="s">
        <v>29</v>
      </c>
    </row>
    <row r="112" spans="2:11" x14ac:dyDescent="0.25">
      <c r="B112" s="88">
        <v>107</v>
      </c>
      <c r="C112" s="83" t="s">
        <v>3309</v>
      </c>
      <c r="D112" s="83" t="s">
        <v>23</v>
      </c>
      <c r="E112" s="83" t="s">
        <v>25</v>
      </c>
      <c r="F112" s="83" t="s">
        <v>19</v>
      </c>
      <c r="G112" s="83" t="s">
        <v>20</v>
      </c>
      <c r="H112" s="83" t="s">
        <v>26</v>
      </c>
      <c r="I112" s="83" t="s">
        <v>24</v>
      </c>
      <c r="J112" s="83" t="s">
        <v>30</v>
      </c>
      <c r="K112" s="89" t="s">
        <v>27</v>
      </c>
    </row>
    <row r="113" spans="2:11" x14ac:dyDescent="0.25">
      <c r="B113" s="88">
        <v>108</v>
      </c>
      <c r="C113" s="83" t="s">
        <v>3310</v>
      </c>
      <c r="D113" s="83" t="s">
        <v>23</v>
      </c>
      <c r="E113" s="83" t="s">
        <v>25</v>
      </c>
      <c r="F113" s="83" t="s">
        <v>19</v>
      </c>
      <c r="G113" s="83" t="s">
        <v>20</v>
      </c>
      <c r="H113" s="83" t="s">
        <v>26</v>
      </c>
      <c r="I113" s="83" t="s">
        <v>24</v>
      </c>
      <c r="J113" s="83" t="s">
        <v>27</v>
      </c>
      <c r="K113" s="89" t="s">
        <v>29</v>
      </c>
    </row>
    <row r="114" spans="2:11" x14ac:dyDescent="0.25">
      <c r="B114" s="88">
        <v>109</v>
      </c>
      <c r="C114" s="83" t="s">
        <v>3311</v>
      </c>
      <c r="D114" s="83" t="s">
        <v>26</v>
      </c>
      <c r="E114" s="83" t="s">
        <v>25</v>
      </c>
      <c r="F114" s="83" t="s">
        <v>19</v>
      </c>
      <c r="G114" s="83" t="s">
        <v>20</v>
      </c>
      <c r="H114" s="83" t="s">
        <v>28</v>
      </c>
      <c r="I114" s="83" t="s">
        <v>24</v>
      </c>
      <c r="J114" s="83" t="s">
        <v>23</v>
      </c>
      <c r="K114" s="89" t="s">
        <v>27</v>
      </c>
    </row>
    <row r="115" spans="2:11" x14ac:dyDescent="0.25">
      <c r="B115" s="88">
        <v>110</v>
      </c>
      <c r="C115" s="83" t="s">
        <v>3312</v>
      </c>
      <c r="D115" s="83" t="s">
        <v>26</v>
      </c>
      <c r="E115" s="83" t="s">
        <v>28</v>
      </c>
      <c r="F115" s="83" t="s">
        <v>19</v>
      </c>
      <c r="G115" s="83" t="s">
        <v>20</v>
      </c>
      <c r="H115" s="83" t="s">
        <v>27</v>
      </c>
      <c r="I115" s="83" t="s">
        <v>22</v>
      </c>
      <c r="J115" s="83" t="s">
        <v>30</v>
      </c>
      <c r="K115" s="89" t="s">
        <v>29</v>
      </c>
    </row>
    <row r="116" spans="2:11" x14ac:dyDescent="0.25">
      <c r="B116" s="88">
        <v>111</v>
      </c>
      <c r="C116" s="83" t="s">
        <v>3313</v>
      </c>
      <c r="D116" s="83" t="s">
        <v>27</v>
      </c>
      <c r="E116" s="83" t="s">
        <v>25</v>
      </c>
      <c r="F116" s="83" t="s">
        <v>19</v>
      </c>
      <c r="G116" s="83" t="s">
        <v>20</v>
      </c>
      <c r="H116" s="83" t="s">
        <v>28</v>
      </c>
      <c r="I116" s="83" t="s">
        <v>22</v>
      </c>
      <c r="J116" s="83" t="s">
        <v>30</v>
      </c>
      <c r="K116" s="89" t="s">
        <v>29</v>
      </c>
    </row>
    <row r="117" spans="2:11" x14ac:dyDescent="0.25">
      <c r="B117" s="88">
        <v>112</v>
      </c>
      <c r="C117" s="83" t="s">
        <v>3314</v>
      </c>
      <c r="D117" s="83" t="s">
        <v>26</v>
      </c>
      <c r="E117" s="83" t="s">
        <v>25</v>
      </c>
      <c r="F117" s="83" t="s">
        <v>19</v>
      </c>
      <c r="G117" s="83" t="s">
        <v>20</v>
      </c>
      <c r="H117" s="83" t="s">
        <v>28</v>
      </c>
      <c r="I117" s="83" t="s">
        <v>22</v>
      </c>
      <c r="J117" s="83" t="s">
        <v>30</v>
      </c>
      <c r="K117" s="89" t="s">
        <v>29</v>
      </c>
    </row>
    <row r="118" spans="2:11" x14ac:dyDescent="0.25">
      <c r="B118" s="88">
        <v>113</v>
      </c>
      <c r="C118" s="83" t="s">
        <v>3315</v>
      </c>
      <c r="D118" s="83" t="s">
        <v>26</v>
      </c>
      <c r="E118" s="83" t="s">
        <v>25</v>
      </c>
      <c r="F118" s="83" t="s">
        <v>19</v>
      </c>
      <c r="G118" s="83" t="s">
        <v>20</v>
      </c>
      <c r="H118" s="83" t="s">
        <v>27</v>
      </c>
      <c r="I118" s="83" t="s">
        <v>22</v>
      </c>
      <c r="J118" s="83" t="s">
        <v>30</v>
      </c>
      <c r="K118" s="89" t="s">
        <v>29</v>
      </c>
    </row>
    <row r="119" spans="2:11" x14ac:dyDescent="0.25">
      <c r="B119" s="88">
        <v>114</v>
      </c>
      <c r="C119" s="83" t="s">
        <v>3316</v>
      </c>
      <c r="D119" s="83" t="s">
        <v>26</v>
      </c>
      <c r="E119" s="83" t="s">
        <v>25</v>
      </c>
      <c r="F119" s="83" t="s">
        <v>19</v>
      </c>
      <c r="G119" s="83" t="s">
        <v>20</v>
      </c>
      <c r="H119" s="83" t="s">
        <v>28</v>
      </c>
      <c r="I119" s="83" t="s">
        <v>22</v>
      </c>
      <c r="J119" s="83" t="s">
        <v>30</v>
      </c>
      <c r="K119" s="89" t="s">
        <v>27</v>
      </c>
    </row>
    <row r="120" spans="2:11" x14ac:dyDescent="0.25">
      <c r="B120" s="88">
        <v>115</v>
      </c>
      <c r="C120" s="83" t="s">
        <v>3317</v>
      </c>
      <c r="D120" s="83" t="s">
        <v>26</v>
      </c>
      <c r="E120" s="83" t="s">
        <v>25</v>
      </c>
      <c r="F120" s="83" t="s">
        <v>19</v>
      </c>
      <c r="G120" s="83" t="s">
        <v>20</v>
      </c>
      <c r="H120" s="83" t="s">
        <v>28</v>
      </c>
      <c r="I120" s="83" t="s">
        <v>22</v>
      </c>
      <c r="J120" s="83" t="s">
        <v>27</v>
      </c>
      <c r="K120" s="89" t="s">
        <v>29</v>
      </c>
    </row>
    <row r="121" spans="2:11" x14ac:dyDescent="0.25">
      <c r="B121" s="88">
        <v>116</v>
      </c>
      <c r="C121" s="83" t="s">
        <v>3318</v>
      </c>
      <c r="D121" s="83" t="s">
        <v>20</v>
      </c>
      <c r="E121" s="83" t="s">
        <v>28</v>
      </c>
      <c r="F121" s="83" t="s">
        <v>19</v>
      </c>
      <c r="G121" s="83" t="s">
        <v>22</v>
      </c>
      <c r="H121" s="83" t="s">
        <v>27</v>
      </c>
      <c r="I121" s="83" t="s">
        <v>24</v>
      </c>
      <c r="J121" s="83" t="s">
        <v>30</v>
      </c>
      <c r="K121" s="89" t="s">
        <v>29</v>
      </c>
    </row>
    <row r="122" spans="2:11" x14ac:dyDescent="0.25">
      <c r="B122" s="88">
        <v>117</v>
      </c>
      <c r="C122" s="83" t="s">
        <v>3319</v>
      </c>
      <c r="D122" s="83" t="s">
        <v>20</v>
      </c>
      <c r="E122" s="83" t="s">
        <v>28</v>
      </c>
      <c r="F122" s="83" t="s">
        <v>19</v>
      </c>
      <c r="G122" s="83" t="s">
        <v>22</v>
      </c>
      <c r="H122" s="83" t="s">
        <v>26</v>
      </c>
      <c r="I122" s="83" t="s">
        <v>24</v>
      </c>
      <c r="J122" s="83" t="s">
        <v>30</v>
      </c>
      <c r="K122" s="89" t="s">
        <v>29</v>
      </c>
    </row>
    <row r="123" spans="2:11" x14ac:dyDescent="0.25">
      <c r="B123" s="88">
        <v>118</v>
      </c>
      <c r="C123" s="83" t="s">
        <v>3320</v>
      </c>
      <c r="D123" s="83" t="s">
        <v>20</v>
      </c>
      <c r="E123" s="83" t="s">
        <v>27</v>
      </c>
      <c r="F123" s="83" t="s">
        <v>19</v>
      </c>
      <c r="G123" s="83" t="s">
        <v>22</v>
      </c>
      <c r="H123" s="83" t="s">
        <v>26</v>
      </c>
      <c r="I123" s="83" t="s">
        <v>24</v>
      </c>
      <c r="J123" s="83" t="s">
        <v>30</v>
      </c>
      <c r="K123" s="89" t="s">
        <v>29</v>
      </c>
    </row>
    <row r="124" spans="2:11" x14ac:dyDescent="0.25">
      <c r="B124" s="88">
        <v>119</v>
      </c>
      <c r="C124" s="83" t="s">
        <v>3321</v>
      </c>
      <c r="D124" s="83" t="s">
        <v>20</v>
      </c>
      <c r="E124" s="83" t="s">
        <v>28</v>
      </c>
      <c r="F124" s="83" t="s">
        <v>19</v>
      </c>
      <c r="G124" s="83" t="s">
        <v>22</v>
      </c>
      <c r="H124" s="83" t="s">
        <v>26</v>
      </c>
      <c r="I124" s="83" t="s">
        <v>24</v>
      </c>
      <c r="J124" s="83" t="s">
        <v>30</v>
      </c>
      <c r="K124" s="89" t="s">
        <v>27</v>
      </c>
    </row>
    <row r="125" spans="2:11" x14ac:dyDescent="0.25">
      <c r="B125" s="88">
        <v>120</v>
      </c>
      <c r="C125" s="83" t="s">
        <v>3322</v>
      </c>
      <c r="D125" s="83" t="s">
        <v>20</v>
      </c>
      <c r="E125" s="83" t="s">
        <v>28</v>
      </c>
      <c r="F125" s="83" t="s">
        <v>19</v>
      </c>
      <c r="G125" s="83" t="s">
        <v>22</v>
      </c>
      <c r="H125" s="83" t="s">
        <v>26</v>
      </c>
      <c r="I125" s="83" t="s">
        <v>24</v>
      </c>
      <c r="J125" s="83" t="s">
        <v>27</v>
      </c>
      <c r="K125" s="89" t="s">
        <v>29</v>
      </c>
    </row>
    <row r="126" spans="2:11" x14ac:dyDescent="0.25">
      <c r="B126" s="88">
        <v>121</v>
      </c>
      <c r="C126" s="83" t="s">
        <v>3323</v>
      </c>
      <c r="D126" s="83" t="s">
        <v>20</v>
      </c>
      <c r="E126" s="83" t="s">
        <v>25</v>
      </c>
      <c r="F126" s="83" t="s">
        <v>19</v>
      </c>
      <c r="G126" s="83" t="s">
        <v>22</v>
      </c>
      <c r="H126" s="83" t="s">
        <v>28</v>
      </c>
      <c r="I126" s="83" t="s">
        <v>24</v>
      </c>
      <c r="J126" s="83" t="s">
        <v>30</v>
      </c>
      <c r="K126" s="89" t="s">
        <v>29</v>
      </c>
    </row>
    <row r="127" spans="2:11" x14ac:dyDescent="0.25">
      <c r="B127" s="88">
        <v>122</v>
      </c>
      <c r="C127" s="83" t="s">
        <v>3324</v>
      </c>
      <c r="D127" s="83" t="s">
        <v>20</v>
      </c>
      <c r="E127" s="83" t="s">
        <v>25</v>
      </c>
      <c r="F127" s="83" t="s">
        <v>19</v>
      </c>
      <c r="G127" s="83" t="s">
        <v>22</v>
      </c>
      <c r="H127" s="83" t="s">
        <v>27</v>
      </c>
      <c r="I127" s="83" t="s">
        <v>24</v>
      </c>
      <c r="J127" s="83" t="s">
        <v>30</v>
      </c>
      <c r="K127" s="89" t="s">
        <v>29</v>
      </c>
    </row>
    <row r="128" spans="2:11" x14ac:dyDescent="0.25">
      <c r="B128" s="88">
        <v>123</v>
      </c>
      <c r="C128" s="83" t="s">
        <v>3325</v>
      </c>
      <c r="D128" s="83" t="s">
        <v>20</v>
      </c>
      <c r="E128" s="83" t="s">
        <v>25</v>
      </c>
      <c r="F128" s="83" t="s">
        <v>19</v>
      </c>
      <c r="G128" s="83" t="s">
        <v>22</v>
      </c>
      <c r="H128" s="83" t="s">
        <v>28</v>
      </c>
      <c r="I128" s="83" t="s">
        <v>24</v>
      </c>
      <c r="J128" s="83" t="s">
        <v>30</v>
      </c>
      <c r="K128" s="89" t="s">
        <v>27</v>
      </c>
    </row>
    <row r="129" spans="2:11" x14ac:dyDescent="0.25">
      <c r="B129" s="88">
        <v>124</v>
      </c>
      <c r="C129" s="83" t="s">
        <v>3326</v>
      </c>
      <c r="D129" s="83" t="s">
        <v>20</v>
      </c>
      <c r="E129" s="83" t="s">
        <v>25</v>
      </c>
      <c r="F129" s="83" t="s">
        <v>19</v>
      </c>
      <c r="G129" s="83" t="s">
        <v>22</v>
      </c>
      <c r="H129" s="83" t="s">
        <v>28</v>
      </c>
      <c r="I129" s="83" t="s">
        <v>24</v>
      </c>
      <c r="J129" s="83" t="s">
        <v>27</v>
      </c>
      <c r="K129" s="89" t="s">
        <v>29</v>
      </c>
    </row>
    <row r="130" spans="2:11" x14ac:dyDescent="0.25">
      <c r="B130" s="88">
        <v>125</v>
      </c>
      <c r="C130" s="83" t="s">
        <v>3327</v>
      </c>
      <c r="D130" s="83" t="s">
        <v>20</v>
      </c>
      <c r="E130" s="83" t="s">
        <v>25</v>
      </c>
      <c r="F130" s="83" t="s">
        <v>19</v>
      </c>
      <c r="G130" s="83" t="s">
        <v>22</v>
      </c>
      <c r="H130" s="83" t="s">
        <v>26</v>
      </c>
      <c r="I130" s="83" t="s">
        <v>24</v>
      </c>
      <c r="J130" s="83" t="s">
        <v>30</v>
      </c>
      <c r="K130" s="89" t="s">
        <v>29</v>
      </c>
    </row>
    <row r="131" spans="2:11" x14ac:dyDescent="0.25">
      <c r="B131" s="88">
        <v>126</v>
      </c>
      <c r="C131" s="83" t="s">
        <v>3328</v>
      </c>
      <c r="D131" s="83" t="s">
        <v>20</v>
      </c>
      <c r="E131" s="83" t="s">
        <v>25</v>
      </c>
      <c r="F131" s="83" t="s">
        <v>19</v>
      </c>
      <c r="G131" s="83" t="s">
        <v>22</v>
      </c>
      <c r="H131" s="83" t="s">
        <v>26</v>
      </c>
      <c r="I131" s="83" t="s">
        <v>24</v>
      </c>
      <c r="J131" s="83" t="s">
        <v>30</v>
      </c>
      <c r="K131" s="89" t="s">
        <v>28</v>
      </c>
    </row>
    <row r="132" spans="2:11" x14ac:dyDescent="0.25">
      <c r="B132" s="88">
        <v>127</v>
      </c>
      <c r="C132" s="83" t="s">
        <v>3329</v>
      </c>
      <c r="D132" s="83" t="s">
        <v>26</v>
      </c>
      <c r="E132" s="83" t="s">
        <v>25</v>
      </c>
      <c r="F132" s="83" t="s">
        <v>19</v>
      </c>
      <c r="G132" s="83" t="s">
        <v>20</v>
      </c>
      <c r="H132" s="83" t="s">
        <v>28</v>
      </c>
      <c r="I132" s="83" t="s">
        <v>24</v>
      </c>
      <c r="J132" s="83" t="s">
        <v>22</v>
      </c>
      <c r="K132" s="89" t="s">
        <v>29</v>
      </c>
    </row>
    <row r="133" spans="2:11" x14ac:dyDescent="0.25">
      <c r="B133" s="88">
        <v>128</v>
      </c>
      <c r="C133" s="83" t="s">
        <v>3330</v>
      </c>
      <c r="D133" s="83" t="s">
        <v>20</v>
      </c>
      <c r="E133" s="83" t="s">
        <v>25</v>
      </c>
      <c r="F133" s="83" t="s">
        <v>19</v>
      </c>
      <c r="G133" s="83" t="s">
        <v>22</v>
      </c>
      <c r="H133" s="83" t="s">
        <v>26</v>
      </c>
      <c r="I133" s="83" t="s">
        <v>24</v>
      </c>
      <c r="J133" s="83" t="s">
        <v>30</v>
      </c>
      <c r="K133" s="89" t="s">
        <v>27</v>
      </c>
    </row>
    <row r="134" spans="2:11" x14ac:dyDescent="0.25">
      <c r="B134" s="88">
        <v>129</v>
      </c>
      <c r="C134" s="83" t="s">
        <v>3331</v>
      </c>
      <c r="D134" s="83" t="s">
        <v>20</v>
      </c>
      <c r="E134" s="83" t="s">
        <v>25</v>
      </c>
      <c r="F134" s="83" t="s">
        <v>19</v>
      </c>
      <c r="G134" s="83" t="s">
        <v>22</v>
      </c>
      <c r="H134" s="83" t="s">
        <v>26</v>
      </c>
      <c r="I134" s="83" t="s">
        <v>24</v>
      </c>
      <c r="J134" s="83" t="s">
        <v>27</v>
      </c>
      <c r="K134" s="89" t="s">
        <v>29</v>
      </c>
    </row>
    <row r="135" spans="2:11" x14ac:dyDescent="0.25">
      <c r="B135" s="88">
        <v>130</v>
      </c>
      <c r="C135" s="83" t="s">
        <v>3332</v>
      </c>
      <c r="D135" s="83" t="s">
        <v>26</v>
      </c>
      <c r="E135" s="83" t="s">
        <v>25</v>
      </c>
      <c r="F135" s="83" t="s">
        <v>19</v>
      </c>
      <c r="G135" s="83" t="s">
        <v>20</v>
      </c>
      <c r="H135" s="83" t="s">
        <v>28</v>
      </c>
      <c r="I135" s="83" t="s">
        <v>24</v>
      </c>
      <c r="J135" s="83" t="s">
        <v>22</v>
      </c>
      <c r="K135" s="89" t="s">
        <v>27</v>
      </c>
    </row>
    <row r="136" spans="2:11" x14ac:dyDescent="0.25">
      <c r="B136" s="88">
        <v>131</v>
      </c>
      <c r="C136" s="83" t="s">
        <v>3333</v>
      </c>
      <c r="D136" s="83" t="s">
        <v>23</v>
      </c>
      <c r="E136" s="83" t="s">
        <v>28</v>
      </c>
      <c r="F136" s="83" t="s">
        <v>19</v>
      </c>
      <c r="G136" s="83" t="s">
        <v>20</v>
      </c>
      <c r="H136" s="83" t="s">
        <v>27</v>
      </c>
      <c r="I136" s="83" t="s">
        <v>22</v>
      </c>
      <c r="J136" s="83" t="s">
        <v>30</v>
      </c>
      <c r="K136" s="89" t="s">
        <v>29</v>
      </c>
    </row>
    <row r="137" spans="2:11" x14ac:dyDescent="0.25">
      <c r="B137" s="88">
        <v>132</v>
      </c>
      <c r="C137" s="83" t="s">
        <v>3334</v>
      </c>
      <c r="D137" s="83" t="s">
        <v>23</v>
      </c>
      <c r="E137" s="83" t="s">
        <v>28</v>
      </c>
      <c r="F137" s="83" t="s">
        <v>19</v>
      </c>
      <c r="G137" s="83" t="s">
        <v>20</v>
      </c>
      <c r="H137" s="83" t="s">
        <v>26</v>
      </c>
      <c r="I137" s="83" t="s">
        <v>22</v>
      </c>
      <c r="J137" s="83" t="s">
        <v>30</v>
      </c>
      <c r="K137" s="89" t="s">
        <v>29</v>
      </c>
    </row>
    <row r="138" spans="2:11" x14ac:dyDescent="0.25">
      <c r="B138" s="88">
        <v>133</v>
      </c>
      <c r="C138" s="83" t="s">
        <v>3335</v>
      </c>
      <c r="D138" s="83" t="s">
        <v>23</v>
      </c>
      <c r="E138" s="83" t="s">
        <v>27</v>
      </c>
      <c r="F138" s="83" t="s">
        <v>19</v>
      </c>
      <c r="G138" s="83" t="s">
        <v>20</v>
      </c>
      <c r="H138" s="83" t="s">
        <v>26</v>
      </c>
      <c r="I138" s="83" t="s">
        <v>22</v>
      </c>
      <c r="J138" s="83" t="s">
        <v>30</v>
      </c>
      <c r="K138" s="89" t="s">
        <v>29</v>
      </c>
    </row>
    <row r="139" spans="2:11" x14ac:dyDescent="0.25">
      <c r="B139" s="88">
        <v>134</v>
      </c>
      <c r="C139" s="83" t="s">
        <v>3336</v>
      </c>
      <c r="D139" s="83" t="s">
        <v>23</v>
      </c>
      <c r="E139" s="83" t="s">
        <v>28</v>
      </c>
      <c r="F139" s="83" t="s">
        <v>19</v>
      </c>
      <c r="G139" s="83" t="s">
        <v>20</v>
      </c>
      <c r="H139" s="83" t="s">
        <v>26</v>
      </c>
      <c r="I139" s="83" t="s">
        <v>22</v>
      </c>
      <c r="J139" s="83" t="s">
        <v>30</v>
      </c>
      <c r="K139" s="89" t="s">
        <v>27</v>
      </c>
    </row>
    <row r="140" spans="2:11" x14ac:dyDescent="0.25">
      <c r="B140" s="88">
        <v>135</v>
      </c>
      <c r="C140" s="83" t="s">
        <v>3337</v>
      </c>
      <c r="D140" s="83" t="s">
        <v>23</v>
      </c>
      <c r="E140" s="83" t="s">
        <v>28</v>
      </c>
      <c r="F140" s="83" t="s">
        <v>19</v>
      </c>
      <c r="G140" s="83" t="s">
        <v>20</v>
      </c>
      <c r="H140" s="83" t="s">
        <v>26</v>
      </c>
      <c r="I140" s="83" t="s">
        <v>22</v>
      </c>
      <c r="J140" s="83" t="s">
        <v>27</v>
      </c>
      <c r="K140" s="89" t="s">
        <v>29</v>
      </c>
    </row>
    <row r="141" spans="2:11" x14ac:dyDescent="0.25">
      <c r="B141" s="88">
        <v>136</v>
      </c>
      <c r="C141" s="83" t="s">
        <v>3338</v>
      </c>
      <c r="D141" s="83" t="s">
        <v>23</v>
      </c>
      <c r="E141" s="83" t="s">
        <v>25</v>
      </c>
      <c r="F141" s="83" t="s">
        <v>19</v>
      </c>
      <c r="G141" s="83" t="s">
        <v>20</v>
      </c>
      <c r="H141" s="83" t="s">
        <v>28</v>
      </c>
      <c r="I141" s="83" t="s">
        <v>22</v>
      </c>
      <c r="J141" s="83" t="s">
        <v>30</v>
      </c>
      <c r="K141" s="89" t="s">
        <v>29</v>
      </c>
    </row>
    <row r="142" spans="2:11" x14ac:dyDescent="0.25">
      <c r="B142" s="88">
        <v>137</v>
      </c>
      <c r="C142" s="83" t="s">
        <v>3339</v>
      </c>
      <c r="D142" s="83" t="s">
        <v>23</v>
      </c>
      <c r="E142" s="83" t="s">
        <v>25</v>
      </c>
      <c r="F142" s="83" t="s">
        <v>19</v>
      </c>
      <c r="G142" s="83" t="s">
        <v>20</v>
      </c>
      <c r="H142" s="83" t="s">
        <v>27</v>
      </c>
      <c r="I142" s="83" t="s">
        <v>22</v>
      </c>
      <c r="J142" s="83" t="s">
        <v>30</v>
      </c>
      <c r="K142" s="89" t="s">
        <v>29</v>
      </c>
    </row>
    <row r="143" spans="2:11" x14ac:dyDescent="0.25">
      <c r="B143" s="88">
        <v>138</v>
      </c>
      <c r="C143" s="83" t="s">
        <v>3340</v>
      </c>
      <c r="D143" s="83" t="s">
        <v>23</v>
      </c>
      <c r="E143" s="83" t="s">
        <v>25</v>
      </c>
      <c r="F143" s="83" t="s">
        <v>19</v>
      </c>
      <c r="G143" s="83" t="s">
        <v>20</v>
      </c>
      <c r="H143" s="83" t="s">
        <v>28</v>
      </c>
      <c r="I143" s="83" t="s">
        <v>22</v>
      </c>
      <c r="J143" s="83" t="s">
        <v>30</v>
      </c>
      <c r="K143" s="89" t="s">
        <v>27</v>
      </c>
    </row>
    <row r="144" spans="2:11" x14ac:dyDescent="0.25">
      <c r="B144" s="88">
        <v>139</v>
      </c>
      <c r="C144" s="83" t="s">
        <v>3341</v>
      </c>
      <c r="D144" s="83" t="s">
        <v>23</v>
      </c>
      <c r="E144" s="83" t="s">
        <v>25</v>
      </c>
      <c r="F144" s="83" t="s">
        <v>19</v>
      </c>
      <c r="G144" s="83" t="s">
        <v>20</v>
      </c>
      <c r="H144" s="83" t="s">
        <v>28</v>
      </c>
      <c r="I144" s="83" t="s">
        <v>22</v>
      </c>
      <c r="J144" s="83" t="s">
        <v>27</v>
      </c>
      <c r="K144" s="89" t="s">
        <v>29</v>
      </c>
    </row>
    <row r="145" spans="2:11" x14ac:dyDescent="0.25">
      <c r="B145" s="88">
        <v>140</v>
      </c>
      <c r="C145" s="83" t="s">
        <v>3342</v>
      </c>
      <c r="D145" s="83" t="s">
        <v>23</v>
      </c>
      <c r="E145" s="83" t="s">
        <v>25</v>
      </c>
      <c r="F145" s="83" t="s">
        <v>19</v>
      </c>
      <c r="G145" s="83" t="s">
        <v>20</v>
      </c>
      <c r="H145" s="83" t="s">
        <v>26</v>
      </c>
      <c r="I145" s="83" t="s">
        <v>22</v>
      </c>
      <c r="J145" s="83" t="s">
        <v>30</v>
      </c>
      <c r="K145" s="89" t="s">
        <v>29</v>
      </c>
    </row>
    <row r="146" spans="2:11" x14ac:dyDescent="0.25">
      <c r="B146" s="88">
        <v>141</v>
      </c>
      <c r="C146" s="83" t="s">
        <v>3343</v>
      </c>
      <c r="D146" s="83" t="s">
        <v>26</v>
      </c>
      <c r="E146" s="83" t="s">
        <v>25</v>
      </c>
      <c r="F146" s="83" t="s">
        <v>19</v>
      </c>
      <c r="G146" s="83" t="s">
        <v>20</v>
      </c>
      <c r="H146" s="83" t="s">
        <v>28</v>
      </c>
      <c r="I146" s="83" t="s">
        <v>22</v>
      </c>
      <c r="J146" s="83" t="s">
        <v>30</v>
      </c>
      <c r="K146" s="89" t="s">
        <v>23</v>
      </c>
    </row>
    <row r="147" spans="2:11" x14ac:dyDescent="0.25">
      <c r="B147" s="88">
        <v>142</v>
      </c>
      <c r="C147" s="83" t="s">
        <v>3344</v>
      </c>
      <c r="D147" s="83" t="s">
        <v>26</v>
      </c>
      <c r="E147" s="83" t="s">
        <v>25</v>
      </c>
      <c r="F147" s="83" t="s">
        <v>19</v>
      </c>
      <c r="G147" s="83" t="s">
        <v>20</v>
      </c>
      <c r="H147" s="83" t="s">
        <v>28</v>
      </c>
      <c r="I147" s="83" t="s">
        <v>22</v>
      </c>
      <c r="J147" s="83" t="s">
        <v>23</v>
      </c>
      <c r="K147" s="89" t="s">
        <v>29</v>
      </c>
    </row>
    <row r="148" spans="2:11" x14ac:dyDescent="0.25">
      <c r="B148" s="88">
        <v>143</v>
      </c>
      <c r="C148" s="83" t="s">
        <v>3345</v>
      </c>
      <c r="D148" s="83" t="s">
        <v>23</v>
      </c>
      <c r="E148" s="83" t="s">
        <v>25</v>
      </c>
      <c r="F148" s="83" t="s">
        <v>19</v>
      </c>
      <c r="G148" s="83" t="s">
        <v>20</v>
      </c>
      <c r="H148" s="83" t="s">
        <v>26</v>
      </c>
      <c r="I148" s="83" t="s">
        <v>22</v>
      </c>
      <c r="J148" s="83" t="s">
        <v>30</v>
      </c>
      <c r="K148" s="89" t="s">
        <v>27</v>
      </c>
    </row>
    <row r="149" spans="2:11" x14ac:dyDescent="0.25">
      <c r="B149" s="88">
        <v>144</v>
      </c>
      <c r="C149" s="83" t="s">
        <v>3346</v>
      </c>
      <c r="D149" s="83" t="s">
        <v>23</v>
      </c>
      <c r="E149" s="83" t="s">
        <v>25</v>
      </c>
      <c r="F149" s="83" t="s">
        <v>19</v>
      </c>
      <c r="G149" s="83" t="s">
        <v>20</v>
      </c>
      <c r="H149" s="83" t="s">
        <v>26</v>
      </c>
      <c r="I149" s="83" t="s">
        <v>22</v>
      </c>
      <c r="J149" s="83" t="s">
        <v>27</v>
      </c>
      <c r="K149" s="89" t="s">
        <v>29</v>
      </c>
    </row>
    <row r="150" spans="2:11" x14ac:dyDescent="0.25">
      <c r="B150" s="88">
        <v>145</v>
      </c>
      <c r="C150" s="83" t="s">
        <v>3347</v>
      </c>
      <c r="D150" s="83" t="s">
        <v>26</v>
      </c>
      <c r="E150" s="83" t="s">
        <v>25</v>
      </c>
      <c r="F150" s="83" t="s">
        <v>19</v>
      </c>
      <c r="G150" s="83" t="s">
        <v>20</v>
      </c>
      <c r="H150" s="83" t="s">
        <v>28</v>
      </c>
      <c r="I150" s="83" t="s">
        <v>22</v>
      </c>
      <c r="J150" s="83" t="s">
        <v>23</v>
      </c>
      <c r="K150" s="89" t="s">
        <v>27</v>
      </c>
    </row>
    <row r="151" spans="2:11" x14ac:dyDescent="0.25">
      <c r="B151" s="88">
        <v>146</v>
      </c>
      <c r="C151" s="83" t="s">
        <v>3348</v>
      </c>
      <c r="D151" s="83" t="s">
        <v>20</v>
      </c>
      <c r="E151" s="83" t="s">
        <v>28</v>
      </c>
      <c r="F151" s="83" t="s">
        <v>19</v>
      </c>
      <c r="G151" s="83" t="s">
        <v>22</v>
      </c>
      <c r="H151" s="83" t="s">
        <v>23</v>
      </c>
      <c r="I151" s="83" t="s">
        <v>24</v>
      </c>
      <c r="J151" s="83" t="s">
        <v>30</v>
      </c>
      <c r="K151" s="89" t="s">
        <v>29</v>
      </c>
    </row>
    <row r="152" spans="2:11" x14ac:dyDescent="0.25">
      <c r="B152" s="88">
        <v>147</v>
      </c>
      <c r="C152" s="83" t="s">
        <v>3349</v>
      </c>
      <c r="D152" s="83" t="s">
        <v>20</v>
      </c>
      <c r="E152" s="83" t="s">
        <v>23</v>
      </c>
      <c r="F152" s="83" t="s">
        <v>19</v>
      </c>
      <c r="G152" s="83" t="s">
        <v>22</v>
      </c>
      <c r="H152" s="83" t="s">
        <v>27</v>
      </c>
      <c r="I152" s="83" t="s">
        <v>24</v>
      </c>
      <c r="J152" s="83" t="s">
        <v>30</v>
      </c>
      <c r="K152" s="89" t="s">
        <v>29</v>
      </c>
    </row>
    <row r="153" spans="2:11" x14ac:dyDescent="0.25">
      <c r="B153" s="88">
        <v>148</v>
      </c>
      <c r="C153" s="83" t="s">
        <v>3350</v>
      </c>
      <c r="D153" s="83" t="s">
        <v>20</v>
      </c>
      <c r="E153" s="83" t="s">
        <v>28</v>
      </c>
      <c r="F153" s="83" t="s">
        <v>19</v>
      </c>
      <c r="G153" s="83" t="s">
        <v>22</v>
      </c>
      <c r="H153" s="83" t="s">
        <v>23</v>
      </c>
      <c r="I153" s="83" t="s">
        <v>24</v>
      </c>
      <c r="J153" s="83" t="s">
        <v>30</v>
      </c>
      <c r="K153" s="89" t="s">
        <v>27</v>
      </c>
    </row>
    <row r="154" spans="2:11" x14ac:dyDescent="0.25">
      <c r="B154" s="88">
        <v>149</v>
      </c>
      <c r="C154" s="83" t="s">
        <v>3351</v>
      </c>
      <c r="D154" s="83" t="s">
        <v>20</v>
      </c>
      <c r="E154" s="83" t="s">
        <v>28</v>
      </c>
      <c r="F154" s="83" t="s">
        <v>19</v>
      </c>
      <c r="G154" s="83" t="s">
        <v>22</v>
      </c>
      <c r="H154" s="83" t="s">
        <v>23</v>
      </c>
      <c r="I154" s="83" t="s">
        <v>24</v>
      </c>
      <c r="J154" s="83" t="s">
        <v>27</v>
      </c>
      <c r="K154" s="89" t="s">
        <v>29</v>
      </c>
    </row>
    <row r="155" spans="2:11" x14ac:dyDescent="0.25">
      <c r="B155" s="88">
        <v>150</v>
      </c>
      <c r="C155" s="83" t="s">
        <v>3352</v>
      </c>
      <c r="D155" s="83" t="s">
        <v>20</v>
      </c>
      <c r="E155" s="83" t="s">
        <v>23</v>
      </c>
      <c r="F155" s="83" t="s">
        <v>19</v>
      </c>
      <c r="G155" s="83" t="s">
        <v>22</v>
      </c>
      <c r="H155" s="83" t="s">
        <v>26</v>
      </c>
      <c r="I155" s="83" t="s">
        <v>24</v>
      </c>
      <c r="J155" s="83" t="s">
        <v>30</v>
      </c>
      <c r="K155" s="89" t="s">
        <v>29</v>
      </c>
    </row>
    <row r="156" spans="2:11" x14ac:dyDescent="0.25">
      <c r="B156" s="88">
        <v>151</v>
      </c>
      <c r="C156" s="83" t="s">
        <v>3353</v>
      </c>
      <c r="D156" s="83" t="s">
        <v>20</v>
      </c>
      <c r="E156" s="83" t="s">
        <v>28</v>
      </c>
      <c r="F156" s="83" t="s">
        <v>19</v>
      </c>
      <c r="G156" s="83" t="s">
        <v>22</v>
      </c>
      <c r="H156" s="83" t="s">
        <v>26</v>
      </c>
      <c r="I156" s="83" t="s">
        <v>24</v>
      </c>
      <c r="J156" s="83" t="s">
        <v>30</v>
      </c>
      <c r="K156" s="89" t="s">
        <v>23</v>
      </c>
    </row>
    <row r="157" spans="2:11" x14ac:dyDescent="0.25">
      <c r="B157" s="88">
        <v>152</v>
      </c>
      <c r="C157" s="83" t="s">
        <v>3354</v>
      </c>
      <c r="D157" s="83" t="s">
        <v>20</v>
      </c>
      <c r="E157" s="83" t="s">
        <v>28</v>
      </c>
      <c r="F157" s="83" t="s">
        <v>19</v>
      </c>
      <c r="G157" s="83" t="s">
        <v>22</v>
      </c>
      <c r="H157" s="83" t="s">
        <v>26</v>
      </c>
      <c r="I157" s="83" t="s">
        <v>24</v>
      </c>
      <c r="J157" s="83" t="s">
        <v>23</v>
      </c>
      <c r="K157" s="89" t="s">
        <v>29</v>
      </c>
    </row>
    <row r="158" spans="2:11" x14ac:dyDescent="0.25">
      <c r="B158" s="88">
        <v>153</v>
      </c>
      <c r="C158" s="83" t="s">
        <v>3355</v>
      </c>
      <c r="D158" s="83" t="s">
        <v>20</v>
      </c>
      <c r="E158" s="83" t="s">
        <v>23</v>
      </c>
      <c r="F158" s="83" t="s">
        <v>19</v>
      </c>
      <c r="G158" s="83" t="s">
        <v>22</v>
      </c>
      <c r="H158" s="83" t="s">
        <v>26</v>
      </c>
      <c r="I158" s="83" t="s">
        <v>24</v>
      </c>
      <c r="J158" s="83" t="s">
        <v>30</v>
      </c>
      <c r="K158" s="89" t="s">
        <v>27</v>
      </c>
    </row>
    <row r="159" spans="2:11" x14ac:dyDescent="0.25">
      <c r="B159" s="88">
        <v>154</v>
      </c>
      <c r="C159" s="83" t="s">
        <v>3356</v>
      </c>
      <c r="D159" s="83" t="s">
        <v>20</v>
      </c>
      <c r="E159" s="83" t="s">
        <v>23</v>
      </c>
      <c r="F159" s="83" t="s">
        <v>19</v>
      </c>
      <c r="G159" s="83" t="s">
        <v>22</v>
      </c>
      <c r="H159" s="83" t="s">
        <v>26</v>
      </c>
      <c r="I159" s="83" t="s">
        <v>24</v>
      </c>
      <c r="J159" s="83" t="s">
        <v>27</v>
      </c>
      <c r="K159" s="89" t="s">
        <v>29</v>
      </c>
    </row>
    <row r="160" spans="2:11" x14ac:dyDescent="0.25">
      <c r="B160" s="88">
        <v>155</v>
      </c>
      <c r="C160" s="83" t="s">
        <v>3357</v>
      </c>
      <c r="D160" s="83" t="s">
        <v>20</v>
      </c>
      <c r="E160" s="83" t="s">
        <v>28</v>
      </c>
      <c r="F160" s="83" t="s">
        <v>19</v>
      </c>
      <c r="G160" s="83" t="s">
        <v>22</v>
      </c>
      <c r="H160" s="83" t="s">
        <v>26</v>
      </c>
      <c r="I160" s="83" t="s">
        <v>24</v>
      </c>
      <c r="J160" s="83" t="s">
        <v>23</v>
      </c>
      <c r="K160" s="89" t="s">
        <v>27</v>
      </c>
    </row>
    <row r="161" spans="2:11" x14ac:dyDescent="0.25">
      <c r="B161" s="88">
        <v>156</v>
      </c>
      <c r="C161" s="83" t="s">
        <v>3358</v>
      </c>
      <c r="D161" s="83" t="s">
        <v>20</v>
      </c>
      <c r="E161" s="83" t="s">
        <v>25</v>
      </c>
      <c r="F161" s="83" t="s">
        <v>19</v>
      </c>
      <c r="G161" s="83" t="s">
        <v>22</v>
      </c>
      <c r="H161" s="83" t="s">
        <v>23</v>
      </c>
      <c r="I161" s="83" t="s">
        <v>24</v>
      </c>
      <c r="J161" s="83" t="s">
        <v>30</v>
      </c>
      <c r="K161" s="89" t="s">
        <v>29</v>
      </c>
    </row>
    <row r="162" spans="2:11" x14ac:dyDescent="0.25">
      <c r="B162" s="88">
        <v>157</v>
      </c>
      <c r="C162" s="83" t="s">
        <v>3359</v>
      </c>
      <c r="D162" s="83" t="s">
        <v>20</v>
      </c>
      <c r="E162" s="83" t="s">
        <v>25</v>
      </c>
      <c r="F162" s="83" t="s">
        <v>19</v>
      </c>
      <c r="G162" s="83" t="s">
        <v>22</v>
      </c>
      <c r="H162" s="83" t="s">
        <v>28</v>
      </c>
      <c r="I162" s="83" t="s">
        <v>24</v>
      </c>
      <c r="J162" s="83" t="s">
        <v>30</v>
      </c>
      <c r="K162" s="89" t="s">
        <v>23</v>
      </c>
    </row>
    <row r="163" spans="2:11" x14ac:dyDescent="0.25">
      <c r="B163" s="88">
        <v>158</v>
      </c>
      <c r="C163" s="83" t="s">
        <v>3360</v>
      </c>
      <c r="D163" s="83" t="s">
        <v>20</v>
      </c>
      <c r="E163" s="83" t="s">
        <v>25</v>
      </c>
      <c r="F163" s="83" t="s">
        <v>19</v>
      </c>
      <c r="G163" s="83" t="s">
        <v>22</v>
      </c>
      <c r="H163" s="83" t="s">
        <v>28</v>
      </c>
      <c r="I163" s="83" t="s">
        <v>24</v>
      </c>
      <c r="J163" s="83" t="s">
        <v>23</v>
      </c>
      <c r="K163" s="89" t="s">
        <v>29</v>
      </c>
    </row>
    <row r="164" spans="2:11" x14ac:dyDescent="0.25">
      <c r="B164" s="88">
        <v>159</v>
      </c>
      <c r="C164" s="83" t="s">
        <v>3361</v>
      </c>
      <c r="D164" s="83" t="s">
        <v>20</v>
      </c>
      <c r="E164" s="83" t="s">
        <v>25</v>
      </c>
      <c r="F164" s="83" t="s">
        <v>19</v>
      </c>
      <c r="G164" s="83" t="s">
        <v>22</v>
      </c>
      <c r="H164" s="83" t="s">
        <v>23</v>
      </c>
      <c r="I164" s="83" t="s">
        <v>24</v>
      </c>
      <c r="J164" s="83" t="s">
        <v>30</v>
      </c>
      <c r="K164" s="89" t="s">
        <v>27</v>
      </c>
    </row>
    <row r="165" spans="2:11" x14ac:dyDescent="0.25">
      <c r="B165" s="88">
        <v>160</v>
      </c>
      <c r="C165" s="83" t="s">
        <v>3362</v>
      </c>
      <c r="D165" s="83" t="s">
        <v>20</v>
      </c>
      <c r="E165" s="83" t="s">
        <v>25</v>
      </c>
      <c r="F165" s="83" t="s">
        <v>19</v>
      </c>
      <c r="G165" s="83" t="s">
        <v>22</v>
      </c>
      <c r="H165" s="83" t="s">
        <v>23</v>
      </c>
      <c r="I165" s="83" t="s">
        <v>24</v>
      </c>
      <c r="J165" s="83" t="s">
        <v>27</v>
      </c>
      <c r="K165" s="89" t="s">
        <v>29</v>
      </c>
    </row>
    <row r="166" spans="2:11" x14ac:dyDescent="0.25">
      <c r="B166" s="88">
        <v>161</v>
      </c>
      <c r="C166" s="83" t="s">
        <v>3363</v>
      </c>
      <c r="D166" s="83" t="s">
        <v>20</v>
      </c>
      <c r="E166" s="83" t="s">
        <v>25</v>
      </c>
      <c r="F166" s="83" t="s">
        <v>19</v>
      </c>
      <c r="G166" s="83" t="s">
        <v>22</v>
      </c>
      <c r="H166" s="83" t="s">
        <v>28</v>
      </c>
      <c r="I166" s="83" t="s">
        <v>24</v>
      </c>
      <c r="J166" s="83" t="s">
        <v>23</v>
      </c>
      <c r="K166" s="89" t="s">
        <v>27</v>
      </c>
    </row>
    <row r="167" spans="2:11" x14ac:dyDescent="0.25">
      <c r="B167" s="88">
        <v>162</v>
      </c>
      <c r="C167" s="83" t="s">
        <v>3364</v>
      </c>
      <c r="D167" s="83" t="s">
        <v>20</v>
      </c>
      <c r="E167" s="83" t="s">
        <v>25</v>
      </c>
      <c r="F167" s="83" t="s">
        <v>19</v>
      </c>
      <c r="G167" s="83" t="s">
        <v>22</v>
      </c>
      <c r="H167" s="83" t="s">
        <v>26</v>
      </c>
      <c r="I167" s="83" t="s">
        <v>24</v>
      </c>
      <c r="J167" s="83" t="s">
        <v>30</v>
      </c>
      <c r="K167" s="89" t="s">
        <v>23</v>
      </c>
    </row>
    <row r="168" spans="2:11" x14ac:dyDescent="0.25">
      <c r="B168" s="88">
        <v>163</v>
      </c>
      <c r="C168" s="83" t="s">
        <v>3365</v>
      </c>
      <c r="D168" s="83" t="s">
        <v>20</v>
      </c>
      <c r="E168" s="83" t="s">
        <v>25</v>
      </c>
      <c r="F168" s="83" t="s">
        <v>19</v>
      </c>
      <c r="G168" s="83" t="s">
        <v>22</v>
      </c>
      <c r="H168" s="83" t="s">
        <v>26</v>
      </c>
      <c r="I168" s="83" t="s">
        <v>24</v>
      </c>
      <c r="J168" s="83" t="s">
        <v>23</v>
      </c>
      <c r="K168" s="89" t="s">
        <v>29</v>
      </c>
    </row>
    <row r="169" spans="2:11" x14ac:dyDescent="0.25">
      <c r="B169" s="88">
        <v>164</v>
      </c>
      <c r="C169" s="83" t="s">
        <v>3366</v>
      </c>
      <c r="D169" s="83" t="s">
        <v>26</v>
      </c>
      <c r="E169" s="83" t="s">
        <v>25</v>
      </c>
      <c r="F169" s="83" t="s">
        <v>19</v>
      </c>
      <c r="G169" s="83" t="s">
        <v>20</v>
      </c>
      <c r="H169" s="83" t="s">
        <v>28</v>
      </c>
      <c r="I169" s="83" t="s">
        <v>24</v>
      </c>
      <c r="J169" s="83" t="s">
        <v>22</v>
      </c>
      <c r="K169" s="89" t="s">
        <v>23</v>
      </c>
    </row>
    <row r="170" spans="2:11" x14ac:dyDescent="0.25">
      <c r="B170" s="88">
        <v>165</v>
      </c>
      <c r="C170" s="83" t="s">
        <v>3367</v>
      </c>
      <c r="D170" s="83" t="s">
        <v>20</v>
      </c>
      <c r="E170" s="83" t="s">
        <v>25</v>
      </c>
      <c r="F170" s="83" t="s">
        <v>19</v>
      </c>
      <c r="G170" s="83" t="s">
        <v>22</v>
      </c>
      <c r="H170" s="83" t="s">
        <v>26</v>
      </c>
      <c r="I170" s="83" t="s">
        <v>24</v>
      </c>
      <c r="J170" s="83" t="s">
        <v>23</v>
      </c>
      <c r="K170" s="89" t="s">
        <v>27</v>
      </c>
    </row>
    <row r="171" spans="2:11" x14ac:dyDescent="0.25">
      <c r="B171" s="88">
        <v>166</v>
      </c>
      <c r="C171" s="83" t="s">
        <v>3368</v>
      </c>
      <c r="D171" s="83" t="s">
        <v>26</v>
      </c>
      <c r="E171" s="83" t="s">
        <v>28</v>
      </c>
      <c r="F171" s="83" t="s">
        <v>27</v>
      </c>
      <c r="G171" s="83" t="s">
        <v>24</v>
      </c>
      <c r="H171" s="83" t="s">
        <v>18</v>
      </c>
      <c r="I171" s="83" t="s">
        <v>25</v>
      </c>
      <c r="J171" s="83" t="s">
        <v>30</v>
      </c>
      <c r="K171" s="89" t="s">
        <v>29</v>
      </c>
    </row>
    <row r="172" spans="2:11" x14ac:dyDescent="0.25">
      <c r="B172" s="88">
        <v>167</v>
      </c>
      <c r="C172" s="83" t="s">
        <v>3369</v>
      </c>
      <c r="D172" s="83" t="s">
        <v>23</v>
      </c>
      <c r="E172" s="83" t="s">
        <v>28</v>
      </c>
      <c r="F172" s="83" t="s">
        <v>27</v>
      </c>
      <c r="G172" s="83" t="s">
        <v>18</v>
      </c>
      <c r="H172" s="83" t="s">
        <v>26</v>
      </c>
      <c r="I172" s="83" t="s">
        <v>25</v>
      </c>
      <c r="J172" s="83" t="s">
        <v>30</v>
      </c>
      <c r="K172" s="89" t="s">
        <v>29</v>
      </c>
    </row>
    <row r="173" spans="2:11" x14ac:dyDescent="0.25">
      <c r="B173" s="88">
        <v>168</v>
      </c>
      <c r="C173" s="83" t="s">
        <v>3370</v>
      </c>
      <c r="D173" s="83" t="s">
        <v>23</v>
      </c>
      <c r="E173" s="83" t="s">
        <v>28</v>
      </c>
      <c r="F173" s="83" t="s">
        <v>27</v>
      </c>
      <c r="G173" s="83" t="s">
        <v>24</v>
      </c>
      <c r="H173" s="83" t="s">
        <v>18</v>
      </c>
      <c r="I173" s="83" t="s">
        <v>26</v>
      </c>
      <c r="J173" s="83" t="s">
        <v>30</v>
      </c>
      <c r="K173" s="89" t="s">
        <v>29</v>
      </c>
    </row>
    <row r="174" spans="2:11" x14ac:dyDescent="0.25">
      <c r="B174" s="88">
        <v>169</v>
      </c>
      <c r="C174" s="83" t="s">
        <v>3371</v>
      </c>
      <c r="D174" s="83" t="s">
        <v>23</v>
      </c>
      <c r="E174" s="83" t="s">
        <v>28</v>
      </c>
      <c r="F174" s="83" t="s">
        <v>27</v>
      </c>
      <c r="G174" s="83" t="s">
        <v>24</v>
      </c>
      <c r="H174" s="83" t="s">
        <v>18</v>
      </c>
      <c r="I174" s="83" t="s">
        <v>25</v>
      </c>
      <c r="J174" s="83" t="s">
        <v>30</v>
      </c>
      <c r="K174" s="89" t="s">
        <v>29</v>
      </c>
    </row>
    <row r="175" spans="2:11" x14ac:dyDescent="0.25">
      <c r="B175" s="88">
        <v>170</v>
      </c>
      <c r="C175" s="83" t="s">
        <v>3372</v>
      </c>
      <c r="D175" s="83" t="s">
        <v>23</v>
      </c>
      <c r="E175" s="83" t="s">
        <v>25</v>
      </c>
      <c r="F175" s="83" t="s">
        <v>28</v>
      </c>
      <c r="G175" s="83" t="s">
        <v>24</v>
      </c>
      <c r="H175" s="83" t="s">
        <v>18</v>
      </c>
      <c r="I175" s="83" t="s">
        <v>26</v>
      </c>
      <c r="J175" s="83" t="s">
        <v>30</v>
      </c>
      <c r="K175" s="89" t="s">
        <v>29</v>
      </c>
    </row>
    <row r="176" spans="2:11" x14ac:dyDescent="0.25">
      <c r="B176" s="88">
        <v>171</v>
      </c>
      <c r="C176" s="83" t="s">
        <v>3373</v>
      </c>
      <c r="D176" s="83" t="s">
        <v>23</v>
      </c>
      <c r="E176" s="83" t="s">
        <v>25</v>
      </c>
      <c r="F176" s="83" t="s">
        <v>27</v>
      </c>
      <c r="G176" s="83" t="s">
        <v>24</v>
      </c>
      <c r="H176" s="83" t="s">
        <v>18</v>
      </c>
      <c r="I176" s="83" t="s">
        <v>26</v>
      </c>
      <c r="J176" s="83" t="s">
        <v>30</v>
      </c>
      <c r="K176" s="89" t="s">
        <v>29</v>
      </c>
    </row>
    <row r="177" spans="2:11" x14ac:dyDescent="0.25">
      <c r="B177" s="88">
        <v>172</v>
      </c>
      <c r="C177" s="83" t="s">
        <v>3374</v>
      </c>
      <c r="D177" s="83" t="s">
        <v>23</v>
      </c>
      <c r="E177" s="83" t="s">
        <v>25</v>
      </c>
      <c r="F177" s="83" t="s">
        <v>28</v>
      </c>
      <c r="G177" s="83" t="s">
        <v>24</v>
      </c>
      <c r="H177" s="83" t="s">
        <v>18</v>
      </c>
      <c r="I177" s="83" t="s">
        <v>26</v>
      </c>
      <c r="J177" s="83" t="s">
        <v>30</v>
      </c>
      <c r="K177" s="89" t="s">
        <v>27</v>
      </c>
    </row>
    <row r="178" spans="2:11" x14ac:dyDescent="0.25">
      <c r="B178" s="88">
        <v>173</v>
      </c>
      <c r="C178" s="83" t="s">
        <v>3375</v>
      </c>
      <c r="D178" s="83" t="s">
        <v>23</v>
      </c>
      <c r="E178" s="83" t="s">
        <v>25</v>
      </c>
      <c r="F178" s="83" t="s">
        <v>28</v>
      </c>
      <c r="G178" s="83" t="s">
        <v>24</v>
      </c>
      <c r="H178" s="83" t="s">
        <v>18</v>
      </c>
      <c r="I178" s="83" t="s">
        <v>26</v>
      </c>
      <c r="J178" s="83" t="s">
        <v>27</v>
      </c>
      <c r="K178" s="89" t="s">
        <v>29</v>
      </c>
    </row>
    <row r="179" spans="2:11" x14ac:dyDescent="0.25">
      <c r="B179" s="88">
        <v>174</v>
      </c>
      <c r="C179" s="83" t="s">
        <v>3376</v>
      </c>
      <c r="D179" s="83" t="s">
        <v>26</v>
      </c>
      <c r="E179" s="83" t="s">
        <v>28</v>
      </c>
      <c r="F179" s="83" t="s">
        <v>27</v>
      </c>
      <c r="G179" s="83" t="s">
        <v>22</v>
      </c>
      <c r="H179" s="83" t="s">
        <v>18</v>
      </c>
      <c r="I179" s="83" t="s">
        <v>25</v>
      </c>
      <c r="J179" s="83" t="s">
        <v>30</v>
      </c>
      <c r="K179" s="89" t="s">
        <v>29</v>
      </c>
    </row>
    <row r="180" spans="2:11" x14ac:dyDescent="0.25">
      <c r="B180" s="88">
        <v>175</v>
      </c>
      <c r="C180" s="83" t="s">
        <v>3377</v>
      </c>
      <c r="D180" s="83" t="s">
        <v>26</v>
      </c>
      <c r="E180" s="83" t="s">
        <v>28</v>
      </c>
      <c r="F180" s="83" t="s">
        <v>27</v>
      </c>
      <c r="G180" s="83" t="s">
        <v>22</v>
      </c>
      <c r="H180" s="83" t="s">
        <v>18</v>
      </c>
      <c r="I180" s="83" t="s">
        <v>24</v>
      </c>
      <c r="J180" s="83" t="s">
        <v>30</v>
      </c>
      <c r="K180" s="89" t="s">
        <v>29</v>
      </c>
    </row>
    <row r="181" spans="2:11" x14ac:dyDescent="0.25">
      <c r="B181" s="88">
        <v>176</v>
      </c>
      <c r="C181" s="83" t="s">
        <v>3378</v>
      </c>
      <c r="D181" s="83" t="s">
        <v>27</v>
      </c>
      <c r="E181" s="83" t="s">
        <v>25</v>
      </c>
      <c r="F181" s="83" t="s">
        <v>28</v>
      </c>
      <c r="G181" s="83" t="s">
        <v>22</v>
      </c>
      <c r="H181" s="83" t="s">
        <v>18</v>
      </c>
      <c r="I181" s="83" t="s">
        <v>24</v>
      </c>
      <c r="J181" s="83" t="s">
        <v>30</v>
      </c>
      <c r="K181" s="89" t="s">
        <v>29</v>
      </c>
    </row>
    <row r="182" spans="2:11" x14ac:dyDescent="0.25">
      <c r="B182" s="88">
        <v>177</v>
      </c>
      <c r="C182" s="83" t="s">
        <v>3379</v>
      </c>
      <c r="D182" s="83" t="s">
        <v>26</v>
      </c>
      <c r="E182" s="83" t="s">
        <v>25</v>
      </c>
      <c r="F182" s="83" t="s">
        <v>28</v>
      </c>
      <c r="G182" s="83" t="s">
        <v>22</v>
      </c>
      <c r="H182" s="83" t="s">
        <v>18</v>
      </c>
      <c r="I182" s="83" t="s">
        <v>24</v>
      </c>
      <c r="J182" s="83" t="s">
        <v>30</v>
      </c>
      <c r="K182" s="89" t="s">
        <v>29</v>
      </c>
    </row>
    <row r="183" spans="2:11" x14ac:dyDescent="0.25">
      <c r="B183" s="88">
        <v>178</v>
      </c>
      <c r="C183" s="83" t="s">
        <v>3380</v>
      </c>
      <c r="D183" s="83" t="s">
        <v>26</v>
      </c>
      <c r="E183" s="83" t="s">
        <v>25</v>
      </c>
      <c r="F183" s="83" t="s">
        <v>27</v>
      </c>
      <c r="G183" s="83" t="s">
        <v>22</v>
      </c>
      <c r="H183" s="83" t="s">
        <v>18</v>
      </c>
      <c r="I183" s="83" t="s">
        <v>24</v>
      </c>
      <c r="J183" s="83" t="s">
        <v>30</v>
      </c>
      <c r="K183" s="89" t="s">
        <v>29</v>
      </c>
    </row>
    <row r="184" spans="2:11" x14ac:dyDescent="0.25">
      <c r="B184" s="88">
        <v>179</v>
      </c>
      <c r="C184" s="83" t="s">
        <v>3381</v>
      </c>
      <c r="D184" s="83" t="s">
        <v>26</v>
      </c>
      <c r="E184" s="83" t="s">
        <v>25</v>
      </c>
      <c r="F184" s="83" t="s">
        <v>28</v>
      </c>
      <c r="G184" s="83" t="s">
        <v>22</v>
      </c>
      <c r="H184" s="83" t="s">
        <v>18</v>
      </c>
      <c r="I184" s="83" t="s">
        <v>24</v>
      </c>
      <c r="J184" s="83" t="s">
        <v>30</v>
      </c>
      <c r="K184" s="89" t="s">
        <v>27</v>
      </c>
    </row>
    <row r="185" spans="2:11" x14ac:dyDescent="0.25">
      <c r="B185" s="88">
        <v>180</v>
      </c>
      <c r="C185" s="83" t="s">
        <v>3382</v>
      </c>
      <c r="D185" s="83" t="s">
        <v>26</v>
      </c>
      <c r="E185" s="83" t="s">
        <v>25</v>
      </c>
      <c r="F185" s="83" t="s">
        <v>28</v>
      </c>
      <c r="G185" s="83" t="s">
        <v>22</v>
      </c>
      <c r="H185" s="83" t="s">
        <v>18</v>
      </c>
      <c r="I185" s="83" t="s">
        <v>24</v>
      </c>
      <c r="J185" s="83" t="s">
        <v>27</v>
      </c>
      <c r="K185" s="89" t="s">
        <v>29</v>
      </c>
    </row>
    <row r="186" spans="2:11" x14ac:dyDescent="0.25">
      <c r="B186" s="88">
        <v>181</v>
      </c>
      <c r="C186" s="83" t="s">
        <v>3383</v>
      </c>
      <c r="D186" s="83" t="s">
        <v>23</v>
      </c>
      <c r="E186" s="83" t="s">
        <v>28</v>
      </c>
      <c r="F186" s="83" t="s">
        <v>27</v>
      </c>
      <c r="G186" s="83" t="s">
        <v>22</v>
      </c>
      <c r="H186" s="83" t="s">
        <v>18</v>
      </c>
      <c r="I186" s="83" t="s">
        <v>26</v>
      </c>
      <c r="J186" s="83" t="s">
        <v>30</v>
      </c>
      <c r="K186" s="89" t="s">
        <v>29</v>
      </c>
    </row>
    <row r="187" spans="2:11" x14ac:dyDescent="0.25">
      <c r="B187" s="88">
        <v>182</v>
      </c>
      <c r="C187" s="83" t="s">
        <v>3384</v>
      </c>
      <c r="D187" s="83" t="s">
        <v>23</v>
      </c>
      <c r="E187" s="83" t="s">
        <v>28</v>
      </c>
      <c r="F187" s="83" t="s">
        <v>27</v>
      </c>
      <c r="G187" s="83" t="s">
        <v>22</v>
      </c>
      <c r="H187" s="83" t="s">
        <v>18</v>
      </c>
      <c r="I187" s="83" t="s">
        <v>25</v>
      </c>
      <c r="J187" s="83" t="s">
        <v>30</v>
      </c>
      <c r="K187" s="89" t="s">
        <v>29</v>
      </c>
    </row>
    <row r="188" spans="2:11" x14ac:dyDescent="0.25">
      <c r="B188" s="88">
        <v>183</v>
      </c>
      <c r="C188" s="83" t="s">
        <v>3385</v>
      </c>
      <c r="D188" s="83" t="s">
        <v>23</v>
      </c>
      <c r="E188" s="83" t="s">
        <v>25</v>
      </c>
      <c r="F188" s="83" t="s">
        <v>28</v>
      </c>
      <c r="G188" s="83" t="s">
        <v>22</v>
      </c>
      <c r="H188" s="83" t="s">
        <v>18</v>
      </c>
      <c r="I188" s="83" t="s">
        <v>26</v>
      </c>
      <c r="J188" s="83" t="s">
        <v>30</v>
      </c>
      <c r="K188" s="89" t="s">
        <v>29</v>
      </c>
    </row>
    <row r="189" spans="2:11" x14ac:dyDescent="0.25">
      <c r="B189" s="88">
        <v>184</v>
      </c>
      <c r="C189" s="83" t="s">
        <v>3386</v>
      </c>
      <c r="D189" s="83" t="s">
        <v>23</v>
      </c>
      <c r="E189" s="83" t="s">
        <v>25</v>
      </c>
      <c r="F189" s="83" t="s">
        <v>27</v>
      </c>
      <c r="G189" s="83" t="s">
        <v>22</v>
      </c>
      <c r="H189" s="83" t="s">
        <v>18</v>
      </c>
      <c r="I189" s="83" t="s">
        <v>26</v>
      </c>
      <c r="J189" s="83" t="s">
        <v>30</v>
      </c>
      <c r="K189" s="89" t="s">
        <v>29</v>
      </c>
    </row>
    <row r="190" spans="2:11" x14ac:dyDescent="0.25">
      <c r="B190" s="88">
        <v>185</v>
      </c>
      <c r="C190" s="83" t="s">
        <v>3387</v>
      </c>
      <c r="D190" s="83" t="s">
        <v>23</v>
      </c>
      <c r="E190" s="83" t="s">
        <v>25</v>
      </c>
      <c r="F190" s="83" t="s">
        <v>28</v>
      </c>
      <c r="G190" s="83" t="s">
        <v>22</v>
      </c>
      <c r="H190" s="83" t="s">
        <v>18</v>
      </c>
      <c r="I190" s="83" t="s">
        <v>26</v>
      </c>
      <c r="J190" s="83" t="s">
        <v>30</v>
      </c>
      <c r="K190" s="89" t="s">
        <v>27</v>
      </c>
    </row>
    <row r="191" spans="2:11" x14ac:dyDescent="0.25">
      <c r="B191" s="88">
        <v>186</v>
      </c>
      <c r="C191" s="83" t="s">
        <v>3388</v>
      </c>
      <c r="D191" s="83" t="s">
        <v>23</v>
      </c>
      <c r="E191" s="83" t="s">
        <v>25</v>
      </c>
      <c r="F191" s="83" t="s">
        <v>28</v>
      </c>
      <c r="G191" s="83" t="s">
        <v>22</v>
      </c>
      <c r="H191" s="83" t="s">
        <v>18</v>
      </c>
      <c r="I191" s="83" t="s">
        <v>26</v>
      </c>
      <c r="J191" s="83" t="s">
        <v>27</v>
      </c>
      <c r="K191" s="89" t="s">
        <v>29</v>
      </c>
    </row>
    <row r="192" spans="2:11" x14ac:dyDescent="0.25">
      <c r="B192" s="88">
        <v>187</v>
      </c>
      <c r="C192" s="83" t="s">
        <v>3389</v>
      </c>
      <c r="D192" s="83" t="s">
        <v>23</v>
      </c>
      <c r="E192" s="83" t="s">
        <v>28</v>
      </c>
      <c r="F192" s="83" t="s">
        <v>27</v>
      </c>
      <c r="G192" s="83" t="s">
        <v>22</v>
      </c>
      <c r="H192" s="83" t="s">
        <v>18</v>
      </c>
      <c r="I192" s="83" t="s">
        <v>24</v>
      </c>
      <c r="J192" s="83" t="s">
        <v>30</v>
      </c>
      <c r="K192" s="89" t="s">
        <v>29</v>
      </c>
    </row>
    <row r="193" spans="2:11" x14ac:dyDescent="0.25">
      <c r="B193" s="88">
        <v>188</v>
      </c>
      <c r="C193" s="83" t="s">
        <v>3390</v>
      </c>
      <c r="D193" s="83" t="s">
        <v>26</v>
      </c>
      <c r="E193" s="83" t="s">
        <v>28</v>
      </c>
      <c r="F193" s="83" t="s">
        <v>23</v>
      </c>
      <c r="G193" s="83" t="s">
        <v>22</v>
      </c>
      <c r="H193" s="83" t="s">
        <v>18</v>
      </c>
      <c r="I193" s="83" t="s">
        <v>24</v>
      </c>
      <c r="J193" s="83" t="s">
        <v>30</v>
      </c>
      <c r="K193" s="89" t="s">
        <v>29</v>
      </c>
    </row>
    <row r="194" spans="2:11" x14ac:dyDescent="0.25">
      <c r="B194" s="88">
        <v>189</v>
      </c>
      <c r="C194" s="83" t="s">
        <v>3391</v>
      </c>
      <c r="D194" s="83" t="s">
        <v>26</v>
      </c>
      <c r="E194" s="83" t="s">
        <v>23</v>
      </c>
      <c r="F194" s="83" t="s">
        <v>27</v>
      </c>
      <c r="G194" s="83" t="s">
        <v>22</v>
      </c>
      <c r="H194" s="83" t="s">
        <v>18</v>
      </c>
      <c r="I194" s="83" t="s">
        <v>24</v>
      </c>
      <c r="J194" s="83" t="s">
        <v>30</v>
      </c>
      <c r="K194" s="89" t="s">
        <v>29</v>
      </c>
    </row>
    <row r="195" spans="2:11" x14ac:dyDescent="0.25">
      <c r="B195" s="88">
        <v>190</v>
      </c>
      <c r="C195" s="83" t="s">
        <v>3392</v>
      </c>
      <c r="D195" s="83" t="s">
        <v>26</v>
      </c>
      <c r="E195" s="83" t="s">
        <v>28</v>
      </c>
      <c r="F195" s="83" t="s">
        <v>23</v>
      </c>
      <c r="G195" s="83" t="s">
        <v>22</v>
      </c>
      <c r="H195" s="83" t="s">
        <v>18</v>
      </c>
      <c r="I195" s="83" t="s">
        <v>24</v>
      </c>
      <c r="J195" s="83" t="s">
        <v>30</v>
      </c>
      <c r="K195" s="89" t="s">
        <v>27</v>
      </c>
    </row>
    <row r="196" spans="2:11" x14ac:dyDescent="0.25">
      <c r="B196" s="88">
        <v>191</v>
      </c>
      <c r="C196" s="83" t="s">
        <v>3393</v>
      </c>
      <c r="D196" s="83" t="s">
        <v>26</v>
      </c>
      <c r="E196" s="83" t="s">
        <v>28</v>
      </c>
      <c r="F196" s="83" t="s">
        <v>23</v>
      </c>
      <c r="G196" s="83" t="s">
        <v>22</v>
      </c>
      <c r="H196" s="83" t="s">
        <v>18</v>
      </c>
      <c r="I196" s="83" t="s">
        <v>24</v>
      </c>
      <c r="J196" s="83" t="s">
        <v>27</v>
      </c>
      <c r="K196" s="89" t="s">
        <v>29</v>
      </c>
    </row>
    <row r="197" spans="2:11" x14ac:dyDescent="0.25">
      <c r="B197" s="88">
        <v>192</v>
      </c>
      <c r="C197" s="83" t="s">
        <v>3394</v>
      </c>
      <c r="D197" s="83" t="s">
        <v>23</v>
      </c>
      <c r="E197" s="83" t="s">
        <v>25</v>
      </c>
      <c r="F197" s="83" t="s">
        <v>28</v>
      </c>
      <c r="G197" s="83" t="s">
        <v>22</v>
      </c>
      <c r="H197" s="83" t="s">
        <v>18</v>
      </c>
      <c r="I197" s="83" t="s">
        <v>24</v>
      </c>
      <c r="J197" s="83" t="s">
        <v>30</v>
      </c>
      <c r="K197" s="89" t="s">
        <v>29</v>
      </c>
    </row>
    <row r="198" spans="2:11" x14ac:dyDescent="0.25">
      <c r="B198" s="88">
        <v>193</v>
      </c>
      <c r="C198" s="83" t="s">
        <v>3395</v>
      </c>
      <c r="D198" s="83" t="s">
        <v>23</v>
      </c>
      <c r="E198" s="83" t="s">
        <v>25</v>
      </c>
      <c r="F198" s="83" t="s">
        <v>27</v>
      </c>
      <c r="G198" s="83" t="s">
        <v>22</v>
      </c>
      <c r="H198" s="83" t="s">
        <v>18</v>
      </c>
      <c r="I198" s="83" t="s">
        <v>24</v>
      </c>
      <c r="J198" s="83" t="s">
        <v>30</v>
      </c>
      <c r="K198" s="89" t="s">
        <v>29</v>
      </c>
    </row>
    <row r="199" spans="2:11" x14ac:dyDescent="0.25">
      <c r="B199" s="88">
        <v>194</v>
      </c>
      <c r="C199" s="83" t="s">
        <v>3396</v>
      </c>
      <c r="D199" s="83" t="s">
        <v>23</v>
      </c>
      <c r="E199" s="83" t="s">
        <v>25</v>
      </c>
      <c r="F199" s="83" t="s">
        <v>28</v>
      </c>
      <c r="G199" s="83" t="s">
        <v>22</v>
      </c>
      <c r="H199" s="83" t="s">
        <v>18</v>
      </c>
      <c r="I199" s="83" t="s">
        <v>24</v>
      </c>
      <c r="J199" s="83" t="s">
        <v>30</v>
      </c>
      <c r="K199" s="89" t="s">
        <v>27</v>
      </c>
    </row>
    <row r="200" spans="2:11" x14ac:dyDescent="0.25">
      <c r="B200" s="88">
        <v>195</v>
      </c>
      <c r="C200" s="83" t="s">
        <v>3397</v>
      </c>
      <c r="D200" s="83" t="s">
        <v>23</v>
      </c>
      <c r="E200" s="83" t="s">
        <v>25</v>
      </c>
      <c r="F200" s="83" t="s">
        <v>28</v>
      </c>
      <c r="G200" s="83" t="s">
        <v>22</v>
      </c>
      <c r="H200" s="83" t="s">
        <v>18</v>
      </c>
      <c r="I200" s="83" t="s">
        <v>24</v>
      </c>
      <c r="J200" s="83" t="s">
        <v>27</v>
      </c>
      <c r="K200" s="89" t="s">
        <v>29</v>
      </c>
    </row>
    <row r="201" spans="2:11" x14ac:dyDescent="0.25">
      <c r="B201" s="88">
        <v>196</v>
      </c>
      <c r="C201" s="83" t="s">
        <v>3398</v>
      </c>
      <c r="D201" s="83" t="s">
        <v>26</v>
      </c>
      <c r="E201" s="83" t="s">
        <v>25</v>
      </c>
      <c r="F201" s="83" t="s">
        <v>23</v>
      </c>
      <c r="G201" s="83" t="s">
        <v>22</v>
      </c>
      <c r="H201" s="83" t="s">
        <v>18</v>
      </c>
      <c r="I201" s="83" t="s">
        <v>24</v>
      </c>
      <c r="J201" s="83" t="s">
        <v>30</v>
      </c>
      <c r="K201" s="89" t="s">
        <v>29</v>
      </c>
    </row>
    <row r="202" spans="2:11" x14ac:dyDescent="0.25">
      <c r="B202" s="88">
        <v>197</v>
      </c>
      <c r="C202" s="83" t="s">
        <v>3399</v>
      </c>
      <c r="D202" s="83" t="s">
        <v>26</v>
      </c>
      <c r="E202" s="83" t="s">
        <v>25</v>
      </c>
      <c r="F202" s="83" t="s">
        <v>28</v>
      </c>
      <c r="G202" s="83" t="s">
        <v>22</v>
      </c>
      <c r="H202" s="83" t="s">
        <v>18</v>
      </c>
      <c r="I202" s="83" t="s">
        <v>24</v>
      </c>
      <c r="J202" s="83" t="s">
        <v>30</v>
      </c>
      <c r="K202" s="89" t="s">
        <v>23</v>
      </c>
    </row>
    <row r="203" spans="2:11" x14ac:dyDescent="0.25">
      <c r="B203" s="88">
        <v>198</v>
      </c>
      <c r="C203" s="83" t="s">
        <v>3400</v>
      </c>
      <c r="D203" s="83" t="s">
        <v>26</v>
      </c>
      <c r="E203" s="83" t="s">
        <v>25</v>
      </c>
      <c r="F203" s="83" t="s">
        <v>28</v>
      </c>
      <c r="G203" s="83" t="s">
        <v>22</v>
      </c>
      <c r="H203" s="83" t="s">
        <v>18</v>
      </c>
      <c r="I203" s="83" t="s">
        <v>24</v>
      </c>
      <c r="J203" s="83" t="s">
        <v>23</v>
      </c>
      <c r="K203" s="89" t="s">
        <v>29</v>
      </c>
    </row>
    <row r="204" spans="2:11" x14ac:dyDescent="0.25">
      <c r="B204" s="88">
        <v>199</v>
      </c>
      <c r="C204" s="83" t="s">
        <v>3401</v>
      </c>
      <c r="D204" s="83" t="s">
        <v>26</v>
      </c>
      <c r="E204" s="83" t="s">
        <v>25</v>
      </c>
      <c r="F204" s="83" t="s">
        <v>23</v>
      </c>
      <c r="G204" s="83" t="s">
        <v>22</v>
      </c>
      <c r="H204" s="83" t="s">
        <v>18</v>
      </c>
      <c r="I204" s="83" t="s">
        <v>24</v>
      </c>
      <c r="J204" s="83" t="s">
        <v>30</v>
      </c>
      <c r="K204" s="89" t="s">
        <v>27</v>
      </c>
    </row>
    <row r="205" spans="2:11" x14ac:dyDescent="0.25">
      <c r="B205" s="88">
        <v>200</v>
      </c>
      <c r="C205" s="83" t="s">
        <v>3402</v>
      </c>
      <c r="D205" s="83" t="s">
        <v>26</v>
      </c>
      <c r="E205" s="83" t="s">
        <v>25</v>
      </c>
      <c r="F205" s="83" t="s">
        <v>23</v>
      </c>
      <c r="G205" s="83" t="s">
        <v>22</v>
      </c>
      <c r="H205" s="83" t="s">
        <v>18</v>
      </c>
      <c r="I205" s="83" t="s">
        <v>24</v>
      </c>
      <c r="J205" s="83" t="s">
        <v>27</v>
      </c>
      <c r="K205" s="89" t="s">
        <v>29</v>
      </c>
    </row>
    <row r="206" spans="2:11" x14ac:dyDescent="0.25">
      <c r="B206" s="88">
        <v>201</v>
      </c>
      <c r="C206" s="83" t="s">
        <v>3403</v>
      </c>
      <c r="D206" s="83" t="s">
        <v>26</v>
      </c>
      <c r="E206" s="83" t="s">
        <v>25</v>
      </c>
      <c r="F206" s="83" t="s">
        <v>28</v>
      </c>
      <c r="G206" s="83" t="s">
        <v>22</v>
      </c>
      <c r="H206" s="83" t="s">
        <v>18</v>
      </c>
      <c r="I206" s="83" t="s">
        <v>24</v>
      </c>
      <c r="J206" s="83" t="s">
        <v>23</v>
      </c>
      <c r="K206" s="89" t="s">
        <v>27</v>
      </c>
    </row>
    <row r="207" spans="2:11" x14ac:dyDescent="0.25">
      <c r="B207" s="88">
        <v>202</v>
      </c>
      <c r="C207" s="83" t="s">
        <v>3404</v>
      </c>
      <c r="D207" s="83" t="s">
        <v>26</v>
      </c>
      <c r="E207" s="83" t="s">
        <v>28</v>
      </c>
      <c r="F207" s="83" t="s">
        <v>27</v>
      </c>
      <c r="G207" s="83" t="s">
        <v>20</v>
      </c>
      <c r="H207" s="83" t="s">
        <v>18</v>
      </c>
      <c r="I207" s="83" t="s">
        <v>25</v>
      </c>
      <c r="J207" s="83" t="s">
        <v>30</v>
      </c>
      <c r="K207" s="89" t="s">
        <v>29</v>
      </c>
    </row>
    <row r="208" spans="2:11" x14ac:dyDescent="0.25">
      <c r="B208" s="88">
        <v>203</v>
      </c>
      <c r="C208" s="83" t="s">
        <v>3405</v>
      </c>
      <c r="D208" s="83" t="s">
        <v>26</v>
      </c>
      <c r="E208" s="83" t="s">
        <v>28</v>
      </c>
      <c r="F208" s="83" t="s">
        <v>27</v>
      </c>
      <c r="G208" s="83" t="s">
        <v>20</v>
      </c>
      <c r="H208" s="83" t="s">
        <v>18</v>
      </c>
      <c r="I208" s="83" t="s">
        <v>24</v>
      </c>
      <c r="J208" s="83" t="s">
        <v>30</v>
      </c>
      <c r="K208" s="89" t="s">
        <v>29</v>
      </c>
    </row>
    <row r="209" spans="2:11" x14ac:dyDescent="0.25">
      <c r="B209" s="88">
        <v>204</v>
      </c>
      <c r="C209" s="83" t="s">
        <v>3406</v>
      </c>
      <c r="D209" s="83" t="s">
        <v>27</v>
      </c>
      <c r="E209" s="83" t="s">
        <v>25</v>
      </c>
      <c r="F209" s="83" t="s">
        <v>28</v>
      </c>
      <c r="G209" s="83" t="s">
        <v>20</v>
      </c>
      <c r="H209" s="83" t="s">
        <v>18</v>
      </c>
      <c r="I209" s="83" t="s">
        <v>24</v>
      </c>
      <c r="J209" s="83" t="s">
        <v>30</v>
      </c>
      <c r="K209" s="89" t="s">
        <v>29</v>
      </c>
    </row>
    <row r="210" spans="2:11" x14ac:dyDescent="0.25">
      <c r="B210" s="88">
        <v>205</v>
      </c>
      <c r="C210" s="83" t="s">
        <v>3407</v>
      </c>
      <c r="D210" s="83" t="s">
        <v>26</v>
      </c>
      <c r="E210" s="83" t="s">
        <v>25</v>
      </c>
      <c r="F210" s="83" t="s">
        <v>28</v>
      </c>
      <c r="G210" s="83" t="s">
        <v>20</v>
      </c>
      <c r="H210" s="83" t="s">
        <v>18</v>
      </c>
      <c r="I210" s="83" t="s">
        <v>24</v>
      </c>
      <c r="J210" s="83" t="s">
        <v>30</v>
      </c>
      <c r="K210" s="89" t="s">
        <v>29</v>
      </c>
    </row>
    <row r="211" spans="2:11" x14ac:dyDescent="0.25">
      <c r="B211" s="88">
        <v>206</v>
      </c>
      <c r="C211" s="83" t="s">
        <v>3408</v>
      </c>
      <c r="D211" s="83" t="s">
        <v>26</v>
      </c>
      <c r="E211" s="83" t="s">
        <v>25</v>
      </c>
      <c r="F211" s="83" t="s">
        <v>27</v>
      </c>
      <c r="G211" s="83" t="s">
        <v>20</v>
      </c>
      <c r="H211" s="83" t="s">
        <v>18</v>
      </c>
      <c r="I211" s="83" t="s">
        <v>24</v>
      </c>
      <c r="J211" s="83" t="s">
        <v>30</v>
      </c>
      <c r="K211" s="89" t="s">
        <v>29</v>
      </c>
    </row>
    <row r="212" spans="2:11" x14ac:dyDescent="0.25">
      <c r="B212" s="88">
        <v>207</v>
      </c>
      <c r="C212" s="83" t="s">
        <v>3409</v>
      </c>
      <c r="D212" s="83" t="s">
        <v>26</v>
      </c>
      <c r="E212" s="83" t="s">
        <v>25</v>
      </c>
      <c r="F212" s="83" t="s">
        <v>28</v>
      </c>
      <c r="G212" s="83" t="s">
        <v>20</v>
      </c>
      <c r="H212" s="83" t="s">
        <v>18</v>
      </c>
      <c r="I212" s="83" t="s">
        <v>24</v>
      </c>
      <c r="J212" s="83" t="s">
        <v>30</v>
      </c>
      <c r="K212" s="89" t="s">
        <v>27</v>
      </c>
    </row>
    <row r="213" spans="2:11" x14ac:dyDescent="0.25">
      <c r="B213" s="88">
        <v>208</v>
      </c>
      <c r="C213" s="83" t="s">
        <v>3410</v>
      </c>
      <c r="D213" s="83" t="s">
        <v>26</v>
      </c>
      <c r="E213" s="83" t="s">
        <v>25</v>
      </c>
      <c r="F213" s="83" t="s">
        <v>28</v>
      </c>
      <c r="G213" s="83" t="s">
        <v>20</v>
      </c>
      <c r="H213" s="83" t="s">
        <v>18</v>
      </c>
      <c r="I213" s="83" t="s">
        <v>24</v>
      </c>
      <c r="J213" s="83" t="s">
        <v>27</v>
      </c>
      <c r="K213" s="89" t="s">
        <v>29</v>
      </c>
    </row>
    <row r="214" spans="2:11" x14ac:dyDescent="0.25">
      <c r="B214" s="88">
        <v>209</v>
      </c>
      <c r="C214" s="83" t="s">
        <v>3411</v>
      </c>
      <c r="D214" s="83" t="s">
        <v>23</v>
      </c>
      <c r="E214" s="83" t="s">
        <v>28</v>
      </c>
      <c r="F214" s="83" t="s">
        <v>27</v>
      </c>
      <c r="G214" s="83" t="s">
        <v>20</v>
      </c>
      <c r="H214" s="83" t="s">
        <v>18</v>
      </c>
      <c r="I214" s="83" t="s">
        <v>26</v>
      </c>
      <c r="J214" s="83" t="s">
        <v>30</v>
      </c>
      <c r="K214" s="89" t="s">
        <v>29</v>
      </c>
    </row>
    <row r="215" spans="2:11" x14ac:dyDescent="0.25">
      <c r="B215" s="88">
        <v>210</v>
      </c>
      <c r="C215" s="83" t="s">
        <v>3412</v>
      </c>
      <c r="D215" s="83" t="s">
        <v>23</v>
      </c>
      <c r="E215" s="83" t="s">
        <v>28</v>
      </c>
      <c r="F215" s="83" t="s">
        <v>27</v>
      </c>
      <c r="G215" s="83" t="s">
        <v>20</v>
      </c>
      <c r="H215" s="83" t="s">
        <v>18</v>
      </c>
      <c r="I215" s="83" t="s">
        <v>25</v>
      </c>
      <c r="J215" s="83" t="s">
        <v>30</v>
      </c>
      <c r="K215" s="89" t="s">
        <v>29</v>
      </c>
    </row>
    <row r="216" spans="2:11" x14ac:dyDescent="0.25">
      <c r="B216" s="88">
        <v>211</v>
      </c>
      <c r="C216" s="83" t="s">
        <v>3413</v>
      </c>
      <c r="D216" s="83" t="s">
        <v>23</v>
      </c>
      <c r="E216" s="83" t="s">
        <v>25</v>
      </c>
      <c r="F216" s="83" t="s">
        <v>28</v>
      </c>
      <c r="G216" s="83" t="s">
        <v>20</v>
      </c>
      <c r="H216" s="83" t="s">
        <v>18</v>
      </c>
      <c r="I216" s="83" t="s">
        <v>26</v>
      </c>
      <c r="J216" s="83" t="s">
        <v>30</v>
      </c>
      <c r="K216" s="89" t="s">
        <v>29</v>
      </c>
    </row>
    <row r="217" spans="2:11" x14ac:dyDescent="0.25">
      <c r="B217" s="88">
        <v>212</v>
      </c>
      <c r="C217" s="83" t="s">
        <v>3414</v>
      </c>
      <c r="D217" s="83" t="s">
        <v>23</v>
      </c>
      <c r="E217" s="83" t="s">
        <v>25</v>
      </c>
      <c r="F217" s="83" t="s">
        <v>27</v>
      </c>
      <c r="G217" s="83" t="s">
        <v>20</v>
      </c>
      <c r="H217" s="83" t="s">
        <v>18</v>
      </c>
      <c r="I217" s="83" t="s">
        <v>26</v>
      </c>
      <c r="J217" s="83" t="s">
        <v>30</v>
      </c>
      <c r="K217" s="89" t="s">
        <v>29</v>
      </c>
    </row>
    <row r="218" spans="2:11" x14ac:dyDescent="0.25">
      <c r="B218" s="88">
        <v>213</v>
      </c>
      <c r="C218" s="83" t="s">
        <v>3415</v>
      </c>
      <c r="D218" s="83" t="s">
        <v>23</v>
      </c>
      <c r="E218" s="83" t="s">
        <v>25</v>
      </c>
      <c r="F218" s="83" t="s">
        <v>28</v>
      </c>
      <c r="G218" s="83" t="s">
        <v>20</v>
      </c>
      <c r="H218" s="83" t="s">
        <v>18</v>
      </c>
      <c r="I218" s="83" t="s">
        <v>26</v>
      </c>
      <c r="J218" s="83" t="s">
        <v>30</v>
      </c>
      <c r="K218" s="89" t="s">
        <v>27</v>
      </c>
    </row>
    <row r="219" spans="2:11" x14ac:dyDescent="0.25">
      <c r="B219" s="88">
        <v>214</v>
      </c>
      <c r="C219" s="83" t="s">
        <v>3416</v>
      </c>
      <c r="D219" s="83" t="s">
        <v>23</v>
      </c>
      <c r="E219" s="83" t="s">
        <v>25</v>
      </c>
      <c r="F219" s="83" t="s">
        <v>28</v>
      </c>
      <c r="G219" s="83" t="s">
        <v>20</v>
      </c>
      <c r="H219" s="83" t="s">
        <v>18</v>
      </c>
      <c r="I219" s="83" t="s">
        <v>26</v>
      </c>
      <c r="J219" s="83" t="s">
        <v>27</v>
      </c>
      <c r="K219" s="89" t="s">
        <v>29</v>
      </c>
    </row>
    <row r="220" spans="2:11" x14ac:dyDescent="0.25">
      <c r="B220" s="88">
        <v>215</v>
      </c>
      <c r="C220" s="83" t="s">
        <v>3417</v>
      </c>
      <c r="D220" s="83" t="s">
        <v>23</v>
      </c>
      <c r="E220" s="83" t="s">
        <v>28</v>
      </c>
      <c r="F220" s="83" t="s">
        <v>27</v>
      </c>
      <c r="G220" s="83" t="s">
        <v>20</v>
      </c>
      <c r="H220" s="83" t="s">
        <v>18</v>
      </c>
      <c r="I220" s="83" t="s">
        <v>24</v>
      </c>
      <c r="J220" s="83" t="s">
        <v>30</v>
      </c>
      <c r="K220" s="89" t="s">
        <v>29</v>
      </c>
    </row>
    <row r="221" spans="2:11" x14ac:dyDescent="0.25">
      <c r="B221" s="88">
        <v>216</v>
      </c>
      <c r="C221" s="83" t="s">
        <v>3418</v>
      </c>
      <c r="D221" s="83" t="s">
        <v>26</v>
      </c>
      <c r="E221" s="83" t="s">
        <v>28</v>
      </c>
      <c r="F221" s="83" t="s">
        <v>23</v>
      </c>
      <c r="G221" s="83" t="s">
        <v>20</v>
      </c>
      <c r="H221" s="83" t="s">
        <v>18</v>
      </c>
      <c r="I221" s="83" t="s">
        <v>24</v>
      </c>
      <c r="J221" s="83" t="s">
        <v>30</v>
      </c>
      <c r="K221" s="89" t="s">
        <v>29</v>
      </c>
    </row>
    <row r="222" spans="2:11" x14ac:dyDescent="0.25">
      <c r="B222" s="88">
        <v>217</v>
      </c>
      <c r="C222" s="83" t="s">
        <v>3419</v>
      </c>
      <c r="D222" s="83" t="s">
        <v>26</v>
      </c>
      <c r="E222" s="83" t="s">
        <v>23</v>
      </c>
      <c r="F222" s="83" t="s">
        <v>27</v>
      </c>
      <c r="G222" s="83" t="s">
        <v>20</v>
      </c>
      <c r="H222" s="83" t="s">
        <v>18</v>
      </c>
      <c r="I222" s="83" t="s">
        <v>24</v>
      </c>
      <c r="J222" s="83" t="s">
        <v>30</v>
      </c>
      <c r="K222" s="89" t="s">
        <v>29</v>
      </c>
    </row>
    <row r="223" spans="2:11" x14ac:dyDescent="0.25">
      <c r="B223" s="88">
        <v>218</v>
      </c>
      <c r="C223" s="83" t="s">
        <v>3420</v>
      </c>
      <c r="D223" s="83" t="s">
        <v>26</v>
      </c>
      <c r="E223" s="83" t="s">
        <v>28</v>
      </c>
      <c r="F223" s="83" t="s">
        <v>23</v>
      </c>
      <c r="G223" s="83" t="s">
        <v>20</v>
      </c>
      <c r="H223" s="83" t="s">
        <v>18</v>
      </c>
      <c r="I223" s="83" t="s">
        <v>24</v>
      </c>
      <c r="J223" s="83" t="s">
        <v>30</v>
      </c>
      <c r="K223" s="89" t="s">
        <v>27</v>
      </c>
    </row>
    <row r="224" spans="2:11" x14ac:dyDescent="0.25">
      <c r="B224" s="88">
        <v>219</v>
      </c>
      <c r="C224" s="83" t="s">
        <v>3421</v>
      </c>
      <c r="D224" s="83" t="s">
        <v>26</v>
      </c>
      <c r="E224" s="83" t="s">
        <v>28</v>
      </c>
      <c r="F224" s="83" t="s">
        <v>23</v>
      </c>
      <c r="G224" s="83" t="s">
        <v>20</v>
      </c>
      <c r="H224" s="83" t="s">
        <v>18</v>
      </c>
      <c r="I224" s="83" t="s">
        <v>24</v>
      </c>
      <c r="J224" s="83" t="s">
        <v>27</v>
      </c>
      <c r="K224" s="89" t="s">
        <v>29</v>
      </c>
    </row>
    <row r="225" spans="2:11" x14ac:dyDescent="0.25">
      <c r="B225" s="88">
        <v>220</v>
      </c>
      <c r="C225" s="83" t="s">
        <v>3422</v>
      </c>
      <c r="D225" s="83" t="s">
        <v>23</v>
      </c>
      <c r="E225" s="83" t="s">
        <v>25</v>
      </c>
      <c r="F225" s="83" t="s">
        <v>28</v>
      </c>
      <c r="G225" s="83" t="s">
        <v>20</v>
      </c>
      <c r="H225" s="83" t="s">
        <v>18</v>
      </c>
      <c r="I225" s="83" t="s">
        <v>24</v>
      </c>
      <c r="J225" s="83" t="s">
        <v>30</v>
      </c>
      <c r="K225" s="89" t="s">
        <v>29</v>
      </c>
    </row>
    <row r="226" spans="2:11" x14ac:dyDescent="0.25">
      <c r="B226" s="88">
        <v>221</v>
      </c>
      <c r="C226" s="83" t="s">
        <v>3423</v>
      </c>
      <c r="D226" s="83" t="s">
        <v>23</v>
      </c>
      <c r="E226" s="83" t="s">
        <v>25</v>
      </c>
      <c r="F226" s="83" t="s">
        <v>27</v>
      </c>
      <c r="G226" s="83" t="s">
        <v>20</v>
      </c>
      <c r="H226" s="83" t="s">
        <v>18</v>
      </c>
      <c r="I226" s="83" t="s">
        <v>24</v>
      </c>
      <c r="J226" s="83" t="s">
        <v>30</v>
      </c>
      <c r="K226" s="89" t="s">
        <v>29</v>
      </c>
    </row>
    <row r="227" spans="2:11" x14ac:dyDescent="0.25">
      <c r="B227" s="88">
        <v>222</v>
      </c>
      <c r="C227" s="83" t="s">
        <v>3424</v>
      </c>
      <c r="D227" s="83" t="s">
        <v>23</v>
      </c>
      <c r="E227" s="83" t="s">
        <v>25</v>
      </c>
      <c r="F227" s="83" t="s">
        <v>28</v>
      </c>
      <c r="G227" s="83" t="s">
        <v>20</v>
      </c>
      <c r="H227" s="83" t="s">
        <v>18</v>
      </c>
      <c r="I227" s="83" t="s">
        <v>24</v>
      </c>
      <c r="J227" s="83" t="s">
        <v>30</v>
      </c>
      <c r="K227" s="89" t="s">
        <v>27</v>
      </c>
    </row>
    <row r="228" spans="2:11" x14ac:dyDescent="0.25">
      <c r="B228" s="88">
        <v>223</v>
      </c>
      <c r="C228" s="83" t="s">
        <v>3425</v>
      </c>
      <c r="D228" s="83" t="s">
        <v>23</v>
      </c>
      <c r="E228" s="83" t="s">
        <v>25</v>
      </c>
      <c r="F228" s="83" t="s">
        <v>28</v>
      </c>
      <c r="G228" s="83" t="s">
        <v>20</v>
      </c>
      <c r="H228" s="83" t="s">
        <v>18</v>
      </c>
      <c r="I228" s="83" t="s">
        <v>24</v>
      </c>
      <c r="J228" s="83" t="s">
        <v>27</v>
      </c>
      <c r="K228" s="89" t="s">
        <v>29</v>
      </c>
    </row>
    <row r="229" spans="2:11" x14ac:dyDescent="0.25">
      <c r="B229" s="88">
        <v>224</v>
      </c>
      <c r="C229" s="83" t="s">
        <v>3426</v>
      </c>
      <c r="D229" s="83" t="s">
        <v>26</v>
      </c>
      <c r="E229" s="83" t="s">
        <v>25</v>
      </c>
      <c r="F229" s="83" t="s">
        <v>23</v>
      </c>
      <c r="G229" s="83" t="s">
        <v>20</v>
      </c>
      <c r="H229" s="83" t="s">
        <v>18</v>
      </c>
      <c r="I229" s="83" t="s">
        <v>24</v>
      </c>
      <c r="J229" s="83" t="s">
        <v>30</v>
      </c>
      <c r="K229" s="89" t="s">
        <v>29</v>
      </c>
    </row>
    <row r="230" spans="2:11" x14ac:dyDescent="0.25">
      <c r="B230" s="88">
        <v>225</v>
      </c>
      <c r="C230" s="83" t="s">
        <v>3427</v>
      </c>
      <c r="D230" s="83" t="s">
        <v>26</v>
      </c>
      <c r="E230" s="83" t="s">
        <v>25</v>
      </c>
      <c r="F230" s="83" t="s">
        <v>28</v>
      </c>
      <c r="G230" s="83" t="s">
        <v>20</v>
      </c>
      <c r="H230" s="83" t="s">
        <v>18</v>
      </c>
      <c r="I230" s="83" t="s">
        <v>24</v>
      </c>
      <c r="J230" s="83" t="s">
        <v>30</v>
      </c>
      <c r="K230" s="89" t="s">
        <v>23</v>
      </c>
    </row>
    <row r="231" spans="2:11" x14ac:dyDescent="0.25">
      <c r="B231" s="88">
        <v>226</v>
      </c>
      <c r="C231" s="83" t="s">
        <v>3428</v>
      </c>
      <c r="D231" s="83" t="s">
        <v>26</v>
      </c>
      <c r="E231" s="83" t="s">
        <v>25</v>
      </c>
      <c r="F231" s="83" t="s">
        <v>28</v>
      </c>
      <c r="G231" s="83" t="s">
        <v>20</v>
      </c>
      <c r="H231" s="83" t="s">
        <v>18</v>
      </c>
      <c r="I231" s="83" t="s">
        <v>24</v>
      </c>
      <c r="J231" s="83" t="s">
        <v>23</v>
      </c>
      <c r="K231" s="89" t="s">
        <v>29</v>
      </c>
    </row>
    <row r="232" spans="2:11" x14ac:dyDescent="0.25">
      <c r="B232" s="88">
        <v>227</v>
      </c>
      <c r="C232" s="83" t="s">
        <v>3429</v>
      </c>
      <c r="D232" s="83" t="s">
        <v>26</v>
      </c>
      <c r="E232" s="83" t="s">
        <v>25</v>
      </c>
      <c r="F232" s="83" t="s">
        <v>23</v>
      </c>
      <c r="G232" s="83" t="s">
        <v>20</v>
      </c>
      <c r="H232" s="83" t="s">
        <v>18</v>
      </c>
      <c r="I232" s="83" t="s">
        <v>24</v>
      </c>
      <c r="J232" s="83" t="s">
        <v>30</v>
      </c>
      <c r="K232" s="89" t="s">
        <v>27</v>
      </c>
    </row>
    <row r="233" spans="2:11" x14ac:dyDescent="0.25">
      <c r="B233" s="88">
        <v>228</v>
      </c>
      <c r="C233" s="83" t="s">
        <v>3430</v>
      </c>
      <c r="D233" s="83" t="s">
        <v>26</v>
      </c>
      <c r="E233" s="83" t="s">
        <v>25</v>
      </c>
      <c r="F233" s="83" t="s">
        <v>23</v>
      </c>
      <c r="G233" s="83" t="s">
        <v>20</v>
      </c>
      <c r="H233" s="83" t="s">
        <v>18</v>
      </c>
      <c r="I233" s="83" t="s">
        <v>24</v>
      </c>
      <c r="J233" s="83" t="s">
        <v>27</v>
      </c>
      <c r="K233" s="89" t="s">
        <v>29</v>
      </c>
    </row>
    <row r="234" spans="2:11" x14ac:dyDescent="0.25">
      <c r="B234" s="88">
        <v>229</v>
      </c>
      <c r="C234" s="83" t="s">
        <v>3431</v>
      </c>
      <c r="D234" s="83" t="s">
        <v>26</v>
      </c>
      <c r="E234" s="83" t="s">
        <v>25</v>
      </c>
      <c r="F234" s="83" t="s">
        <v>28</v>
      </c>
      <c r="G234" s="83" t="s">
        <v>20</v>
      </c>
      <c r="H234" s="83" t="s">
        <v>18</v>
      </c>
      <c r="I234" s="83" t="s">
        <v>24</v>
      </c>
      <c r="J234" s="83" t="s">
        <v>23</v>
      </c>
      <c r="K234" s="89" t="s">
        <v>27</v>
      </c>
    </row>
    <row r="235" spans="2:11" x14ac:dyDescent="0.25">
      <c r="B235" s="88">
        <v>230</v>
      </c>
      <c r="C235" s="83" t="s">
        <v>3432</v>
      </c>
      <c r="D235" s="83" t="s">
        <v>26</v>
      </c>
      <c r="E235" s="83" t="s">
        <v>28</v>
      </c>
      <c r="F235" s="83" t="s">
        <v>27</v>
      </c>
      <c r="G235" s="83" t="s">
        <v>20</v>
      </c>
      <c r="H235" s="83" t="s">
        <v>18</v>
      </c>
      <c r="I235" s="83" t="s">
        <v>22</v>
      </c>
      <c r="J235" s="83" t="s">
        <v>30</v>
      </c>
      <c r="K235" s="89" t="s">
        <v>29</v>
      </c>
    </row>
    <row r="236" spans="2:11" x14ac:dyDescent="0.25">
      <c r="B236" s="88">
        <v>231</v>
      </c>
      <c r="C236" s="83" t="s">
        <v>3433</v>
      </c>
      <c r="D236" s="83" t="s">
        <v>27</v>
      </c>
      <c r="E236" s="83" t="s">
        <v>25</v>
      </c>
      <c r="F236" s="83" t="s">
        <v>28</v>
      </c>
      <c r="G236" s="83" t="s">
        <v>20</v>
      </c>
      <c r="H236" s="83" t="s">
        <v>18</v>
      </c>
      <c r="I236" s="83" t="s">
        <v>22</v>
      </c>
      <c r="J236" s="83" t="s">
        <v>30</v>
      </c>
      <c r="K236" s="89" t="s">
        <v>29</v>
      </c>
    </row>
    <row r="237" spans="2:11" x14ac:dyDescent="0.25">
      <c r="B237" s="88">
        <v>232</v>
      </c>
      <c r="C237" s="83" t="s">
        <v>3434</v>
      </c>
      <c r="D237" s="83" t="s">
        <v>26</v>
      </c>
      <c r="E237" s="83" t="s">
        <v>25</v>
      </c>
      <c r="F237" s="83" t="s">
        <v>28</v>
      </c>
      <c r="G237" s="83" t="s">
        <v>20</v>
      </c>
      <c r="H237" s="83" t="s">
        <v>18</v>
      </c>
      <c r="I237" s="83" t="s">
        <v>22</v>
      </c>
      <c r="J237" s="83" t="s">
        <v>30</v>
      </c>
      <c r="K237" s="89" t="s">
        <v>29</v>
      </c>
    </row>
    <row r="238" spans="2:11" x14ac:dyDescent="0.25">
      <c r="B238" s="88">
        <v>233</v>
      </c>
      <c r="C238" s="83" t="s">
        <v>3435</v>
      </c>
      <c r="D238" s="83" t="s">
        <v>26</v>
      </c>
      <c r="E238" s="83" t="s">
        <v>25</v>
      </c>
      <c r="F238" s="83" t="s">
        <v>27</v>
      </c>
      <c r="G238" s="83" t="s">
        <v>20</v>
      </c>
      <c r="H238" s="83" t="s">
        <v>18</v>
      </c>
      <c r="I238" s="83" t="s">
        <v>22</v>
      </c>
      <c r="J238" s="83" t="s">
        <v>30</v>
      </c>
      <c r="K238" s="89" t="s">
        <v>29</v>
      </c>
    </row>
    <row r="239" spans="2:11" x14ac:dyDescent="0.25">
      <c r="B239" s="88">
        <v>234</v>
      </c>
      <c r="C239" s="83" t="s">
        <v>3436</v>
      </c>
      <c r="D239" s="83" t="s">
        <v>26</v>
      </c>
      <c r="E239" s="83" t="s">
        <v>25</v>
      </c>
      <c r="F239" s="83" t="s">
        <v>28</v>
      </c>
      <c r="G239" s="83" t="s">
        <v>20</v>
      </c>
      <c r="H239" s="83" t="s">
        <v>18</v>
      </c>
      <c r="I239" s="83" t="s">
        <v>22</v>
      </c>
      <c r="J239" s="83" t="s">
        <v>30</v>
      </c>
      <c r="K239" s="89" t="s">
        <v>27</v>
      </c>
    </row>
    <row r="240" spans="2:11" x14ac:dyDescent="0.25">
      <c r="B240" s="88">
        <v>235</v>
      </c>
      <c r="C240" s="83" t="s">
        <v>3437</v>
      </c>
      <c r="D240" s="83" t="s">
        <v>26</v>
      </c>
      <c r="E240" s="83" t="s">
        <v>25</v>
      </c>
      <c r="F240" s="83" t="s">
        <v>28</v>
      </c>
      <c r="G240" s="83" t="s">
        <v>20</v>
      </c>
      <c r="H240" s="83" t="s">
        <v>18</v>
      </c>
      <c r="I240" s="83" t="s">
        <v>22</v>
      </c>
      <c r="J240" s="83" t="s">
        <v>27</v>
      </c>
      <c r="K240" s="89" t="s">
        <v>29</v>
      </c>
    </row>
    <row r="241" spans="2:11" x14ac:dyDescent="0.25">
      <c r="B241" s="88">
        <v>236</v>
      </c>
      <c r="C241" s="83" t="s">
        <v>3438</v>
      </c>
      <c r="D241" s="83" t="s">
        <v>20</v>
      </c>
      <c r="E241" s="83" t="s">
        <v>28</v>
      </c>
      <c r="F241" s="83" t="s">
        <v>27</v>
      </c>
      <c r="G241" s="83" t="s">
        <v>22</v>
      </c>
      <c r="H241" s="83" t="s">
        <v>18</v>
      </c>
      <c r="I241" s="83" t="s">
        <v>24</v>
      </c>
      <c r="J241" s="83" t="s">
        <v>30</v>
      </c>
      <c r="K241" s="89" t="s">
        <v>29</v>
      </c>
    </row>
    <row r="242" spans="2:11" x14ac:dyDescent="0.25">
      <c r="B242" s="88">
        <v>237</v>
      </c>
      <c r="C242" s="83" t="s">
        <v>3439</v>
      </c>
      <c r="D242" s="83" t="s">
        <v>26</v>
      </c>
      <c r="E242" s="83" t="s">
        <v>28</v>
      </c>
      <c r="F242" s="83" t="s">
        <v>24</v>
      </c>
      <c r="G242" s="83" t="s">
        <v>20</v>
      </c>
      <c r="H242" s="83" t="s">
        <v>18</v>
      </c>
      <c r="I242" s="83" t="s">
        <v>22</v>
      </c>
      <c r="J242" s="83" t="s">
        <v>30</v>
      </c>
      <c r="K242" s="89" t="s">
        <v>29</v>
      </c>
    </row>
    <row r="243" spans="2:11" x14ac:dyDescent="0.25">
      <c r="B243" s="88">
        <v>238</v>
      </c>
      <c r="C243" s="83" t="s">
        <v>3440</v>
      </c>
      <c r="D243" s="83" t="s">
        <v>26</v>
      </c>
      <c r="E243" s="83" t="s">
        <v>24</v>
      </c>
      <c r="F243" s="83" t="s">
        <v>27</v>
      </c>
      <c r="G243" s="83" t="s">
        <v>20</v>
      </c>
      <c r="H243" s="83" t="s">
        <v>18</v>
      </c>
      <c r="I243" s="83" t="s">
        <v>22</v>
      </c>
      <c r="J243" s="83" t="s">
        <v>30</v>
      </c>
      <c r="K243" s="89" t="s">
        <v>29</v>
      </c>
    </row>
    <row r="244" spans="2:11" x14ac:dyDescent="0.25">
      <c r="B244" s="88">
        <v>239</v>
      </c>
      <c r="C244" s="83" t="s">
        <v>3441</v>
      </c>
      <c r="D244" s="83" t="s">
        <v>26</v>
      </c>
      <c r="E244" s="83" t="s">
        <v>28</v>
      </c>
      <c r="F244" s="83" t="s">
        <v>24</v>
      </c>
      <c r="G244" s="83" t="s">
        <v>20</v>
      </c>
      <c r="H244" s="83" t="s">
        <v>18</v>
      </c>
      <c r="I244" s="83" t="s">
        <v>22</v>
      </c>
      <c r="J244" s="83" t="s">
        <v>30</v>
      </c>
      <c r="K244" s="89" t="s">
        <v>27</v>
      </c>
    </row>
    <row r="245" spans="2:11" x14ac:dyDescent="0.25">
      <c r="B245" s="88">
        <v>240</v>
      </c>
      <c r="C245" s="83" t="s">
        <v>3442</v>
      </c>
      <c r="D245" s="83" t="s">
        <v>26</v>
      </c>
      <c r="E245" s="83" t="s">
        <v>28</v>
      </c>
      <c r="F245" s="83" t="s">
        <v>24</v>
      </c>
      <c r="G245" s="83" t="s">
        <v>20</v>
      </c>
      <c r="H245" s="83" t="s">
        <v>18</v>
      </c>
      <c r="I245" s="83" t="s">
        <v>22</v>
      </c>
      <c r="J245" s="83" t="s">
        <v>27</v>
      </c>
      <c r="K245" s="89" t="s">
        <v>29</v>
      </c>
    </row>
    <row r="246" spans="2:11" x14ac:dyDescent="0.25">
      <c r="B246" s="88">
        <v>241</v>
      </c>
      <c r="C246" s="83" t="s">
        <v>3443</v>
      </c>
      <c r="D246" s="83" t="s">
        <v>20</v>
      </c>
      <c r="E246" s="83" t="s">
        <v>25</v>
      </c>
      <c r="F246" s="83" t="s">
        <v>28</v>
      </c>
      <c r="G246" s="83" t="s">
        <v>22</v>
      </c>
      <c r="H246" s="83" t="s">
        <v>18</v>
      </c>
      <c r="I246" s="83" t="s">
        <v>24</v>
      </c>
      <c r="J246" s="83" t="s">
        <v>30</v>
      </c>
      <c r="K246" s="89" t="s">
        <v>29</v>
      </c>
    </row>
    <row r="247" spans="2:11" x14ac:dyDescent="0.25">
      <c r="B247" s="88">
        <v>242</v>
      </c>
      <c r="C247" s="83" t="s">
        <v>3444</v>
      </c>
      <c r="D247" s="83" t="s">
        <v>20</v>
      </c>
      <c r="E247" s="83" t="s">
        <v>25</v>
      </c>
      <c r="F247" s="83" t="s">
        <v>27</v>
      </c>
      <c r="G247" s="83" t="s">
        <v>22</v>
      </c>
      <c r="H247" s="83" t="s">
        <v>18</v>
      </c>
      <c r="I247" s="83" t="s">
        <v>24</v>
      </c>
      <c r="J247" s="83" t="s">
        <v>30</v>
      </c>
      <c r="K247" s="89" t="s">
        <v>29</v>
      </c>
    </row>
    <row r="248" spans="2:11" x14ac:dyDescent="0.25">
      <c r="B248" s="88">
        <v>243</v>
      </c>
      <c r="C248" s="83" t="s">
        <v>3445</v>
      </c>
      <c r="D248" s="83" t="s">
        <v>20</v>
      </c>
      <c r="E248" s="83" t="s">
        <v>25</v>
      </c>
      <c r="F248" s="83" t="s">
        <v>28</v>
      </c>
      <c r="G248" s="83" t="s">
        <v>22</v>
      </c>
      <c r="H248" s="83" t="s">
        <v>18</v>
      </c>
      <c r="I248" s="83" t="s">
        <v>24</v>
      </c>
      <c r="J248" s="83" t="s">
        <v>30</v>
      </c>
      <c r="K248" s="89" t="s">
        <v>27</v>
      </c>
    </row>
    <row r="249" spans="2:11" x14ac:dyDescent="0.25">
      <c r="B249" s="88">
        <v>244</v>
      </c>
      <c r="C249" s="83" t="s">
        <v>3446</v>
      </c>
      <c r="D249" s="83" t="s">
        <v>20</v>
      </c>
      <c r="E249" s="83" t="s">
        <v>25</v>
      </c>
      <c r="F249" s="83" t="s">
        <v>28</v>
      </c>
      <c r="G249" s="83" t="s">
        <v>22</v>
      </c>
      <c r="H249" s="83" t="s">
        <v>18</v>
      </c>
      <c r="I249" s="83" t="s">
        <v>24</v>
      </c>
      <c r="J249" s="83" t="s">
        <v>27</v>
      </c>
      <c r="K249" s="89" t="s">
        <v>29</v>
      </c>
    </row>
    <row r="250" spans="2:11" x14ac:dyDescent="0.25">
      <c r="B250" s="88">
        <v>245</v>
      </c>
      <c r="C250" s="83" t="s">
        <v>3447</v>
      </c>
      <c r="D250" s="83" t="s">
        <v>26</v>
      </c>
      <c r="E250" s="83" t="s">
        <v>25</v>
      </c>
      <c r="F250" s="83" t="s">
        <v>24</v>
      </c>
      <c r="G250" s="83" t="s">
        <v>20</v>
      </c>
      <c r="H250" s="83" t="s">
        <v>18</v>
      </c>
      <c r="I250" s="83" t="s">
        <v>22</v>
      </c>
      <c r="J250" s="83" t="s">
        <v>30</v>
      </c>
      <c r="K250" s="89" t="s">
        <v>29</v>
      </c>
    </row>
    <row r="251" spans="2:11" x14ac:dyDescent="0.25">
      <c r="B251" s="88">
        <v>246</v>
      </c>
      <c r="C251" s="83" t="s">
        <v>3448</v>
      </c>
      <c r="D251" s="83" t="s">
        <v>20</v>
      </c>
      <c r="E251" s="83" t="s">
        <v>25</v>
      </c>
      <c r="F251" s="83" t="s">
        <v>28</v>
      </c>
      <c r="G251" s="83" t="s">
        <v>22</v>
      </c>
      <c r="H251" s="83" t="s">
        <v>18</v>
      </c>
      <c r="I251" s="83" t="s">
        <v>24</v>
      </c>
      <c r="J251" s="83" t="s">
        <v>30</v>
      </c>
      <c r="K251" s="89" t="s">
        <v>26</v>
      </c>
    </row>
    <row r="252" spans="2:11" x14ac:dyDescent="0.25">
      <c r="B252" s="88">
        <v>247</v>
      </c>
      <c r="C252" s="83" t="s">
        <v>3449</v>
      </c>
      <c r="D252" s="83" t="s">
        <v>26</v>
      </c>
      <c r="E252" s="83" t="s">
        <v>25</v>
      </c>
      <c r="F252" s="83" t="s">
        <v>28</v>
      </c>
      <c r="G252" s="83" t="s">
        <v>20</v>
      </c>
      <c r="H252" s="83" t="s">
        <v>18</v>
      </c>
      <c r="I252" s="83" t="s">
        <v>24</v>
      </c>
      <c r="J252" s="83" t="s">
        <v>22</v>
      </c>
      <c r="K252" s="89" t="s">
        <v>29</v>
      </c>
    </row>
    <row r="253" spans="2:11" x14ac:dyDescent="0.25">
      <c r="B253" s="88">
        <v>248</v>
      </c>
      <c r="C253" s="83" t="s">
        <v>3450</v>
      </c>
      <c r="D253" s="83" t="s">
        <v>26</v>
      </c>
      <c r="E253" s="83" t="s">
        <v>25</v>
      </c>
      <c r="F253" s="83" t="s">
        <v>24</v>
      </c>
      <c r="G253" s="83" t="s">
        <v>20</v>
      </c>
      <c r="H253" s="83" t="s">
        <v>18</v>
      </c>
      <c r="I253" s="83" t="s">
        <v>22</v>
      </c>
      <c r="J253" s="83" t="s">
        <v>30</v>
      </c>
      <c r="K253" s="89" t="s">
        <v>27</v>
      </c>
    </row>
    <row r="254" spans="2:11" x14ac:dyDescent="0.25">
      <c r="B254" s="88">
        <v>249</v>
      </c>
      <c r="C254" s="83" t="s">
        <v>3451</v>
      </c>
      <c r="D254" s="83" t="s">
        <v>26</v>
      </c>
      <c r="E254" s="83" t="s">
        <v>25</v>
      </c>
      <c r="F254" s="83" t="s">
        <v>24</v>
      </c>
      <c r="G254" s="83" t="s">
        <v>20</v>
      </c>
      <c r="H254" s="83" t="s">
        <v>18</v>
      </c>
      <c r="I254" s="83" t="s">
        <v>22</v>
      </c>
      <c r="J254" s="83" t="s">
        <v>27</v>
      </c>
      <c r="K254" s="89" t="s">
        <v>29</v>
      </c>
    </row>
    <row r="255" spans="2:11" x14ac:dyDescent="0.25">
      <c r="B255" s="88">
        <v>250</v>
      </c>
      <c r="C255" s="83" t="s">
        <v>3452</v>
      </c>
      <c r="D255" s="83" t="s">
        <v>26</v>
      </c>
      <c r="E255" s="83" t="s">
        <v>25</v>
      </c>
      <c r="F255" s="83" t="s">
        <v>28</v>
      </c>
      <c r="G255" s="83" t="s">
        <v>20</v>
      </c>
      <c r="H255" s="83" t="s">
        <v>18</v>
      </c>
      <c r="I255" s="83" t="s">
        <v>24</v>
      </c>
      <c r="J255" s="83" t="s">
        <v>22</v>
      </c>
      <c r="K255" s="89" t="s">
        <v>27</v>
      </c>
    </row>
    <row r="256" spans="2:11" x14ac:dyDescent="0.25">
      <c r="B256" s="88">
        <v>251</v>
      </c>
      <c r="C256" s="83" t="s">
        <v>3453</v>
      </c>
      <c r="D256" s="83" t="s">
        <v>23</v>
      </c>
      <c r="E256" s="83" t="s">
        <v>28</v>
      </c>
      <c r="F256" s="83" t="s">
        <v>27</v>
      </c>
      <c r="G256" s="83" t="s">
        <v>20</v>
      </c>
      <c r="H256" s="83" t="s">
        <v>18</v>
      </c>
      <c r="I256" s="83" t="s">
        <v>22</v>
      </c>
      <c r="J256" s="83" t="s">
        <v>30</v>
      </c>
      <c r="K256" s="89" t="s">
        <v>29</v>
      </c>
    </row>
    <row r="257" spans="2:11" x14ac:dyDescent="0.25">
      <c r="B257" s="88">
        <v>252</v>
      </c>
      <c r="C257" s="83" t="s">
        <v>3454</v>
      </c>
      <c r="D257" s="83" t="s">
        <v>26</v>
      </c>
      <c r="E257" s="83" t="s">
        <v>28</v>
      </c>
      <c r="F257" s="83" t="s">
        <v>23</v>
      </c>
      <c r="G257" s="83" t="s">
        <v>20</v>
      </c>
      <c r="H257" s="83" t="s">
        <v>18</v>
      </c>
      <c r="I257" s="83" t="s">
        <v>22</v>
      </c>
      <c r="J257" s="83" t="s">
        <v>30</v>
      </c>
      <c r="K257" s="89" t="s">
        <v>29</v>
      </c>
    </row>
    <row r="258" spans="2:11" x14ac:dyDescent="0.25">
      <c r="B258" s="88">
        <v>253</v>
      </c>
      <c r="C258" s="83" t="s">
        <v>3455</v>
      </c>
      <c r="D258" s="83" t="s">
        <v>26</v>
      </c>
      <c r="E258" s="83" t="s">
        <v>23</v>
      </c>
      <c r="F258" s="83" t="s">
        <v>27</v>
      </c>
      <c r="G258" s="83" t="s">
        <v>20</v>
      </c>
      <c r="H258" s="83" t="s">
        <v>18</v>
      </c>
      <c r="I258" s="83" t="s">
        <v>22</v>
      </c>
      <c r="J258" s="83" t="s">
        <v>30</v>
      </c>
      <c r="K258" s="89" t="s">
        <v>29</v>
      </c>
    </row>
    <row r="259" spans="2:11" x14ac:dyDescent="0.25">
      <c r="B259" s="88">
        <v>254</v>
      </c>
      <c r="C259" s="83" t="s">
        <v>3456</v>
      </c>
      <c r="D259" s="83" t="s">
        <v>26</v>
      </c>
      <c r="E259" s="83" t="s">
        <v>28</v>
      </c>
      <c r="F259" s="83" t="s">
        <v>23</v>
      </c>
      <c r="G259" s="83" t="s">
        <v>20</v>
      </c>
      <c r="H259" s="83" t="s">
        <v>18</v>
      </c>
      <c r="I259" s="83" t="s">
        <v>22</v>
      </c>
      <c r="J259" s="83" t="s">
        <v>30</v>
      </c>
      <c r="K259" s="89" t="s">
        <v>27</v>
      </c>
    </row>
    <row r="260" spans="2:11" x14ac:dyDescent="0.25">
      <c r="B260" s="88">
        <v>255</v>
      </c>
      <c r="C260" s="83" t="s">
        <v>3457</v>
      </c>
      <c r="D260" s="83" t="s">
        <v>26</v>
      </c>
      <c r="E260" s="83" t="s">
        <v>28</v>
      </c>
      <c r="F260" s="83" t="s">
        <v>23</v>
      </c>
      <c r="G260" s="83" t="s">
        <v>20</v>
      </c>
      <c r="H260" s="83" t="s">
        <v>18</v>
      </c>
      <c r="I260" s="83" t="s">
        <v>22</v>
      </c>
      <c r="J260" s="83" t="s">
        <v>27</v>
      </c>
      <c r="K260" s="89" t="s">
        <v>29</v>
      </c>
    </row>
    <row r="261" spans="2:11" x14ac:dyDescent="0.25">
      <c r="B261" s="88">
        <v>256</v>
      </c>
      <c r="C261" s="83" t="s">
        <v>3458</v>
      </c>
      <c r="D261" s="83" t="s">
        <v>23</v>
      </c>
      <c r="E261" s="83" t="s">
        <v>25</v>
      </c>
      <c r="F261" s="83" t="s">
        <v>28</v>
      </c>
      <c r="G261" s="83" t="s">
        <v>20</v>
      </c>
      <c r="H261" s="83" t="s">
        <v>18</v>
      </c>
      <c r="I261" s="83" t="s">
        <v>22</v>
      </c>
      <c r="J261" s="83" t="s">
        <v>30</v>
      </c>
      <c r="K261" s="89" t="s">
        <v>29</v>
      </c>
    </row>
    <row r="262" spans="2:11" x14ac:dyDescent="0.25">
      <c r="B262" s="88">
        <v>257</v>
      </c>
      <c r="C262" s="83" t="s">
        <v>3459</v>
      </c>
      <c r="D262" s="83" t="s">
        <v>23</v>
      </c>
      <c r="E262" s="83" t="s">
        <v>25</v>
      </c>
      <c r="F262" s="83" t="s">
        <v>27</v>
      </c>
      <c r="G262" s="83" t="s">
        <v>20</v>
      </c>
      <c r="H262" s="83" t="s">
        <v>18</v>
      </c>
      <c r="I262" s="83" t="s">
        <v>22</v>
      </c>
      <c r="J262" s="83" t="s">
        <v>30</v>
      </c>
      <c r="K262" s="89" t="s">
        <v>29</v>
      </c>
    </row>
    <row r="263" spans="2:11" x14ac:dyDescent="0.25">
      <c r="B263" s="88">
        <v>258</v>
      </c>
      <c r="C263" s="83" t="s">
        <v>3460</v>
      </c>
      <c r="D263" s="83" t="s">
        <v>23</v>
      </c>
      <c r="E263" s="83" t="s">
        <v>25</v>
      </c>
      <c r="F263" s="83" t="s">
        <v>28</v>
      </c>
      <c r="G263" s="83" t="s">
        <v>20</v>
      </c>
      <c r="H263" s="83" t="s">
        <v>18</v>
      </c>
      <c r="I263" s="83" t="s">
        <v>22</v>
      </c>
      <c r="J263" s="83" t="s">
        <v>30</v>
      </c>
      <c r="K263" s="89" t="s">
        <v>27</v>
      </c>
    </row>
    <row r="264" spans="2:11" x14ac:dyDescent="0.25">
      <c r="B264" s="88">
        <v>259</v>
      </c>
      <c r="C264" s="83" t="s">
        <v>3461</v>
      </c>
      <c r="D264" s="83" t="s">
        <v>23</v>
      </c>
      <c r="E264" s="83" t="s">
        <v>25</v>
      </c>
      <c r="F264" s="83" t="s">
        <v>28</v>
      </c>
      <c r="G264" s="83" t="s">
        <v>20</v>
      </c>
      <c r="H264" s="83" t="s">
        <v>18</v>
      </c>
      <c r="I264" s="83" t="s">
        <v>22</v>
      </c>
      <c r="J264" s="83" t="s">
        <v>27</v>
      </c>
      <c r="K264" s="89" t="s">
        <v>29</v>
      </c>
    </row>
    <row r="265" spans="2:11" x14ac:dyDescent="0.25">
      <c r="B265" s="88">
        <v>260</v>
      </c>
      <c r="C265" s="83" t="s">
        <v>3462</v>
      </c>
      <c r="D265" s="83" t="s">
        <v>26</v>
      </c>
      <c r="E265" s="83" t="s">
        <v>25</v>
      </c>
      <c r="F265" s="83" t="s">
        <v>23</v>
      </c>
      <c r="G265" s="83" t="s">
        <v>20</v>
      </c>
      <c r="H265" s="83" t="s">
        <v>18</v>
      </c>
      <c r="I265" s="83" t="s">
        <v>22</v>
      </c>
      <c r="J265" s="83" t="s">
        <v>30</v>
      </c>
      <c r="K265" s="89" t="s">
        <v>29</v>
      </c>
    </row>
    <row r="266" spans="2:11" x14ac:dyDescent="0.25">
      <c r="B266" s="88">
        <v>261</v>
      </c>
      <c r="C266" s="83" t="s">
        <v>3463</v>
      </c>
      <c r="D266" s="83" t="s">
        <v>26</v>
      </c>
      <c r="E266" s="83" t="s">
        <v>25</v>
      </c>
      <c r="F266" s="83" t="s">
        <v>28</v>
      </c>
      <c r="G266" s="83" t="s">
        <v>20</v>
      </c>
      <c r="H266" s="83" t="s">
        <v>18</v>
      </c>
      <c r="I266" s="83" t="s">
        <v>22</v>
      </c>
      <c r="J266" s="83" t="s">
        <v>30</v>
      </c>
      <c r="K266" s="89" t="s">
        <v>23</v>
      </c>
    </row>
    <row r="267" spans="2:11" x14ac:dyDescent="0.25">
      <c r="B267" s="88">
        <v>262</v>
      </c>
      <c r="C267" s="83" t="s">
        <v>3464</v>
      </c>
      <c r="D267" s="83" t="s">
        <v>26</v>
      </c>
      <c r="E267" s="83" t="s">
        <v>25</v>
      </c>
      <c r="F267" s="83" t="s">
        <v>28</v>
      </c>
      <c r="G267" s="83" t="s">
        <v>20</v>
      </c>
      <c r="H267" s="83" t="s">
        <v>18</v>
      </c>
      <c r="I267" s="83" t="s">
        <v>22</v>
      </c>
      <c r="J267" s="83" t="s">
        <v>23</v>
      </c>
      <c r="K267" s="89" t="s">
        <v>29</v>
      </c>
    </row>
    <row r="268" spans="2:11" x14ac:dyDescent="0.25">
      <c r="B268" s="88">
        <v>263</v>
      </c>
      <c r="C268" s="83" t="s">
        <v>3465</v>
      </c>
      <c r="D268" s="83" t="s">
        <v>26</v>
      </c>
      <c r="E268" s="83" t="s">
        <v>25</v>
      </c>
      <c r="F268" s="83" t="s">
        <v>23</v>
      </c>
      <c r="G268" s="83" t="s">
        <v>20</v>
      </c>
      <c r="H268" s="83" t="s">
        <v>18</v>
      </c>
      <c r="I268" s="83" t="s">
        <v>22</v>
      </c>
      <c r="J268" s="83" t="s">
        <v>30</v>
      </c>
      <c r="K268" s="89" t="s">
        <v>27</v>
      </c>
    </row>
    <row r="269" spans="2:11" x14ac:dyDescent="0.25">
      <c r="B269" s="88">
        <v>264</v>
      </c>
      <c r="C269" s="83" t="s">
        <v>3466</v>
      </c>
      <c r="D269" s="83" t="s">
        <v>26</v>
      </c>
      <c r="E269" s="83" t="s">
        <v>25</v>
      </c>
      <c r="F269" s="83" t="s">
        <v>23</v>
      </c>
      <c r="G269" s="83" t="s">
        <v>20</v>
      </c>
      <c r="H269" s="83" t="s">
        <v>18</v>
      </c>
      <c r="I269" s="83" t="s">
        <v>22</v>
      </c>
      <c r="J269" s="83" t="s">
        <v>27</v>
      </c>
      <c r="K269" s="89" t="s">
        <v>29</v>
      </c>
    </row>
    <row r="270" spans="2:11" x14ac:dyDescent="0.25">
      <c r="B270" s="88">
        <v>265</v>
      </c>
      <c r="C270" s="83" t="s">
        <v>3467</v>
      </c>
      <c r="D270" s="83" t="s">
        <v>26</v>
      </c>
      <c r="E270" s="83" t="s">
        <v>25</v>
      </c>
      <c r="F270" s="83" t="s">
        <v>28</v>
      </c>
      <c r="G270" s="83" t="s">
        <v>20</v>
      </c>
      <c r="H270" s="83" t="s">
        <v>18</v>
      </c>
      <c r="I270" s="83" t="s">
        <v>22</v>
      </c>
      <c r="J270" s="83" t="s">
        <v>23</v>
      </c>
      <c r="K270" s="89" t="s">
        <v>27</v>
      </c>
    </row>
    <row r="271" spans="2:11" x14ac:dyDescent="0.25">
      <c r="B271" s="88">
        <v>266</v>
      </c>
      <c r="C271" s="83" t="s">
        <v>3468</v>
      </c>
      <c r="D271" s="83" t="s">
        <v>20</v>
      </c>
      <c r="E271" s="83" t="s">
        <v>28</v>
      </c>
      <c r="F271" s="83" t="s">
        <v>23</v>
      </c>
      <c r="G271" s="83" t="s">
        <v>22</v>
      </c>
      <c r="H271" s="83" t="s">
        <v>18</v>
      </c>
      <c r="I271" s="83" t="s">
        <v>24</v>
      </c>
      <c r="J271" s="83" t="s">
        <v>30</v>
      </c>
      <c r="K271" s="89" t="s">
        <v>29</v>
      </c>
    </row>
    <row r="272" spans="2:11" x14ac:dyDescent="0.25">
      <c r="B272" s="88">
        <v>267</v>
      </c>
      <c r="C272" s="83" t="s">
        <v>3469</v>
      </c>
      <c r="D272" s="83" t="s">
        <v>20</v>
      </c>
      <c r="E272" s="83" t="s">
        <v>23</v>
      </c>
      <c r="F272" s="83" t="s">
        <v>27</v>
      </c>
      <c r="G272" s="83" t="s">
        <v>22</v>
      </c>
      <c r="H272" s="83" t="s">
        <v>18</v>
      </c>
      <c r="I272" s="83" t="s">
        <v>24</v>
      </c>
      <c r="J272" s="83" t="s">
        <v>30</v>
      </c>
      <c r="K272" s="89" t="s">
        <v>29</v>
      </c>
    </row>
    <row r="273" spans="2:11" x14ac:dyDescent="0.25">
      <c r="B273" s="88">
        <v>268</v>
      </c>
      <c r="C273" s="83" t="s">
        <v>3470</v>
      </c>
      <c r="D273" s="83" t="s">
        <v>20</v>
      </c>
      <c r="E273" s="83" t="s">
        <v>28</v>
      </c>
      <c r="F273" s="83" t="s">
        <v>23</v>
      </c>
      <c r="G273" s="83" t="s">
        <v>22</v>
      </c>
      <c r="H273" s="83" t="s">
        <v>18</v>
      </c>
      <c r="I273" s="83" t="s">
        <v>24</v>
      </c>
      <c r="J273" s="83" t="s">
        <v>30</v>
      </c>
      <c r="K273" s="89" t="s">
        <v>27</v>
      </c>
    </row>
    <row r="274" spans="2:11" x14ac:dyDescent="0.25">
      <c r="B274" s="88">
        <v>269</v>
      </c>
      <c r="C274" s="83" t="s">
        <v>3471</v>
      </c>
      <c r="D274" s="83" t="s">
        <v>20</v>
      </c>
      <c r="E274" s="83" t="s">
        <v>28</v>
      </c>
      <c r="F274" s="83" t="s">
        <v>23</v>
      </c>
      <c r="G274" s="83" t="s">
        <v>22</v>
      </c>
      <c r="H274" s="83" t="s">
        <v>18</v>
      </c>
      <c r="I274" s="83" t="s">
        <v>24</v>
      </c>
      <c r="J274" s="83" t="s">
        <v>27</v>
      </c>
      <c r="K274" s="89" t="s">
        <v>29</v>
      </c>
    </row>
    <row r="275" spans="2:11" x14ac:dyDescent="0.25">
      <c r="B275" s="88">
        <v>270</v>
      </c>
      <c r="C275" s="83" t="s">
        <v>3472</v>
      </c>
      <c r="D275" s="83" t="s">
        <v>26</v>
      </c>
      <c r="E275" s="83" t="s">
        <v>23</v>
      </c>
      <c r="F275" s="83" t="s">
        <v>24</v>
      </c>
      <c r="G275" s="83" t="s">
        <v>20</v>
      </c>
      <c r="H275" s="83" t="s">
        <v>18</v>
      </c>
      <c r="I275" s="83" t="s">
        <v>22</v>
      </c>
      <c r="J275" s="83" t="s">
        <v>30</v>
      </c>
      <c r="K275" s="89" t="s">
        <v>29</v>
      </c>
    </row>
    <row r="276" spans="2:11" x14ac:dyDescent="0.25">
      <c r="B276" s="88">
        <v>271</v>
      </c>
      <c r="C276" s="83" t="s">
        <v>3473</v>
      </c>
      <c r="D276" s="83" t="s">
        <v>26</v>
      </c>
      <c r="E276" s="83" t="s">
        <v>28</v>
      </c>
      <c r="F276" s="83" t="s">
        <v>24</v>
      </c>
      <c r="G276" s="83" t="s">
        <v>20</v>
      </c>
      <c r="H276" s="83" t="s">
        <v>18</v>
      </c>
      <c r="I276" s="83" t="s">
        <v>22</v>
      </c>
      <c r="J276" s="83" t="s">
        <v>30</v>
      </c>
      <c r="K276" s="89" t="s">
        <v>23</v>
      </c>
    </row>
    <row r="277" spans="2:11" x14ac:dyDescent="0.25">
      <c r="B277" s="88">
        <v>272</v>
      </c>
      <c r="C277" s="83" t="s">
        <v>3474</v>
      </c>
      <c r="D277" s="83" t="s">
        <v>26</v>
      </c>
      <c r="E277" s="83" t="s">
        <v>28</v>
      </c>
      <c r="F277" s="83" t="s">
        <v>23</v>
      </c>
      <c r="G277" s="83" t="s">
        <v>20</v>
      </c>
      <c r="H277" s="83" t="s">
        <v>18</v>
      </c>
      <c r="I277" s="83" t="s">
        <v>24</v>
      </c>
      <c r="J277" s="83" t="s">
        <v>22</v>
      </c>
      <c r="K277" s="89" t="s">
        <v>29</v>
      </c>
    </row>
    <row r="278" spans="2:11" x14ac:dyDescent="0.25">
      <c r="B278" s="88">
        <v>273</v>
      </c>
      <c r="C278" s="83" t="s">
        <v>3475</v>
      </c>
      <c r="D278" s="83" t="s">
        <v>26</v>
      </c>
      <c r="E278" s="83" t="s">
        <v>23</v>
      </c>
      <c r="F278" s="83" t="s">
        <v>24</v>
      </c>
      <c r="G278" s="83" t="s">
        <v>20</v>
      </c>
      <c r="H278" s="83" t="s">
        <v>18</v>
      </c>
      <c r="I278" s="83" t="s">
        <v>22</v>
      </c>
      <c r="J278" s="83" t="s">
        <v>30</v>
      </c>
      <c r="K278" s="89" t="s">
        <v>27</v>
      </c>
    </row>
    <row r="279" spans="2:11" x14ac:dyDescent="0.25">
      <c r="B279" s="88">
        <v>274</v>
      </c>
      <c r="C279" s="83" t="s">
        <v>3476</v>
      </c>
      <c r="D279" s="83" t="s">
        <v>26</v>
      </c>
      <c r="E279" s="83" t="s">
        <v>23</v>
      </c>
      <c r="F279" s="83" t="s">
        <v>24</v>
      </c>
      <c r="G279" s="83" t="s">
        <v>20</v>
      </c>
      <c r="H279" s="83" t="s">
        <v>18</v>
      </c>
      <c r="I279" s="83" t="s">
        <v>22</v>
      </c>
      <c r="J279" s="83" t="s">
        <v>27</v>
      </c>
      <c r="K279" s="89" t="s">
        <v>29</v>
      </c>
    </row>
    <row r="280" spans="2:11" x14ac:dyDescent="0.25">
      <c r="B280" s="88">
        <v>275</v>
      </c>
      <c r="C280" s="83" t="s">
        <v>3477</v>
      </c>
      <c r="D280" s="83" t="s">
        <v>26</v>
      </c>
      <c r="E280" s="83" t="s">
        <v>28</v>
      </c>
      <c r="F280" s="83" t="s">
        <v>23</v>
      </c>
      <c r="G280" s="83" t="s">
        <v>20</v>
      </c>
      <c r="H280" s="83" t="s">
        <v>18</v>
      </c>
      <c r="I280" s="83" t="s">
        <v>24</v>
      </c>
      <c r="J280" s="83" t="s">
        <v>22</v>
      </c>
      <c r="K280" s="89" t="s">
        <v>27</v>
      </c>
    </row>
    <row r="281" spans="2:11" x14ac:dyDescent="0.25">
      <c r="B281" s="88">
        <v>276</v>
      </c>
      <c r="C281" s="83" t="s">
        <v>3478</v>
      </c>
      <c r="D281" s="83" t="s">
        <v>20</v>
      </c>
      <c r="E281" s="83" t="s">
        <v>25</v>
      </c>
      <c r="F281" s="83" t="s">
        <v>23</v>
      </c>
      <c r="G281" s="83" t="s">
        <v>22</v>
      </c>
      <c r="H281" s="83" t="s">
        <v>18</v>
      </c>
      <c r="I281" s="83" t="s">
        <v>24</v>
      </c>
      <c r="J281" s="83" t="s">
        <v>30</v>
      </c>
      <c r="K281" s="89" t="s">
        <v>29</v>
      </c>
    </row>
    <row r="282" spans="2:11" x14ac:dyDescent="0.25">
      <c r="B282" s="88">
        <v>277</v>
      </c>
      <c r="C282" s="83" t="s">
        <v>3479</v>
      </c>
      <c r="D282" s="83" t="s">
        <v>20</v>
      </c>
      <c r="E282" s="83" t="s">
        <v>25</v>
      </c>
      <c r="F282" s="83" t="s">
        <v>28</v>
      </c>
      <c r="G282" s="83" t="s">
        <v>22</v>
      </c>
      <c r="H282" s="83" t="s">
        <v>18</v>
      </c>
      <c r="I282" s="83" t="s">
        <v>24</v>
      </c>
      <c r="J282" s="83" t="s">
        <v>30</v>
      </c>
      <c r="K282" s="89" t="s">
        <v>23</v>
      </c>
    </row>
    <row r="283" spans="2:11" x14ac:dyDescent="0.25">
      <c r="B283" s="88">
        <v>278</v>
      </c>
      <c r="C283" s="83" t="s">
        <v>3480</v>
      </c>
      <c r="D283" s="83" t="s">
        <v>20</v>
      </c>
      <c r="E283" s="83" t="s">
        <v>25</v>
      </c>
      <c r="F283" s="83" t="s">
        <v>28</v>
      </c>
      <c r="G283" s="83" t="s">
        <v>22</v>
      </c>
      <c r="H283" s="83" t="s">
        <v>18</v>
      </c>
      <c r="I283" s="83" t="s">
        <v>24</v>
      </c>
      <c r="J283" s="83" t="s">
        <v>23</v>
      </c>
      <c r="K283" s="89" t="s">
        <v>29</v>
      </c>
    </row>
    <row r="284" spans="2:11" x14ac:dyDescent="0.25">
      <c r="B284" s="88">
        <v>279</v>
      </c>
      <c r="C284" s="83" t="s">
        <v>3481</v>
      </c>
      <c r="D284" s="83" t="s">
        <v>20</v>
      </c>
      <c r="E284" s="83" t="s">
        <v>25</v>
      </c>
      <c r="F284" s="83" t="s">
        <v>23</v>
      </c>
      <c r="G284" s="83" t="s">
        <v>22</v>
      </c>
      <c r="H284" s="83" t="s">
        <v>18</v>
      </c>
      <c r="I284" s="83" t="s">
        <v>24</v>
      </c>
      <c r="J284" s="83" t="s">
        <v>30</v>
      </c>
      <c r="K284" s="89" t="s">
        <v>27</v>
      </c>
    </row>
    <row r="285" spans="2:11" x14ac:dyDescent="0.25">
      <c r="B285" s="88">
        <v>280</v>
      </c>
      <c r="C285" s="83" t="s">
        <v>3482</v>
      </c>
      <c r="D285" s="83" t="s">
        <v>20</v>
      </c>
      <c r="E285" s="83" t="s">
        <v>25</v>
      </c>
      <c r="F285" s="83" t="s">
        <v>23</v>
      </c>
      <c r="G285" s="83" t="s">
        <v>22</v>
      </c>
      <c r="H285" s="83" t="s">
        <v>18</v>
      </c>
      <c r="I285" s="83" t="s">
        <v>24</v>
      </c>
      <c r="J285" s="83" t="s">
        <v>27</v>
      </c>
      <c r="K285" s="89" t="s">
        <v>29</v>
      </c>
    </row>
    <row r="286" spans="2:11" x14ac:dyDescent="0.25">
      <c r="B286" s="88">
        <v>281</v>
      </c>
      <c r="C286" s="83" t="s">
        <v>3483</v>
      </c>
      <c r="D286" s="83" t="s">
        <v>20</v>
      </c>
      <c r="E286" s="83" t="s">
        <v>25</v>
      </c>
      <c r="F286" s="83" t="s">
        <v>28</v>
      </c>
      <c r="G286" s="83" t="s">
        <v>22</v>
      </c>
      <c r="H286" s="83" t="s">
        <v>18</v>
      </c>
      <c r="I286" s="83" t="s">
        <v>24</v>
      </c>
      <c r="J286" s="83" t="s">
        <v>23</v>
      </c>
      <c r="K286" s="89" t="s">
        <v>27</v>
      </c>
    </row>
    <row r="287" spans="2:11" x14ac:dyDescent="0.25">
      <c r="B287" s="88">
        <v>282</v>
      </c>
      <c r="C287" s="83" t="s">
        <v>3484</v>
      </c>
      <c r="D287" s="83" t="s">
        <v>26</v>
      </c>
      <c r="E287" s="83" t="s">
        <v>25</v>
      </c>
      <c r="F287" s="83" t="s">
        <v>24</v>
      </c>
      <c r="G287" s="83" t="s">
        <v>20</v>
      </c>
      <c r="H287" s="83" t="s">
        <v>18</v>
      </c>
      <c r="I287" s="83" t="s">
        <v>22</v>
      </c>
      <c r="J287" s="83" t="s">
        <v>30</v>
      </c>
      <c r="K287" s="89" t="s">
        <v>23</v>
      </c>
    </row>
    <row r="288" spans="2:11" x14ac:dyDescent="0.25">
      <c r="B288" s="88">
        <v>283</v>
      </c>
      <c r="C288" s="83" t="s">
        <v>3485</v>
      </c>
      <c r="D288" s="83" t="s">
        <v>26</v>
      </c>
      <c r="E288" s="83" t="s">
        <v>25</v>
      </c>
      <c r="F288" s="83" t="s">
        <v>23</v>
      </c>
      <c r="G288" s="83" t="s">
        <v>20</v>
      </c>
      <c r="H288" s="83" t="s">
        <v>18</v>
      </c>
      <c r="I288" s="83" t="s">
        <v>24</v>
      </c>
      <c r="J288" s="83" t="s">
        <v>22</v>
      </c>
      <c r="K288" s="89" t="s">
        <v>29</v>
      </c>
    </row>
    <row r="289" spans="2:11" x14ac:dyDescent="0.25">
      <c r="B289" s="88">
        <v>284</v>
      </c>
      <c r="C289" s="83" t="s">
        <v>3486</v>
      </c>
      <c r="D289" s="83" t="s">
        <v>26</v>
      </c>
      <c r="E289" s="83" t="s">
        <v>25</v>
      </c>
      <c r="F289" s="83" t="s">
        <v>28</v>
      </c>
      <c r="G289" s="83" t="s">
        <v>20</v>
      </c>
      <c r="H289" s="83" t="s">
        <v>18</v>
      </c>
      <c r="I289" s="83" t="s">
        <v>24</v>
      </c>
      <c r="J289" s="83" t="s">
        <v>22</v>
      </c>
      <c r="K289" s="89" t="s">
        <v>23</v>
      </c>
    </row>
    <row r="290" spans="2:11" x14ac:dyDescent="0.25">
      <c r="B290" s="88">
        <v>285</v>
      </c>
      <c r="C290" s="83" t="s">
        <v>3487</v>
      </c>
      <c r="D290" s="83" t="s">
        <v>26</v>
      </c>
      <c r="E290" s="83" t="s">
        <v>25</v>
      </c>
      <c r="F290" s="83" t="s">
        <v>23</v>
      </c>
      <c r="G290" s="83" t="s">
        <v>20</v>
      </c>
      <c r="H290" s="83" t="s">
        <v>18</v>
      </c>
      <c r="I290" s="83" t="s">
        <v>24</v>
      </c>
      <c r="J290" s="83" t="s">
        <v>22</v>
      </c>
      <c r="K290" s="89" t="s">
        <v>27</v>
      </c>
    </row>
    <row r="291" spans="2:11" x14ac:dyDescent="0.25">
      <c r="B291" s="88">
        <v>286</v>
      </c>
      <c r="C291" s="83" t="s">
        <v>3488</v>
      </c>
      <c r="D291" s="83" t="s">
        <v>26</v>
      </c>
      <c r="E291" s="83" t="s">
        <v>28</v>
      </c>
      <c r="F291" s="83" t="s">
        <v>19</v>
      </c>
      <c r="G291" s="83" t="s">
        <v>18</v>
      </c>
      <c r="H291" s="83" t="s">
        <v>27</v>
      </c>
      <c r="I291" s="83" t="s">
        <v>25</v>
      </c>
      <c r="J291" s="83" t="s">
        <v>30</v>
      </c>
      <c r="K291" s="89" t="s">
        <v>29</v>
      </c>
    </row>
    <row r="292" spans="2:11" x14ac:dyDescent="0.25">
      <c r="B292" s="88">
        <v>287</v>
      </c>
      <c r="C292" s="83" t="s">
        <v>3489</v>
      </c>
      <c r="D292" s="83" t="s">
        <v>26</v>
      </c>
      <c r="E292" s="83" t="s">
        <v>28</v>
      </c>
      <c r="F292" s="83" t="s">
        <v>19</v>
      </c>
      <c r="G292" s="83" t="s">
        <v>18</v>
      </c>
      <c r="H292" s="83" t="s">
        <v>27</v>
      </c>
      <c r="I292" s="83" t="s">
        <v>24</v>
      </c>
      <c r="J292" s="83" t="s">
        <v>30</v>
      </c>
      <c r="K292" s="89" t="s">
        <v>29</v>
      </c>
    </row>
    <row r="293" spans="2:11" x14ac:dyDescent="0.25">
      <c r="B293" s="88">
        <v>288</v>
      </c>
      <c r="C293" s="83" t="s">
        <v>3490</v>
      </c>
      <c r="D293" s="83" t="s">
        <v>27</v>
      </c>
      <c r="E293" s="83" t="s">
        <v>28</v>
      </c>
      <c r="F293" s="83" t="s">
        <v>19</v>
      </c>
      <c r="G293" s="83" t="s">
        <v>24</v>
      </c>
      <c r="H293" s="83" t="s">
        <v>18</v>
      </c>
      <c r="I293" s="83" t="s">
        <v>25</v>
      </c>
      <c r="J293" s="83" t="s">
        <v>30</v>
      </c>
      <c r="K293" s="89" t="s">
        <v>29</v>
      </c>
    </row>
    <row r="294" spans="2:11" x14ac:dyDescent="0.25">
      <c r="B294" s="88">
        <v>289</v>
      </c>
      <c r="C294" s="83" t="s">
        <v>3491</v>
      </c>
      <c r="D294" s="83" t="s">
        <v>26</v>
      </c>
      <c r="E294" s="83" t="s">
        <v>28</v>
      </c>
      <c r="F294" s="83" t="s">
        <v>19</v>
      </c>
      <c r="G294" s="83" t="s">
        <v>24</v>
      </c>
      <c r="H294" s="83" t="s">
        <v>18</v>
      </c>
      <c r="I294" s="83" t="s">
        <v>25</v>
      </c>
      <c r="J294" s="83" t="s">
        <v>30</v>
      </c>
      <c r="K294" s="89" t="s">
        <v>29</v>
      </c>
    </row>
    <row r="295" spans="2:11" x14ac:dyDescent="0.25">
      <c r="B295" s="88">
        <v>290</v>
      </c>
      <c r="C295" s="83" t="s">
        <v>3492</v>
      </c>
      <c r="D295" s="83" t="s">
        <v>26</v>
      </c>
      <c r="E295" s="83" t="s">
        <v>25</v>
      </c>
      <c r="F295" s="83" t="s">
        <v>19</v>
      </c>
      <c r="G295" s="83" t="s">
        <v>18</v>
      </c>
      <c r="H295" s="83" t="s">
        <v>27</v>
      </c>
      <c r="I295" s="83" t="s">
        <v>24</v>
      </c>
      <c r="J295" s="83" t="s">
        <v>30</v>
      </c>
      <c r="K295" s="89" t="s">
        <v>29</v>
      </c>
    </row>
    <row r="296" spans="2:11" x14ac:dyDescent="0.25">
      <c r="B296" s="88">
        <v>291</v>
      </c>
      <c r="C296" s="83" t="s">
        <v>3493</v>
      </c>
      <c r="D296" s="83" t="s">
        <v>26</v>
      </c>
      <c r="E296" s="83" t="s">
        <v>28</v>
      </c>
      <c r="F296" s="83" t="s">
        <v>19</v>
      </c>
      <c r="G296" s="83" t="s">
        <v>24</v>
      </c>
      <c r="H296" s="83" t="s">
        <v>18</v>
      </c>
      <c r="I296" s="83" t="s">
        <v>25</v>
      </c>
      <c r="J296" s="83" t="s">
        <v>30</v>
      </c>
      <c r="K296" s="89" t="s">
        <v>27</v>
      </c>
    </row>
    <row r="297" spans="2:11" x14ac:dyDescent="0.25">
      <c r="B297" s="88">
        <v>292</v>
      </c>
      <c r="C297" s="83" t="s">
        <v>3494</v>
      </c>
      <c r="D297" s="83" t="s">
        <v>26</v>
      </c>
      <c r="E297" s="83" t="s">
        <v>28</v>
      </c>
      <c r="F297" s="83" t="s">
        <v>19</v>
      </c>
      <c r="G297" s="83" t="s">
        <v>24</v>
      </c>
      <c r="H297" s="83" t="s">
        <v>18</v>
      </c>
      <c r="I297" s="83" t="s">
        <v>25</v>
      </c>
      <c r="J297" s="83" t="s">
        <v>27</v>
      </c>
      <c r="K297" s="89" t="s">
        <v>29</v>
      </c>
    </row>
    <row r="298" spans="2:11" x14ac:dyDescent="0.25">
      <c r="B298" s="88">
        <v>293</v>
      </c>
      <c r="C298" s="83" t="s">
        <v>3495</v>
      </c>
      <c r="D298" s="83" t="s">
        <v>23</v>
      </c>
      <c r="E298" s="83" t="s">
        <v>28</v>
      </c>
      <c r="F298" s="83" t="s">
        <v>19</v>
      </c>
      <c r="G298" s="83" t="s">
        <v>18</v>
      </c>
      <c r="H298" s="83" t="s">
        <v>27</v>
      </c>
      <c r="I298" s="83" t="s">
        <v>26</v>
      </c>
      <c r="J298" s="83" t="s">
        <v>30</v>
      </c>
      <c r="K298" s="89" t="s">
        <v>29</v>
      </c>
    </row>
    <row r="299" spans="2:11" x14ac:dyDescent="0.25">
      <c r="B299" s="88">
        <v>294</v>
      </c>
      <c r="C299" s="83" t="s">
        <v>3496</v>
      </c>
      <c r="D299" s="83" t="s">
        <v>23</v>
      </c>
      <c r="E299" s="83" t="s">
        <v>28</v>
      </c>
      <c r="F299" s="83" t="s">
        <v>19</v>
      </c>
      <c r="G299" s="83" t="s">
        <v>18</v>
      </c>
      <c r="H299" s="83" t="s">
        <v>27</v>
      </c>
      <c r="I299" s="83" t="s">
        <v>25</v>
      </c>
      <c r="J299" s="83" t="s">
        <v>30</v>
      </c>
      <c r="K299" s="89" t="s">
        <v>29</v>
      </c>
    </row>
    <row r="300" spans="2:11" x14ac:dyDescent="0.25">
      <c r="B300" s="88">
        <v>295</v>
      </c>
      <c r="C300" s="83" t="s">
        <v>3497</v>
      </c>
      <c r="D300" s="83" t="s">
        <v>23</v>
      </c>
      <c r="E300" s="83" t="s">
        <v>28</v>
      </c>
      <c r="F300" s="83" t="s">
        <v>19</v>
      </c>
      <c r="G300" s="83" t="s">
        <v>18</v>
      </c>
      <c r="H300" s="83" t="s">
        <v>26</v>
      </c>
      <c r="I300" s="83" t="s">
        <v>25</v>
      </c>
      <c r="J300" s="83" t="s">
        <v>30</v>
      </c>
      <c r="K300" s="89" t="s">
        <v>29</v>
      </c>
    </row>
    <row r="301" spans="2:11" x14ac:dyDescent="0.25">
      <c r="B301" s="88">
        <v>296</v>
      </c>
      <c r="C301" s="83" t="s">
        <v>3498</v>
      </c>
      <c r="D301" s="83" t="s">
        <v>23</v>
      </c>
      <c r="E301" s="83" t="s">
        <v>25</v>
      </c>
      <c r="F301" s="83" t="s">
        <v>19</v>
      </c>
      <c r="G301" s="83" t="s">
        <v>18</v>
      </c>
      <c r="H301" s="83" t="s">
        <v>27</v>
      </c>
      <c r="I301" s="83" t="s">
        <v>26</v>
      </c>
      <c r="J301" s="83" t="s">
        <v>30</v>
      </c>
      <c r="K301" s="89" t="s">
        <v>29</v>
      </c>
    </row>
    <row r="302" spans="2:11" x14ac:dyDescent="0.25">
      <c r="B302" s="88">
        <v>297</v>
      </c>
      <c r="C302" s="83" t="s">
        <v>3499</v>
      </c>
      <c r="D302" s="83" t="s">
        <v>23</v>
      </c>
      <c r="E302" s="83" t="s">
        <v>28</v>
      </c>
      <c r="F302" s="83" t="s">
        <v>19</v>
      </c>
      <c r="G302" s="83" t="s">
        <v>18</v>
      </c>
      <c r="H302" s="83" t="s">
        <v>26</v>
      </c>
      <c r="I302" s="83" t="s">
        <v>25</v>
      </c>
      <c r="J302" s="83" t="s">
        <v>30</v>
      </c>
      <c r="K302" s="89" t="s">
        <v>27</v>
      </c>
    </row>
    <row r="303" spans="2:11" x14ac:dyDescent="0.25">
      <c r="B303" s="88">
        <v>298</v>
      </c>
      <c r="C303" s="83" t="s">
        <v>3500</v>
      </c>
      <c r="D303" s="83" t="s">
        <v>23</v>
      </c>
      <c r="E303" s="83" t="s">
        <v>28</v>
      </c>
      <c r="F303" s="83" t="s">
        <v>19</v>
      </c>
      <c r="G303" s="83" t="s">
        <v>18</v>
      </c>
      <c r="H303" s="83" t="s">
        <v>26</v>
      </c>
      <c r="I303" s="83" t="s">
        <v>25</v>
      </c>
      <c r="J303" s="83" t="s">
        <v>27</v>
      </c>
      <c r="K303" s="89" t="s">
        <v>29</v>
      </c>
    </row>
    <row r="304" spans="2:11" x14ac:dyDescent="0.25">
      <c r="B304" s="88">
        <v>299</v>
      </c>
      <c r="C304" s="83" t="s">
        <v>3501</v>
      </c>
      <c r="D304" s="83" t="s">
        <v>23</v>
      </c>
      <c r="E304" s="83" t="s">
        <v>28</v>
      </c>
      <c r="F304" s="83" t="s">
        <v>19</v>
      </c>
      <c r="G304" s="83" t="s">
        <v>18</v>
      </c>
      <c r="H304" s="83" t="s">
        <v>27</v>
      </c>
      <c r="I304" s="83" t="s">
        <v>24</v>
      </c>
      <c r="J304" s="83" t="s">
        <v>30</v>
      </c>
      <c r="K304" s="89" t="s">
        <v>29</v>
      </c>
    </row>
    <row r="305" spans="2:11" x14ac:dyDescent="0.25">
      <c r="B305" s="88">
        <v>300</v>
      </c>
      <c r="C305" s="83" t="s">
        <v>3502</v>
      </c>
      <c r="D305" s="83" t="s">
        <v>23</v>
      </c>
      <c r="E305" s="83" t="s">
        <v>28</v>
      </c>
      <c r="F305" s="83" t="s">
        <v>19</v>
      </c>
      <c r="G305" s="83" t="s">
        <v>24</v>
      </c>
      <c r="H305" s="83" t="s">
        <v>18</v>
      </c>
      <c r="I305" s="83" t="s">
        <v>26</v>
      </c>
      <c r="J305" s="83" t="s">
        <v>30</v>
      </c>
      <c r="K305" s="89" t="s">
        <v>29</v>
      </c>
    </row>
    <row r="306" spans="2:11" x14ac:dyDescent="0.25">
      <c r="B306" s="88">
        <v>301</v>
      </c>
      <c r="C306" s="83" t="s">
        <v>3503</v>
      </c>
      <c r="D306" s="83" t="s">
        <v>23</v>
      </c>
      <c r="E306" s="83" t="s">
        <v>27</v>
      </c>
      <c r="F306" s="83" t="s">
        <v>19</v>
      </c>
      <c r="G306" s="83" t="s">
        <v>24</v>
      </c>
      <c r="H306" s="83" t="s">
        <v>18</v>
      </c>
      <c r="I306" s="83" t="s">
        <v>26</v>
      </c>
      <c r="J306" s="83" t="s">
        <v>30</v>
      </c>
      <c r="K306" s="89" t="s">
        <v>29</v>
      </c>
    </row>
    <row r="307" spans="2:11" x14ac:dyDescent="0.25">
      <c r="B307" s="88">
        <v>302</v>
      </c>
      <c r="C307" s="83" t="s">
        <v>3504</v>
      </c>
      <c r="D307" s="83" t="s">
        <v>23</v>
      </c>
      <c r="E307" s="83" t="s">
        <v>28</v>
      </c>
      <c r="F307" s="83" t="s">
        <v>19</v>
      </c>
      <c r="G307" s="83" t="s">
        <v>24</v>
      </c>
      <c r="H307" s="83" t="s">
        <v>18</v>
      </c>
      <c r="I307" s="83" t="s">
        <v>26</v>
      </c>
      <c r="J307" s="83" t="s">
        <v>30</v>
      </c>
      <c r="K307" s="89" t="s">
        <v>27</v>
      </c>
    </row>
    <row r="308" spans="2:11" x14ac:dyDescent="0.25">
      <c r="B308" s="88">
        <v>303</v>
      </c>
      <c r="C308" s="83" t="s">
        <v>3505</v>
      </c>
      <c r="D308" s="83" t="s">
        <v>23</v>
      </c>
      <c r="E308" s="83" t="s">
        <v>28</v>
      </c>
      <c r="F308" s="83" t="s">
        <v>19</v>
      </c>
      <c r="G308" s="83" t="s">
        <v>24</v>
      </c>
      <c r="H308" s="83" t="s">
        <v>18</v>
      </c>
      <c r="I308" s="83" t="s">
        <v>26</v>
      </c>
      <c r="J308" s="83" t="s">
        <v>27</v>
      </c>
      <c r="K308" s="89" t="s">
        <v>29</v>
      </c>
    </row>
    <row r="309" spans="2:11" x14ac:dyDescent="0.25">
      <c r="B309" s="88">
        <v>304</v>
      </c>
      <c r="C309" s="83" t="s">
        <v>3506</v>
      </c>
      <c r="D309" s="83" t="s">
        <v>23</v>
      </c>
      <c r="E309" s="83" t="s">
        <v>28</v>
      </c>
      <c r="F309" s="83" t="s">
        <v>19</v>
      </c>
      <c r="G309" s="83" t="s">
        <v>24</v>
      </c>
      <c r="H309" s="83" t="s">
        <v>18</v>
      </c>
      <c r="I309" s="83" t="s">
        <v>25</v>
      </c>
      <c r="J309" s="83" t="s">
        <v>30</v>
      </c>
      <c r="K309" s="89" t="s">
        <v>29</v>
      </c>
    </row>
    <row r="310" spans="2:11" x14ac:dyDescent="0.25">
      <c r="B310" s="88">
        <v>305</v>
      </c>
      <c r="C310" s="83" t="s">
        <v>3507</v>
      </c>
      <c r="D310" s="83" t="s">
        <v>23</v>
      </c>
      <c r="E310" s="83" t="s">
        <v>25</v>
      </c>
      <c r="F310" s="83" t="s">
        <v>19</v>
      </c>
      <c r="G310" s="83" t="s">
        <v>18</v>
      </c>
      <c r="H310" s="83" t="s">
        <v>27</v>
      </c>
      <c r="I310" s="83" t="s">
        <v>24</v>
      </c>
      <c r="J310" s="83" t="s">
        <v>30</v>
      </c>
      <c r="K310" s="89" t="s">
        <v>29</v>
      </c>
    </row>
    <row r="311" spans="2:11" x14ac:dyDescent="0.25">
      <c r="B311" s="88">
        <v>306</v>
      </c>
      <c r="C311" s="83" t="s">
        <v>3508</v>
      </c>
      <c r="D311" s="83" t="s">
        <v>23</v>
      </c>
      <c r="E311" s="83" t="s">
        <v>28</v>
      </c>
      <c r="F311" s="83" t="s">
        <v>19</v>
      </c>
      <c r="G311" s="83" t="s">
        <v>24</v>
      </c>
      <c r="H311" s="83" t="s">
        <v>18</v>
      </c>
      <c r="I311" s="83" t="s">
        <v>25</v>
      </c>
      <c r="J311" s="83" t="s">
        <v>30</v>
      </c>
      <c r="K311" s="89" t="s">
        <v>27</v>
      </c>
    </row>
    <row r="312" spans="2:11" x14ac:dyDescent="0.25">
      <c r="B312" s="88">
        <v>307</v>
      </c>
      <c r="C312" s="83" t="s">
        <v>3509</v>
      </c>
      <c r="D312" s="83" t="s">
        <v>23</v>
      </c>
      <c r="E312" s="83" t="s">
        <v>28</v>
      </c>
      <c r="F312" s="83" t="s">
        <v>19</v>
      </c>
      <c r="G312" s="83" t="s">
        <v>24</v>
      </c>
      <c r="H312" s="83" t="s">
        <v>18</v>
      </c>
      <c r="I312" s="83" t="s">
        <v>25</v>
      </c>
      <c r="J312" s="83" t="s">
        <v>27</v>
      </c>
      <c r="K312" s="89" t="s">
        <v>29</v>
      </c>
    </row>
    <row r="313" spans="2:11" x14ac:dyDescent="0.25">
      <c r="B313" s="88">
        <v>308</v>
      </c>
      <c r="C313" s="83" t="s">
        <v>3510</v>
      </c>
      <c r="D313" s="83" t="s">
        <v>23</v>
      </c>
      <c r="E313" s="83" t="s">
        <v>25</v>
      </c>
      <c r="F313" s="83" t="s">
        <v>19</v>
      </c>
      <c r="G313" s="83" t="s">
        <v>24</v>
      </c>
      <c r="H313" s="83" t="s">
        <v>18</v>
      </c>
      <c r="I313" s="83" t="s">
        <v>26</v>
      </c>
      <c r="J313" s="83" t="s">
        <v>30</v>
      </c>
      <c r="K313" s="89" t="s">
        <v>29</v>
      </c>
    </row>
    <row r="314" spans="2:11" x14ac:dyDescent="0.25">
      <c r="B314" s="88">
        <v>309</v>
      </c>
      <c r="C314" s="83" t="s">
        <v>3511</v>
      </c>
      <c r="D314" s="83" t="s">
        <v>26</v>
      </c>
      <c r="E314" s="83" t="s">
        <v>28</v>
      </c>
      <c r="F314" s="83" t="s">
        <v>19</v>
      </c>
      <c r="G314" s="83" t="s">
        <v>24</v>
      </c>
      <c r="H314" s="83" t="s">
        <v>18</v>
      </c>
      <c r="I314" s="83" t="s">
        <v>25</v>
      </c>
      <c r="J314" s="83" t="s">
        <v>30</v>
      </c>
      <c r="K314" s="89" t="s">
        <v>23</v>
      </c>
    </row>
    <row r="315" spans="2:11" x14ac:dyDescent="0.25">
      <c r="B315" s="88">
        <v>310</v>
      </c>
      <c r="C315" s="83" t="s">
        <v>3512</v>
      </c>
      <c r="D315" s="83" t="s">
        <v>26</v>
      </c>
      <c r="E315" s="83" t="s">
        <v>28</v>
      </c>
      <c r="F315" s="83" t="s">
        <v>19</v>
      </c>
      <c r="G315" s="83" t="s">
        <v>24</v>
      </c>
      <c r="H315" s="83" t="s">
        <v>18</v>
      </c>
      <c r="I315" s="83" t="s">
        <v>25</v>
      </c>
      <c r="J315" s="83" t="s">
        <v>23</v>
      </c>
      <c r="K315" s="89" t="s">
        <v>29</v>
      </c>
    </row>
    <row r="316" spans="2:11" x14ac:dyDescent="0.25">
      <c r="B316" s="88">
        <v>311</v>
      </c>
      <c r="C316" s="83" t="s">
        <v>3513</v>
      </c>
      <c r="D316" s="83" t="s">
        <v>23</v>
      </c>
      <c r="E316" s="83" t="s">
        <v>25</v>
      </c>
      <c r="F316" s="83" t="s">
        <v>19</v>
      </c>
      <c r="G316" s="83" t="s">
        <v>24</v>
      </c>
      <c r="H316" s="83" t="s">
        <v>18</v>
      </c>
      <c r="I316" s="83" t="s">
        <v>26</v>
      </c>
      <c r="J316" s="83" t="s">
        <v>30</v>
      </c>
      <c r="K316" s="89" t="s">
        <v>27</v>
      </c>
    </row>
    <row r="317" spans="2:11" x14ac:dyDescent="0.25">
      <c r="B317" s="88">
        <v>312</v>
      </c>
      <c r="C317" s="83" t="s">
        <v>3514</v>
      </c>
      <c r="D317" s="83" t="s">
        <v>23</v>
      </c>
      <c r="E317" s="83" t="s">
        <v>25</v>
      </c>
      <c r="F317" s="83" t="s">
        <v>19</v>
      </c>
      <c r="G317" s="83" t="s">
        <v>24</v>
      </c>
      <c r="H317" s="83" t="s">
        <v>18</v>
      </c>
      <c r="I317" s="83" t="s">
        <v>26</v>
      </c>
      <c r="J317" s="83" t="s">
        <v>27</v>
      </c>
      <c r="K317" s="89" t="s">
        <v>29</v>
      </c>
    </row>
    <row r="318" spans="2:11" x14ac:dyDescent="0.25">
      <c r="B318" s="88">
        <v>313</v>
      </c>
      <c r="C318" s="83" t="s">
        <v>3515</v>
      </c>
      <c r="D318" s="83" t="s">
        <v>26</v>
      </c>
      <c r="E318" s="83" t="s">
        <v>28</v>
      </c>
      <c r="F318" s="83" t="s">
        <v>19</v>
      </c>
      <c r="G318" s="83" t="s">
        <v>24</v>
      </c>
      <c r="H318" s="83" t="s">
        <v>18</v>
      </c>
      <c r="I318" s="83" t="s">
        <v>25</v>
      </c>
      <c r="J318" s="83" t="s">
        <v>23</v>
      </c>
      <c r="K318" s="89" t="s">
        <v>27</v>
      </c>
    </row>
    <row r="319" spans="2:11" x14ac:dyDescent="0.25">
      <c r="B319" s="88">
        <v>314</v>
      </c>
      <c r="C319" s="83" t="s">
        <v>3516</v>
      </c>
      <c r="D319" s="83" t="s">
        <v>27</v>
      </c>
      <c r="E319" s="83" t="s">
        <v>28</v>
      </c>
      <c r="F319" s="83" t="s">
        <v>19</v>
      </c>
      <c r="G319" s="83" t="s">
        <v>22</v>
      </c>
      <c r="H319" s="83" t="s">
        <v>18</v>
      </c>
      <c r="I319" s="83" t="s">
        <v>26</v>
      </c>
      <c r="J319" s="83" t="s">
        <v>30</v>
      </c>
      <c r="K319" s="89" t="s">
        <v>29</v>
      </c>
    </row>
    <row r="320" spans="2:11" x14ac:dyDescent="0.25">
      <c r="B320" s="88">
        <v>315</v>
      </c>
      <c r="C320" s="83" t="s">
        <v>3517</v>
      </c>
      <c r="D320" s="83" t="s">
        <v>27</v>
      </c>
      <c r="E320" s="83" t="s">
        <v>28</v>
      </c>
      <c r="F320" s="83" t="s">
        <v>19</v>
      </c>
      <c r="G320" s="83" t="s">
        <v>22</v>
      </c>
      <c r="H320" s="83" t="s">
        <v>18</v>
      </c>
      <c r="I320" s="83" t="s">
        <v>25</v>
      </c>
      <c r="J320" s="83" t="s">
        <v>30</v>
      </c>
      <c r="K320" s="89" t="s">
        <v>29</v>
      </c>
    </row>
    <row r="321" spans="2:11" x14ac:dyDescent="0.25">
      <c r="B321" s="88">
        <v>316</v>
      </c>
      <c r="C321" s="83" t="s">
        <v>3518</v>
      </c>
      <c r="D321" s="83" t="s">
        <v>26</v>
      </c>
      <c r="E321" s="83" t="s">
        <v>28</v>
      </c>
      <c r="F321" s="83" t="s">
        <v>19</v>
      </c>
      <c r="G321" s="83" t="s">
        <v>22</v>
      </c>
      <c r="H321" s="83" t="s">
        <v>18</v>
      </c>
      <c r="I321" s="83" t="s">
        <v>25</v>
      </c>
      <c r="J321" s="83" t="s">
        <v>30</v>
      </c>
      <c r="K321" s="89" t="s">
        <v>29</v>
      </c>
    </row>
    <row r="322" spans="2:11" x14ac:dyDescent="0.25">
      <c r="B322" s="88">
        <v>317</v>
      </c>
      <c r="C322" s="83" t="s">
        <v>3519</v>
      </c>
      <c r="D322" s="83" t="s">
        <v>27</v>
      </c>
      <c r="E322" s="83" t="s">
        <v>25</v>
      </c>
      <c r="F322" s="83" t="s">
        <v>19</v>
      </c>
      <c r="G322" s="83" t="s">
        <v>22</v>
      </c>
      <c r="H322" s="83" t="s">
        <v>18</v>
      </c>
      <c r="I322" s="83" t="s">
        <v>26</v>
      </c>
      <c r="J322" s="83" t="s">
        <v>30</v>
      </c>
      <c r="K322" s="89" t="s">
        <v>29</v>
      </c>
    </row>
    <row r="323" spans="2:11" x14ac:dyDescent="0.25">
      <c r="B323" s="88">
        <v>318</v>
      </c>
      <c r="C323" s="83" t="s">
        <v>3520</v>
      </c>
      <c r="D323" s="83" t="s">
        <v>26</v>
      </c>
      <c r="E323" s="83" t="s">
        <v>28</v>
      </c>
      <c r="F323" s="83" t="s">
        <v>19</v>
      </c>
      <c r="G323" s="83" t="s">
        <v>22</v>
      </c>
      <c r="H323" s="83" t="s">
        <v>18</v>
      </c>
      <c r="I323" s="83" t="s">
        <v>25</v>
      </c>
      <c r="J323" s="83" t="s">
        <v>30</v>
      </c>
      <c r="K323" s="89" t="s">
        <v>27</v>
      </c>
    </row>
    <row r="324" spans="2:11" x14ac:dyDescent="0.25">
      <c r="B324" s="88">
        <v>319</v>
      </c>
      <c r="C324" s="83" t="s">
        <v>3521</v>
      </c>
      <c r="D324" s="83" t="s">
        <v>26</v>
      </c>
      <c r="E324" s="83" t="s">
        <v>28</v>
      </c>
      <c r="F324" s="83" t="s">
        <v>19</v>
      </c>
      <c r="G324" s="83" t="s">
        <v>22</v>
      </c>
      <c r="H324" s="83" t="s">
        <v>18</v>
      </c>
      <c r="I324" s="83" t="s">
        <v>25</v>
      </c>
      <c r="J324" s="83" t="s">
        <v>27</v>
      </c>
      <c r="K324" s="89" t="s">
        <v>29</v>
      </c>
    </row>
    <row r="325" spans="2:11" x14ac:dyDescent="0.25">
      <c r="B325" s="88">
        <v>320</v>
      </c>
      <c r="C325" s="83" t="s">
        <v>3522</v>
      </c>
      <c r="D325" s="83" t="s">
        <v>27</v>
      </c>
      <c r="E325" s="83" t="s">
        <v>28</v>
      </c>
      <c r="F325" s="83" t="s">
        <v>19</v>
      </c>
      <c r="G325" s="83" t="s">
        <v>22</v>
      </c>
      <c r="H325" s="83" t="s">
        <v>18</v>
      </c>
      <c r="I325" s="83" t="s">
        <v>24</v>
      </c>
      <c r="J325" s="83" t="s">
        <v>30</v>
      </c>
      <c r="K325" s="89" t="s">
        <v>29</v>
      </c>
    </row>
    <row r="326" spans="2:11" x14ac:dyDescent="0.25">
      <c r="B326" s="88">
        <v>321</v>
      </c>
      <c r="C326" s="83" t="s">
        <v>3523</v>
      </c>
      <c r="D326" s="83" t="s">
        <v>26</v>
      </c>
      <c r="E326" s="83" t="s">
        <v>28</v>
      </c>
      <c r="F326" s="83" t="s">
        <v>19</v>
      </c>
      <c r="G326" s="83" t="s">
        <v>22</v>
      </c>
      <c r="H326" s="83" t="s">
        <v>18</v>
      </c>
      <c r="I326" s="83" t="s">
        <v>24</v>
      </c>
      <c r="J326" s="83" t="s">
        <v>30</v>
      </c>
      <c r="K326" s="89" t="s">
        <v>29</v>
      </c>
    </row>
    <row r="327" spans="2:11" x14ac:dyDescent="0.25">
      <c r="B327" s="88">
        <v>322</v>
      </c>
      <c r="C327" s="83" t="s">
        <v>3524</v>
      </c>
      <c r="D327" s="83" t="s">
        <v>26</v>
      </c>
      <c r="E327" s="83" t="s">
        <v>27</v>
      </c>
      <c r="F327" s="83" t="s">
        <v>19</v>
      </c>
      <c r="G327" s="83" t="s">
        <v>22</v>
      </c>
      <c r="H327" s="83" t="s">
        <v>18</v>
      </c>
      <c r="I327" s="83" t="s">
        <v>24</v>
      </c>
      <c r="J327" s="83" t="s">
        <v>30</v>
      </c>
      <c r="K327" s="89" t="s">
        <v>29</v>
      </c>
    </row>
    <row r="328" spans="2:11" x14ac:dyDescent="0.25">
      <c r="B328" s="88">
        <v>323</v>
      </c>
      <c r="C328" s="83" t="s">
        <v>3525</v>
      </c>
      <c r="D328" s="83" t="s">
        <v>26</v>
      </c>
      <c r="E328" s="83" t="s">
        <v>28</v>
      </c>
      <c r="F328" s="83" t="s">
        <v>19</v>
      </c>
      <c r="G328" s="83" t="s">
        <v>22</v>
      </c>
      <c r="H328" s="83" t="s">
        <v>18</v>
      </c>
      <c r="I328" s="83" t="s">
        <v>24</v>
      </c>
      <c r="J328" s="83" t="s">
        <v>30</v>
      </c>
      <c r="K328" s="89" t="s">
        <v>27</v>
      </c>
    </row>
    <row r="329" spans="2:11" x14ac:dyDescent="0.25">
      <c r="B329" s="88">
        <v>324</v>
      </c>
      <c r="C329" s="83" t="s">
        <v>3526</v>
      </c>
      <c r="D329" s="83" t="s">
        <v>26</v>
      </c>
      <c r="E329" s="83" t="s">
        <v>28</v>
      </c>
      <c r="F329" s="83" t="s">
        <v>19</v>
      </c>
      <c r="G329" s="83" t="s">
        <v>22</v>
      </c>
      <c r="H329" s="83" t="s">
        <v>18</v>
      </c>
      <c r="I329" s="83" t="s">
        <v>24</v>
      </c>
      <c r="J329" s="83" t="s">
        <v>27</v>
      </c>
      <c r="K329" s="89" t="s">
        <v>29</v>
      </c>
    </row>
    <row r="330" spans="2:11" x14ac:dyDescent="0.25">
      <c r="B330" s="88">
        <v>325</v>
      </c>
      <c r="C330" s="83" t="s">
        <v>3527</v>
      </c>
      <c r="D330" s="83" t="s">
        <v>24</v>
      </c>
      <c r="E330" s="83" t="s">
        <v>28</v>
      </c>
      <c r="F330" s="83" t="s">
        <v>19</v>
      </c>
      <c r="G330" s="83" t="s">
        <v>22</v>
      </c>
      <c r="H330" s="83" t="s">
        <v>18</v>
      </c>
      <c r="I330" s="83" t="s">
        <v>25</v>
      </c>
      <c r="J330" s="83" t="s">
        <v>30</v>
      </c>
      <c r="K330" s="89" t="s">
        <v>29</v>
      </c>
    </row>
    <row r="331" spans="2:11" x14ac:dyDescent="0.25">
      <c r="B331" s="88">
        <v>326</v>
      </c>
      <c r="C331" s="83" t="s">
        <v>3528</v>
      </c>
      <c r="D331" s="83" t="s">
        <v>27</v>
      </c>
      <c r="E331" s="83" t="s">
        <v>25</v>
      </c>
      <c r="F331" s="83" t="s">
        <v>19</v>
      </c>
      <c r="G331" s="83" t="s">
        <v>22</v>
      </c>
      <c r="H331" s="83" t="s">
        <v>18</v>
      </c>
      <c r="I331" s="83" t="s">
        <v>24</v>
      </c>
      <c r="J331" s="83" t="s">
        <v>30</v>
      </c>
      <c r="K331" s="89" t="s">
        <v>29</v>
      </c>
    </row>
    <row r="332" spans="2:11" x14ac:dyDescent="0.25">
      <c r="B332" s="88">
        <v>327</v>
      </c>
      <c r="C332" s="83" t="s">
        <v>3529</v>
      </c>
      <c r="D332" s="83" t="s">
        <v>24</v>
      </c>
      <c r="E332" s="83" t="s">
        <v>28</v>
      </c>
      <c r="F332" s="83" t="s">
        <v>19</v>
      </c>
      <c r="G332" s="83" t="s">
        <v>22</v>
      </c>
      <c r="H332" s="83" t="s">
        <v>18</v>
      </c>
      <c r="I332" s="83" t="s">
        <v>25</v>
      </c>
      <c r="J332" s="83" t="s">
        <v>30</v>
      </c>
      <c r="K332" s="89" t="s">
        <v>27</v>
      </c>
    </row>
    <row r="333" spans="2:11" x14ac:dyDescent="0.25">
      <c r="B333" s="88">
        <v>328</v>
      </c>
      <c r="C333" s="83" t="s">
        <v>3530</v>
      </c>
      <c r="D333" s="83" t="s">
        <v>24</v>
      </c>
      <c r="E333" s="83" t="s">
        <v>28</v>
      </c>
      <c r="F333" s="83" t="s">
        <v>19</v>
      </c>
      <c r="G333" s="83" t="s">
        <v>22</v>
      </c>
      <c r="H333" s="83" t="s">
        <v>18</v>
      </c>
      <c r="I333" s="83" t="s">
        <v>25</v>
      </c>
      <c r="J333" s="83" t="s">
        <v>27</v>
      </c>
      <c r="K333" s="89" t="s">
        <v>29</v>
      </c>
    </row>
    <row r="334" spans="2:11" x14ac:dyDescent="0.25">
      <c r="B334" s="88">
        <v>329</v>
      </c>
      <c r="C334" s="83" t="s">
        <v>3531</v>
      </c>
      <c r="D334" s="83" t="s">
        <v>26</v>
      </c>
      <c r="E334" s="83" t="s">
        <v>25</v>
      </c>
      <c r="F334" s="83" t="s">
        <v>19</v>
      </c>
      <c r="G334" s="83" t="s">
        <v>22</v>
      </c>
      <c r="H334" s="83" t="s">
        <v>18</v>
      </c>
      <c r="I334" s="83" t="s">
        <v>24</v>
      </c>
      <c r="J334" s="83" t="s">
        <v>30</v>
      </c>
      <c r="K334" s="89" t="s">
        <v>29</v>
      </c>
    </row>
    <row r="335" spans="2:11" x14ac:dyDescent="0.25">
      <c r="B335" s="88">
        <v>330</v>
      </c>
      <c r="C335" s="83" t="s">
        <v>3532</v>
      </c>
      <c r="D335" s="83" t="s">
        <v>26</v>
      </c>
      <c r="E335" s="83" t="s">
        <v>25</v>
      </c>
      <c r="F335" s="83" t="s">
        <v>19</v>
      </c>
      <c r="G335" s="83" t="s">
        <v>22</v>
      </c>
      <c r="H335" s="83" t="s">
        <v>18</v>
      </c>
      <c r="I335" s="83" t="s">
        <v>24</v>
      </c>
      <c r="J335" s="83" t="s">
        <v>30</v>
      </c>
      <c r="K335" s="89" t="s">
        <v>28</v>
      </c>
    </row>
    <row r="336" spans="2:11" x14ac:dyDescent="0.25">
      <c r="B336" s="88">
        <v>331</v>
      </c>
      <c r="C336" s="83" t="s">
        <v>3533</v>
      </c>
      <c r="D336" s="83" t="s">
        <v>26</v>
      </c>
      <c r="E336" s="83" t="s">
        <v>25</v>
      </c>
      <c r="F336" s="83" t="s">
        <v>19</v>
      </c>
      <c r="G336" s="83" t="s">
        <v>22</v>
      </c>
      <c r="H336" s="83" t="s">
        <v>18</v>
      </c>
      <c r="I336" s="83" t="s">
        <v>24</v>
      </c>
      <c r="J336" s="83" t="s">
        <v>28</v>
      </c>
      <c r="K336" s="89" t="s">
        <v>29</v>
      </c>
    </row>
    <row r="337" spans="2:11" x14ac:dyDescent="0.25">
      <c r="B337" s="88">
        <v>332</v>
      </c>
      <c r="C337" s="83" t="s">
        <v>3534</v>
      </c>
      <c r="D337" s="83" t="s">
        <v>26</v>
      </c>
      <c r="E337" s="83" t="s">
        <v>25</v>
      </c>
      <c r="F337" s="83" t="s">
        <v>19</v>
      </c>
      <c r="G337" s="83" t="s">
        <v>22</v>
      </c>
      <c r="H337" s="83" t="s">
        <v>18</v>
      </c>
      <c r="I337" s="83" t="s">
        <v>24</v>
      </c>
      <c r="J337" s="83" t="s">
        <v>30</v>
      </c>
      <c r="K337" s="89" t="s">
        <v>27</v>
      </c>
    </row>
    <row r="338" spans="2:11" x14ac:dyDescent="0.25">
      <c r="B338" s="88">
        <v>333</v>
      </c>
      <c r="C338" s="83" t="s">
        <v>3535</v>
      </c>
      <c r="D338" s="83" t="s">
        <v>26</v>
      </c>
      <c r="E338" s="83" t="s">
        <v>25</v>
      </c>
      <c r="F338" s="83" t="s">
        <v>19</v>
      </c>
      <c r="G338" s="83" t="s">
        <v>22</v>
      </c>
      <c r="H338" s="83" t="s">
        <v>18</v>
      </c>
      <c r="I338" s="83" t="s">
        <v>24</v>
      </c>
      <c r="J338" s="83" t="s">
        <v>27</v>
      </c>
      <c r="K338" s="89" t="s">
        <v>29</v>
      </c>
    </row>
    <row r="339" spans="2:11" x14ac:dyDescent="0.25">
      <c r="B339" s="88">
        <v>334</v>
      </c>
      <c r="C339" s="83" t="s">
        <v>3536</v>
      </c>
      <c r="D339" s="83" t="s">
        <v>26</v>
      </c>
      <c r="E339" s="83" t="s">
        <v>25</v>
      </c>
      <c r="F339" s="83" t="s">
        <v>19</v>
      </c>
      <c r="G339" s="83" t="s">
        <v>22</v>
      </c>
      <c r="H339" s="83" t="s">
        <v>18</v>
      </c>
      <c r="I339" s="83" t="s">
        <v>24</v>
      </c>
      <c r="J339" s="83" t="s">
        <v>27</v>
      </c>
      <c r="K339" s="89" t="s">
        <v>28</v>
      </c>
    </row>
    <row r="340" spans="2:11" x14ac:dyDescent="0.25">
      <c r="B340" s="88">
        <v>335</v>
      </c>
      <c r="C340" s="83" t="s">
        <v>3537</v>
      </c>
      <c r="D340" s="83" t="s">
        <v>23</v>
      </c>
      <c r="E340" s="83" t="s">
        <v>28</v>
      </c>
      <c r="F340" s="83" t="s">
        <v>19</v>
      </c>
      <c r="G340" s="83" t="s">
        <v>18</v>
      </c>
      <c r="H340" s="83" t="s">
        <v>27</v>
      </c>
      <c r="I340" s="83" t="s">
        <v>22</v>
      </c>
      <c r="J340" s="83" t="s">
        <v>30</v>
      </c>
      <c r="K340" s="89" t="s">
        <v>29</v>
      </c>
    </row>
    <row r="341" spans="2:11" x14ac:dyDescent="0.25">
      <c r="B341" s="88">
        <v>336</v>
      </c>
      <c r="C341" s="83" t="s">
        <v>3538</v>
      </c>
      <c r="D341" s="83" t="s">
        <v>23</v>
      </c>
      <c r="E341" s="83" t="s">
        <v>28</v>
      </c>
      <c r="F341" s="83" t="s">
        <v>19</v>
      </c>
      <c r="G341" s="83" t="s">
        <v>22</v>
      </c>
      <c r="H341" s="83" t="s">
        <v>18</v>
      </c>
      <c r="I341" s="83" t="s">
        <v>26</v>
      </c>
      <c r="J341" s="83" t="s">
        <v>30</v>
      </c>
      <c r="K341" s="89" t="s">
        <v>29</v>
      </c>
    </row>
    <row r="342" spans="2:11" x14ac:dyDescent="0.25">
      <c r="B342" s="88">
        <v>337</v>
      </c>
      <c r="C342" s="83" t="s">
        <v>3539</v>
      </c>
      <c r="D342" s="83" t="s">
        <v>23</v>
      </c>
      <c r="E342" s="83" t="s">
        <v>27</v>
      </c>
      <c r="F342" s="83" t="s">
        <v>19</v>
      </c>
      <c r="G342" s="83" t="s">
        <v>22</v>
      </c>
      <c r="H342" s="83" t="s">
        <v>18</v>
      </c>
      <c r="I342" s="83" t="s">
        <v>26</v>
      </c>
      <c r="J342" s="83" t="s">
        <v>30</v>
      </c>
      <c r="K342" s="89" t="s">
        <v>29</v>
      </c>
    </row>
    <row r="343" spans="2:11" x14ac:dyDescent="0.25">
      <c r="B343" s="88">
        <v>338</v>
      </c>
      <c r="C343" s="83" t="s">
        <v>3540</v>
      </c>
      <c r="D343" s="83" t="s">
        <v>23</v>
      </c>
      <c r="E343" s="83" t="s">
        <v>28</v>
      </c>
      <c r="F343" s="83" t="s">
        <v>19</v>
      </c>
      <c r="G343" s="83" t="s">
        <v>22</v>
      </c>
      <c r="H343" s="83" t="s">
        <v>18</v>
      </c>
      <c r="I343" s="83" t="s">
        <v>26</v>
      </c>
      <c r="J343" s="83" t="s">
        <v>30</v>
      </c>
      <c r="K343" s="89" t="s">
        <v>27</v>
      </c>
    </row>
    <row r="344" spans="2:11" x14ac:dyDescent="0.25">
      <c r="B344" s="88">
        <v>339</v>
      </c>
      <c r="C344" s="83" t="s">
        <v>3541</v>
      </c>
      <c r="D344" s="83" t="s">
        <v>23</v>
      </c>
      <c r="E344" s="83" t="s">
        <v>28</v>
      </c>
      <c r="F344" s="83" t="s">
        <v>19</v>
      </c>
      <c r="G344" s="83" t="s">
        <v>22</v>
      </c>
      <c r="H344" s="83" t="s">
        <v>18</v>
      </c>
      <c r="I344" s="83" t="s">
        <v>26</v>
      </c>
      <c r="J344" s="83" t="s">
        <v>27</v>
      </c>
      <c r="K344" s="89" t="s">
        <v>29</v>
      </c>
    </row>
    <row r="345" spans="2:11" x14ac:dyDescent="0.25">
      <c r="B345" s="88">
        <v>340</v>
      </c>
      <c r="C345" s="83" t="s">
        <v>3542</v>
      </c>
      <c r="D345" s="83" t="s">
        <v>23</v>
      </c>
      <c r="E345" s="83" t="s">
        <v>28</v>
      </c>
      <c r="F345" s="83" t="s">
        <v>19</v>
      </c>
      <c r="G345" s="83" t="s">
        <v>22</v>
      </c>
      <c r="H345" s="83" t="s">
        <v>18</v>
      </c>
      <c r="I345" s="83" t="s">
        <v>25</v>
      </c>
      <c r="J345" s="83" t="s">
        <v>30</v>
      </c>
      <c r="K345" s="89" t="s">
        <v>29</v>
      </c>
    </row>
    <row r="346" spans="2:11" x14ac:dyDescent="0.25">
      <c r="B346" s="88">
        <v>341</v>
      </c>
      <c r="C346" s="83" t="s">
        <v>3543</v>
      </c>
      <c r="D346" s="83" t="s">
        <v>23</v>
      </c>
      <c r="E346" s="83" t="s">
        <v>25</v>
      </c>
      <c r="F346" s="83" t="s">
        <v>19</v>
      </c>
      <c r="G346" s="83" t="s">
        <v>18</v>
      </c>
      <c r="H346" s="83" t="s">
        <v>27</v>
      </c>
      <c r="I346" s="83" t="s">
        <v>22</v>
      </c>
      <c r="J346" s="83" t="s">
        <v>30</v>
      </c>
      <c r="K346" s="89" t="s">
        <v>29</v>
      </c>
    </row>
    <row r="347" spans="2:11" x14ac:dyDescent="0.25">
      <c r="B347" s="88">
        <v>342</v>
      </c>
      <c r="C347" s="83" t="s">
        <v>3544</v>
      </c>
      <c r="D347" s="83" t="s">
        <v>23</v>
      </c>
      <c r="E347" s="83" t="s">
        <v>28</v>
      </c>
      <c r="F347" s="83" t="s">
        <v>19</v>
      </c>
      <c r="G347" s="83" t="s">
        <v>22</v>
      </c>
      <c r="H347" s="83" t="s">
        <v>18</v>
      </c>
      <c r="I347" s="83" t="s">
        <v>25</v>
      </c>
      <c r="J347" s="83" t="s">
        <v>30</v>
      </c>
      <c r="K347" s="89" t="s">
        <v>27</v>
      </c>
    </row>
    <row r="348" spans="2:11" x14ac:dyDescent="0.25">
      <c r="B348" s="88">
        <v>343</v>
      </c>
      <c r="C348" s="83" t="s">
        <v>3545</v>
      </c>
      <c r="D348" s="83" t="s">
        <v>23</v>
      </c>
      <c r="E348" s="83" t="s">
        <v>28</v>
      </c>
      <c r="F348" s="83" t="s">
        <v>19</v>
      </c>
      <c r="G348" s="83" t="s">
        <v>22</v>
      </c>
      <c r="H348" s="83" t="s">
        <v>18</v>
      </c>
      <c r="I348" s="83" t="s">
        <v>25</v>
      </c>
      <c r="J348" s="83" t="s">
        <v>27</v>
      </c>
      <c r="K348" s="89" t="s">
        <v>29</v>
      </c>
    </row>
    <row r="349" spans="2:11" x14ac:dyDescent="0.25">
      <c r="B349" s="88">
        <v>344</v>
      </c>
      <c r="C349" s="83" t="s">
        <v>3546</v>
      </c>
      <c r="D349" s="83" t="s">
        <v>23</v>
      </c>
      <c r="E349" s="83" t="s">
        <v>25</v>
      </c>
      <c r="F349" s="83" t="s">
        <v>19</v>
      </c>
      <c r="G349" s="83" t="s">
        <v>22</v>
      </c>
      <c r="H349" s="83" t="s">
        <v>18</v>
      </c>
      <c r="I349" s="83" t="s">
        <v>26</v>
      </c>
      <c r="J349" s="83" t="s">
        <v>30</v>
      </c>
      <c r="K349" s="89" t="s">
        <v>29</v>
      </c>
    </row>
    <row r="350" spans="2:11" x14ac:dyDescent="0.25">
      <c r="B350" s="88">
        <v>345</v>
      </c>
      <c r="C350" s="83" t="s">
        <v>3547</v>
      </c>
      <c r="D350" s="83" t="s">
        <v>26</v>
      </c>
      <c r="E350" s="83" t="s">
        <v>28</v>
      </c>
      <c r="F350" s="83" t="s">
        <v>19</v>
      </c>
      <c r="G350" s="83" t="s">
        <v>22</v>
      </c>
      <c r="H350" s="83" t="s">
        <v>18</v>
      </c>
      <c r="I350" s="83" t="s">
        <v>25</v>
      </c>
      <c r="J350" s="83" t="s">
        <v>30</v>
      </c>
      <c r="K350" s="89" t="s">
        <v>23</v>
      </c>
    </row>
    <row r="351" spans="2:11" x14ac:dyDescent="0.25">
      <c r="B351" s="88">
        <v>346</v>
      </c>
      <c r="C351" s="83" t="s">
        <v>3548</v>
      </c>
      <c r="D351" s="83" t="s">
        <v>26</v>
      </c>
      <c r="E351" s="83" t="s">
        <v>28</v>
      </c>
      <c r="F351" s="83" t="s">
        <v>19</v>
      </c>
      <c r="G351" s="83" t="s">
        <v>22</v>
      </c>
      <c r="H351" s="83" t="s">
        <v>18</v>
      </c>
      <c r="I351" s="83" t="s">
        <v>25</v>
      </c>
      <c r="J351" s="83" t="s">
        <v>23</v>
      </c>
      <c r="K351" s="89" t="s">
        <v>29</v>
      </c>
    </row>
    <row r="352" spans="2:11" x14ac:dyDescent="0.25">
      <c r="B352" s="88">
        <v>347</v>
      </c>
      <c r="C352" s="83" t="s">
        <v>3549</v>
      </c>
      <c r="D352" s="83" t="s">
        <v>23</v>
      </c>
      <c r="E352" s="83" t="s">
        <v>25</v>
      </c>
      <c r="F352" s="83" t="s">
        <v>19</v>
      </c>
      <c r="G352" s="83" t="s">
        <v>22</v>
      </c>
      <c r="H352" s="83" t="s">
        <v>18</v>
      </c>
      <c r="I352" s="83" t="s">
        <v>26</v>
      </c>
      <c r="J352" s="83" t="s">
        <v>30</v>
      </c>
      <c r="K352" s="89" t="s">
        <v>27</v>
      </c>
    </row>
    <row r="353" spans="2:11" x14ac:dyDescent="0.25">
      <c r="B353" s="88">
        <v>348</v>
      </c>
      <c r="C353" s="83" t="s">
        <v>3550</v>
      </c>
      <c r="D353" s="83" t="s">
        <v>23</v>
      </c>
      <c r="E353" s="83" t="s">
        <v>25</v>
      </c>
      <c r="F353" s="83" t="s">
        <v>19</v>
      </c>
      <c r="G353" s="83" t="s">
        <v>22</v>
      </c>
      <c r="H353" s="83" t="s">
        <v>18</v>
      </c>
      <c r="I353" s="83" t="s">
        <v>26</v>
      </c>
      <c r="J353" s="83" t="s">
        <v>27</v>
      </c>
      <c r="K353" s="89" t="s">
        <v>29</v>
      </c>
    </row>
    <row r="354" spans="2:11" x14ac:dyDescent="0.25">
      <c r="B354" s="88">
        <v>349</v>
      </c>
      <c r="C354" s="83" t="s">
        <v>3551</v>
      </c>
      <c r="D354" s="83" t="s">
        <v>26</v>
      </c>
      <c r="E354" s="83" t="s">
        <v>28</v>
      </c>
      <c r="F354" s="83" t="s">
        <v>19</v>
      </c>
      <c r="G354" s="83" t="s">
        <v>22</v>
      </c>
      <c r="H354" s="83" t="s">
        <v>18</v>
      </c>
      <c r="I354" s="83" t="s">
        <v>25</v>
      </c>
      <c r="J354" s="83" t="s">
        <v>23</v>
      </c>
      <c r="K354" s="89" t="s">
        <v>27</v>
      </c>
    </row>
    <row r="355" spans="2:11" x14ac:dyDescent="0.25">
      <c r="B355" s="88">
        <v>350</v>
      </c>
      <c r="C355" s="83" t="s">
        <v>3552</v>
      </c>
      <c r="D355" s="83" t="s">
        <v>23</v>
      </c>
      <c r="E355" s="83" t="s">
        <v>28</v>
      </c>
      <c r="F355" s="83" t="s">
        <v>19</v>
      </c>
      <c r="G355" s="83" t="s">
        <v>22</v>
      </c>
      <c r="H355" s="83" t="s">
        <v>18</v>
      </c>
      <c r="I355" s="83" t="s">
        <v>24</v>
      </c>
      <c r="J355" s="83" t="s">
        <v>30</v>
      </c>
      <c r="K355" s="89" t="s">
        <v>29</v>
      </c>
    </row>
    <row r="356" spans="2:11" x14ac:dyDescent="0.25">
      <c r="B356" s="88">
        <v>351</v>
      </c>
      <c r="C356" s="83" t="s">
        <v>3553</v>
      </c>
      <c r="D356" s="83" t="s">
        <v>23</v>
      </c>
      <c r="E356" s="83" t="s">
        <v>27</v>
      </c>
      <c r="F356" s="83" t="s">
        <v>19</v>
      </c>
      <c r="G356" s="83" t="s">
        <v>22</v>
      </c>
      <c r="H356" s="83" t="s">
        <v>18</v>
      </c>
      <c r="I356" s="83" t="s">
        <v>24</v>
      </c>
      <c r="J356" s="83" t="s">
        <v>30</v>
      </c>
      <c r="K356" s="89" t="s">
        <v>29</v>
      </c>
    </row>
    <row r="357" spans="2:11" x14ac:dyDescent="0.25">
      <c r="B357" s="88">
        <v>352</v>
      </c>
      <c r="C357" s="83" t="s">
        <v>3554</v>
      </c>
      <c r="D357" s="83" t="s">
        <v>23</v>
      </c>
      <c r="E357" s="83" t="s">
        <v>28</v>
      </c>
      <c r="F357" s="83" t="s">
        <v>19</v>
      </c>
      <c r="G357" s="83" t="s">
        <v>22</v>
      </c>
      <c r="H357" s="83" t="s">
        <v>18</v>
      </c>
      <c r="I357" s="83" t="s">
        <v>24</v>
      </c>
      <c r="J357" s="83" t="s">
        <v>30</v>
      </c>
      <c r="K357" s="89" t="s">
        <v>27</v>
      </c>
    </row>
    <row r="358" spans="2:11" x14ac:dyDescent="0.25">
      <c r="B358" s="88">
        <v>353</v>
      </c>
      <c r="C358" s="83" t="s">
        <v>3555</v>
      </c>
      <c r="D358" s="83" t="s">
        <v>23</v>
      </c>
      <c r="E358" s="83" t="s">
        <v>28</v>
      </c>
      <c r="F358" s="83" t="s">
        <v>19</v>
      </c>
      <c r="G358" s="83" t="s">
        <v>22</v>
      </c>
      <c r="H358" s="83" t="s">
        <v>18</v>
      </c>
      <c r="I358" s="83" t="s">
        <v>24</v>
      </c>
      <c r="J358" s="83" t="s">
        <v>27</v>
      </c>
      <c r="K358" s="89" t="s">
        <v>29</v>
      </c>
    </row>
    <row r="359" spans="2:11" x14ac:dyDescent="0.25">
      <c r="B359" s="88">
        <v>354</v>
      </c>
      <c r="C359" s="83" t="s">
        <v>3556</v>
      </c>
      <c r="D359" s="83" t="s">
        <v>26</v>
      </c>
      <c r="E359" s="83" t="s">
        <v>23</v>
      </c>
      <c r="F359" s="83" t="s">
        <v>19</v>
      </c>
      <c r="G359" s="83" t="s">
        <v>22</v>
      </c>
      <c r="H359" s="83" t="s">
        <v>18</v>
      </c>
      <c r="I359" s="83" t="s">
        <v>24</v>
      </c>
      <c r="J359" s="83" t="s">
        <v>30</v>
      </c>
      <c r="K359" s="89" t="s">
        <v>29</v>
      </c>
    </row>
    <row r="360" spans="2:11" x14ac:dyDescent="0.25">
      <c r="B360" s="88">
        <v>355</v>
      </c>
      <c r="C360" s="83" t="s">
        <v>3557</v>
      </c>
      <c r="D360" s="83" t="s">
        <v>26</v>
      </c>
      <c r="E360" s="83" t="s">
        <v>28</v>
      </c>
      <c r="F360" s="83" t="s">
        <v>19</v>
      </c>
      <c r="G360" s="83" t="s">
        <v>22</v>
      </c>
      <c r="H360" s="83" t="s">
        <v>18</v>
      </c>
      <c r="I360" s="83" t="s">
        <v>24</v>
      </c>
      <c r="J360" s="83" t="s">
        <v>30</v>
      </c>
      <c r="K360" s="89" t="s">
        <v>23</v>
      </c>
    </row>
    <row r="361" spans="2:11" x14ac:dyDescent="0.25">
      <c r="B361" s="88">
        <v>356</v>
      </c>
      <c r="C361" s="83" t="s">
        <v>3558</v>
      </c>
      <c r="D361" s="83" t="s">
        <v>26</v>
      </c>
      <c r="E361" s="83" t="s">
        <v>28</v>
      </c>
      <c r="F361" s="83" t="s">
        <v>19</v>
      </c>
      <c r="G361" s="83" t="s">
        <v>22</v>
      </c>
      <c r="H361" s="83" t="s">
        <v>18</v>
      </c>
      <c r="I361" s="83" t="s">
        <v>24</v>
      </c>
      <c r="J361" s="83" t="s">
        <v>23</v>
      </c>
      <c r="K361" s="89" t="s">
        <v>29</v>
      </c>
    </row>
    <row r="362" spans="2:11" x14ac:dyDescent="0.25">
      <c r="B362" s="88">
        <v>357</v>
      </c>
      <c r="C362" s="83" t="s">
        <v>3559</v>
      </c>
      <c r="D362" s="83" t="s">
        <v>26</v>
      </c>
      <c r="E362" s="83" t="s">
        <v>23</v>
      </c>
      <c r="F362" s="83" t="s">
        <v>19</v>
      </c>
      <c r="G362" s="83" t="s">
        <v>22</v>
      </c>
      <c r="H362" s="83" t="s">
        <v>18</v>
      </c>
      <c r="I362" s="83" t="s">
        <v>24</v>
      </c>
      <c r="J362" s="83" t="s">
        <v>30</v>
      </c>
      <c r="K362" s="89" t="s">
        <v>27</v>
      </c>
    </row>
    <row r="363" spans="2:11" x14ac:dyDescent="0.25">
      <c r="B363" s="88">
        <v>358</v>
      </c>
      <c r="C363" s="83" t="s">
        <v>3560</v>
      </c>
      <c r="D363" s="83" t="s">
        <v>26</v>
      </c>
      <c r="E363" s="83" t="s">
        <v>23</v>
      </c>
      <c r="F363" s="83" t="s">
        <v>19</v>
      </c>
      <c r="G363" s="83" t="s">
        <v>22</v>
      </c>
      <c r="H363" s="83" t="s">
        <v>18</v>
      </c>
      <c r="I363" s="83" t="s">
        <v>24</v>
      </c>
      <c r="J363" s="83" t="s">
        <v>27</v>
      </c>
      <c r="K363" s="89" t="s">
        <v>29</v>
      </c>
    </row>
    <row r="364" spans="2:11" x14ac:dyDescent="0.25">
      <c r="B364" s="88">
        <v>359</v>
      </c>
      <c r="C364" s="83" t="s">
        <v>3561</v>
      </c>
      <c r="D364" s="83" t="s">
        <v>26</v>
      </c>
      <c r="E364" s="83" t="s">
        <v>28</v>
      </c>
      <c r="F364" s="83" t="s">
        <v>19</v>
      </c>
      <c r="G364" s="83" t="s">
        <v>22</v>
      </c>
      <c r="H364" s="83" t="s">
        <v>18</v>
      </c>
      <c r="I364" s="83" t="s">
        <v>24</v>
      </c>
      <c r="J364" s="83" t="s">
        <v>23</v>
      </c>
      <c r="K364" s="89" t="s">
        <v>27</v>
      </c>
    </row>
    <row r="365" spans="2:11" x14ac:dyDescent="0.25">
      <c r="B365" s="88">
        <v>360</v>
      </c>
      <c r="C365" s="83" t="s">
        <v>3562</v>
      </c>
      <c r="D365" s="83" t="s">
        <v>23</v>
      </c>
      <c r="E365" s="83" t="s">
        <v>25</v>
      </c>
      <c r="F365" s="83" t="s">
        <v>19</v>
      </c>
      <c r="G365" s="83" t="s">
        <v>22</v>
      </c>
      <c r="H365" s="83" t="s">
        <v>18</v>
      </c>
      <c r="I365" s="83" t="s">
        <v>24</v>
      </c>
      <c r="J365" s="83" t="s">
        <v>30</v>
      </c>
      <c r="K365" s="89" t="s">
        <v>29</v>
      </c>
    </row>
    <row r="366" spans="2:11" x14ac:dyDescent="0.25">
      <c r="B366" s="88">
        <v>361</v>
      </c>
      <c r="C366" s="83" t="s">
        <v>3563</v>
      </c>
      <c r="D366" s="83" t="s">
        <v>23</v>
      </c>
      <c r="E366" s="83" t="s">
        <v>25</v>
      </c>
      <c r="F366" s="83" t="s">
        <v>19</v>
      </c>
      <c r="G366" s="83" t="s">
        <v>22</v>
      </c>
      <c r="H366" s="83" t="s">
        <v>18</v>
      </c>
      <c r="I366" s="83" t="s">
        <v>24</v>
      </c>
      <c r="J366" s="83" t="s">
        <v>30</v>
      </c>
      <c r="K366" s="89" t="s">
        <v>28</v>
      </c>
    </row>
    <row r="367" spans="2:11" x14ac:dyDescent="0.25">
      <c r="B367" s="88">
        <v>362</v>
      </c>
      <c r="C367" s="83" t="s">
        <v>3564</v>
      </c>
      <c r="D367" s="83" t="s">
        <v>23</v>
      </c>
      <c r="E367" s="83" t="s">
        <v>25</v>
      </c>
      <c r="F367" s="83" t="s">
        <v>19</v>
      </c>
      <c r="G367" s="83" t="s">
        <v>22</v>
      </c>
      <c r="H367" s="83" t="s">
        <v>18</v>
      </c>
      <c r="I367" s="83" t="s">
        <v>24</v>
      </c>
      <c r="J367" s="83" t="s">
        <v>28</v>
      </c>
      <c r="K367" s="89" t="s">
        <v>29</v>
      </c>
    </row>
    <row r="368" spans="2:11" x14ac:dyDescent="0.25">
      <c r="B368" s="88">
        <v>363</v>
      </c>
      <c r="C368" s="83" t="s">
        <v>3565</v>
      </c>
      <c r="D368" s="83" t="s">
        <v>23</v>
      </c>
      <c r="E368" s="83" t="s">
        <v>25</v>
      </c>
      <c r="F368" s="83" t="s">
        <v>19</v>
      </c>
      <c r="G368" s="83" t="s">
        <v>22</v>
      </c>
      <c r="H368" s="83" t="s">
        <v>18</v>
      </c>
      <c r="I368" s="83" t="s">
        <v>24</v>
      </c>
      <c r="J368" s="83" t="s">
        <v>30</v>
      </c>
      <c r="K368" s="89" t="s">
        <v>27</v>
      </c>
    </row>
    <row r="369" spans="2:11" x14ac:dyDescent="0.25">
      <c r="B369" s="88">
        <v>364</v>
      </c>
      <c r="C369" s="83" t="s">
        <v>3566</v>
      </c>
      <c r="D369" s="83" t="s">
        <v>23</v>
      </c>
      <c r="E369" s="83" t="s">
        <v>25</v>
      </c>
      <c r="F369" s="83" t="s">
        <v>19</v>
      </c>
      <c r="G369" s="83" t="s">
        <v>22</v>
      </c>
      <c r="H369" s="83" t="s">
        <v>18</v>
      </c>
      <c r="I369" s="83" t="s">
        <v>24</v>
      </c>
      <c r="J369" s="83" t="s">
        <v>27</v>
      </c>
      <c r="K369" s="89" t="s">
        <v>29</v>
      </c>
    </row>
    <row r="370" spans="2:11" x14ac:dyDescent="0.25">
      <c r="B370" s="88">
        <v>365</v>
      </c>
      <c r="C370" s="83" t="s">
        <v>3567</v>
      </c>
      <c r="D370" s="83" t="s">
        <v>23</v>
      </c>
      <c r="E370" s="83" t="s">
        <v>25</v>
      </c>
      <c r="F370" s="83" t="s">
        <v>19</v>
      </c>
      <c r="G370" s="83" t="s">
        <v>22</v>
      </c>
      <c r="H370" s="83" t="s">
        <v>18</v>
      </c>
      <c r="I370" s="83" t="s">
        <v>24</v>
      </c>
      <c r="J370" s="83" t="s">
        <v>27</v>
      </c>
      <c r="K370" s="89" t="s">
        <v>28</v>
      </c>
    </row>
    <row r="371" spans="2:11" x14ac:dyDescent="0.25">
      <c r="B371" s="88">
        <v>366</v>
      </c>
      <c r="C371" s="83" t="s">
        <v>3568</v>
      </c>
      <c r="D371" s="83" t="s">
        <v>26</v>
      </c>
      <c r="E371" s="83" t="s">
        <v>25</v>
      </c>
      <c r="F371" s="83" t="s">
        <v>19</v>
      </c>
      <c r="G371" s="83" t="s">
        <v>22</v>
      </c>
      <c r="H371" s="83" t="s">
        <v>18</v>
      </c>
      <c r="I371" s="83" t="s">
        <v>24</v>
      </c>
      <c r="J371" s="83" t="s">
        <v>30</v>
      </c>
      <c r="K371" s="89" t="s">
        <v>23</v>
      </c>
    </row>
    <row r="372" spans="2:11" x14ac:dyDescent="0.25">
      <c r="B372" s="88">
        <v>367</v>
      </c>
      <c r="C372" s="83" t="s">
        <v>3569</v>
      </c>
      <c r="D372" s="83" t="s">
        <v>26</v>
      </c>
      <c r="E372" s="83" t="s">
        <v>25</v>
      </c>
      <c r="F372" s="83" t="s">
        <v>19</v>
      </c>
      <c r="G372" s="83" t="s">
        <v>22</v>
      </c>
      <c r="H372" s="83" t="s">
        <v>18</v>
      </c>
      <c r="I372" s="83" t="s">
        <v>24</v>
      </c>
      <c r="J372" s="83" t="s">
        <v>23</v>
      </c>
      <c r="K372" s="89" t="s">
        <v>29</v>
      </c>
    </row>
    <row r="373" spans="2:11" x14ac:dyDescent="0.25">
      <c r="B373" s="88">
        <v>368</v>
      </c>
      <c r="C373" s="83" t="s">
        <v>3570</v>
      </c>
      <c r="D373" s="83" t="s">
        <v>26</v>
      </c>
      <c r="E373" s="83" t="s">
        <v>25</v>
      </c>
      <c r="F373" s="83" t="s">
        <v>19</v>
      </c>
      <c r="G373" s="83" t="s">
        <v>22</v>
      </c>
      <c r="H373" s="83" t="s">
        <v>18</v>
      </c>
      <c r="I373" s="83" t="s">
        <v>24</v>
      </c>
      <c r="J373" s="83" t="s">
        <v>23</v>
      </c>
      <c r="K373" s="89" t="s">
        <v>28</v>
      </c>
    </row>
    <row r="374" spans="2:11" x14ac:dyDescent="0.25">
      <c r="B374" s="88">
        <v>369</v>
      </c>
      <c r="C374" s="83" t="s">
        <v>3571</v>
      </c>
      <c r="D374" s="83" t="s">
        <v>26</v>
      </c>
      <c r="E374" s="83" t="s">
        <v>25</v>
      </c>
      <c r="F374" s="83" t="s">
        <v>19</v>
      </c>
      <c r="G374" s="83" t="s">
        <v>22</v>
      </c>
      <c r="H374" s="83" t="s">
        <v>18</v>
      </c>
      <c r="I374" s="83" t="s">
        <v>24</v>
      </c>
      <c r="J374" s="83" t="s">
        <v>23</v>
      </c>
      <c r="K374" s="89" t="s">
        <v>27</v>
      </c>
    </row>
    <row r="375" spans="2:11" x14ac:dyDescent="0.25">
      <c r="B375" s="88">
        <v>370</v>
      </c>
      <c r="C375" s="83" t="s">
        <v>3572</v>
      </c>
      <c r="D375" s="83" t="s">
        <v>27</v>
      </c>
      <c r="E375" s="83" t="s">
        <v>28</v>
      </c>
      <c r="F375" s="83" t="s">
        <v>19</v>
      </c>
      <c r="G375" s="83" t="s">
        <v>20</v>
      </c>
      <c r="H375" s="83" t="s">
        <v>18</v>
      </c>
      <c r="I375" s="83" t="s">
        <v>26</v>
      </c>
      <c r="J375" s="83" t="s">
        <v>30</v>
      </c>
      <c r="K375" s="89" t="s">
        <v>29</v>
      </c>
    </row>
    <row r="376" spans="2:11" x14ac:dyDescent="0.25">
      <c r="B376" s="88">
        <v>371</v>
      </c>
      <c r="C376" s="83" t="s">
        <v>3573</v>
      </c>
      <c r="D376" s="83" t="s">
        <v>27</v>
      </c>
      <c r="E376" s="83" t="s">
        <v>28</v>
      </c>
      <c r="F376" s="83" t="s">
        <v>19</v>
      </c>
      <c r="G376" s="83" t="s">
        <v>20</v>
      </c>
      <c r="H376" s="83" t="s">
        <v>18</v>
      </c>
      <c r="I376" s="83" t="s">
        <v>25</v>
      </c>
      <c r="J376" s="83" t="s">
        <v>30</v>
      </c>
      <c r="K376" s="89" t="s">
        <v>29</v>
      </c>
    </row>
    <row r="377" spans="2:11" x14ac:dyDescent="0.25">
      <c r="B377" s="88">
        <v>372</v>
      </c>
      <c r="C377" s="83" t="s">
        <v>3574</v>
      </c>
      <c r="D377" s="83" t="s">
        <v>26</v>
      </c>
      <c r="E377" s="83" t="s">
        <v>28</v>
      </c>
      <c r="F377" s="83" t="s">
        <v>19</v>
      </c>
      <c r="G377" s="83" t="s">
        <v>20</v>
      </c>
      <c r="H377" s="83" t="s">
        <v>18</v>
      </c>
      <c r="I377" s="83" t="s">
        <v>25</v>
      </c>
      <c r="J377" s="83" t="s">
        <v>30</v>
      </c>
      <c r="K377" s="89" t="s">
        <v>29</v>
      </c>
    </row>
    <row r="378" spans="2:11" x14ac:dyDescent="0.25">
      <c r="B378" s="88">
        <v>373</v>
      </c>
      <c r="C378" s="83" t="s">
        <v>3575</v>
      </c>
      <c r="D378" s="83" t="s">
        <v>27</v>
      </c>
      <c r="E378" s="83" t="s">
        <v>25</v>
      </c>
      <c r="F378" s="83" t="s">
        <v>19</v>
      </c>
      <c r="G378" s="83" t="s">
        <v>20</v>
      </c>
      <c r="H378" s="83" t="s">
        <v>18</v>
      </c>
      <c r="I378" s="83" t="s">
        <v>26</v>
      </c>
      <c r="J378" s="83" t="s">
        <v>30</v>
      </c>
      <c r="K378" s="89" t="s">
        <v>29</v>
      </c>
    </row>
    <row r="379" spans="2:11" x14ac:dyDescent="0.25">
      <c r="B379" s="88">
        <v>374</v>
      </c>
      <c r="C379" s="83" t="s">
        <v>3576</v>
      </c>
      <c r="D379" s="83" t="s">
        <v>26</v>
      </c>
      <c r="E379" s="83" t="s">
        <v>28</v>
      </c>
      <c r="F379" s="83" t="s">
        <v>19</v>
      </c>
      <c r="G379" s="83" t="s">
        <v>20</v>
      </c>
      <c r="H379" s="83" t="s">
        <v>18</v>
      </c>
      <c r="I379" s="83" t="s">
        <v>25</v>
      </c>
      <c r="J379" s="83" t="s">
        <v>30</v>
      </c>
      <c r="K379" s="89" t="s">
        <v>27</v>
      </c>
    </row>
    <row r="380" spans="2:11" x14ac:dyDescent="0.25">
      <c r="B380" s="88">
        <v>375</v>
      </c>
      <c r="C380" s="83" t="s">
        <v>3577</v>
      </c>
      <c r="D380" s="83" t="s">
        <v>26</v>
      </c>
      <c r="E380" s="83" t="s">
        <v>28</v>
      </c>
      <c r="F380" s="83" t="s">
        <v>19</v>
      </c>
      <c r="G380" s="83" t="s">
        <v>20</v>
      </c>
      <c r="H380" s="83" t="s">
        <v>18</v>
      </c>
      <c r="I380" s="83" t="s">
        <v>25</v>
      </c>
      <c r="J380" s="83" t="s">
        <v>27</v>
      </c>
      <c r="K380" s="89" t="s">
        <v>29</v>
      </c>
    </row>
    <row r="381" spans="2:11" x14ac:dyDescent="0.25">
      <c r="B381" s="88">
        <v>376</v>
      </c>
      <c r="C381" s="83" t="s">
        <v>3578</v>
      </c>
      <c r="D381" s="83" t="s">
        <v>27</v>
      </c>
      <c r="E381" s="83" t="s">
        <v>28</v>
      </c>
      <c r="F381" s="83" t="s">
        <v>19</v>
      </c>
      <c r="G381" s="83" t="s">
        <v>20</v>
      </c>
      <c r="H381" s="83" t="s">
        <v>18</v>
      </c>
      <c r="I381" s="83" t="s">
        <v>24</v>
      </c>
      <c r="J381" s="83" t="s">
        <v>30</v>
      </c>
      <c r="K381" s="89" t="s">
        <v>29</v>
      </c>
    </row>
    <row r="382" spans="2:11" x14ac:dyDescent="0.25">
      <c r="B382" s="88">
        <v>377</v>
      </c>
      <c r="C382" s="83" t="s">
        <v>3579</v>
      </c>
      <c r="D382" s="83" t="s">
        <v>26</v>
      </c>
      <c r="E382" s="83" t="s">
        <v>28</v>
      </c>
      <c r="F382" s="83" t="s">
        <v>19</v>
      </c>
      <c r="G382" s="83" t="s">
        <v>20</v>
      </c>
      <c r="H382" s="83" t="s">
        <v>18</v>
      </c>
      <c r="I382" s="83" t="s">
        <v>24</v>
      </c>
      <c r="J382" s="83" t="s">
        <v>30</v>
      </c>
      <c r="K382" s="89" t="s">
        <v>29</v>
      </c>
    </row>
    <row r="383" spans="2:11" x14ac:dyDescent="0.25">
      <c r="B383" s="88">
        <v>378</v>
      </c>
      <c r="C383" s="83" t="s">
        <v>3580</v>
      </c>
      <c r="D383" s="83" t="s">
        <v>26</v>
      </c>
      <c r="E383" s="83" t="s">
        <v>27</v>
      </c>
      <c r="F383" s="83" t="s">
        <v>19</v>
      </c>
      <c r="G383" s="83" t="s">
        <v>20</v>
      </c>
      <c r="H383" s="83" t="s">
        <v>18</v>
      </c>
      <c r="I383" s="83" t="s">
        <v>24</v>
      </c>
      <c r="J383" s="83" t="s">
        <v>30</v>
      </c>
      <c r="K383" s="89" t="s">
        <v>29</v>
      </c>
    </row>
    <row r="384" spans="2:11" x14ac:dyDescent="0.25">
      <c r="B384" s="88">
        <v>379</v>
      </c>
      <c r="C384" s="83" t="s">
        <v>3581</v>
      </c>
      <c r="D384" s="83" t="s">
        <v>26</v>
      </c>
      <c r="E384" s="83" t="s">
        <v>28</v>
      </c>
      <c r="F384" s="83" t="s">
        <v>19</v>
      </c>
      <c r="G384" s="83" t="s">
        <v>20</v>
      </c>
      <c r="H384" s="83" t="s">
        <v>18</v>
      </c>
      <c r="I384" s="83" t="s">
        <v>24</v>
      </c>
      <c r="J384" s="83" t="s">
        <v>30</v>
      </c>
      <c r="K384" s="89" t="s">
        <v>27</v>
      </c>
    </row>
    <row r="385" spans="2:11" x14ac:dyDescent="0.25">
      <c r="B385" s="88">
        <v>380</v>
      </c>
      <c r="C385" s="83" t="s">
        <v>3582</v>
      </c>
      <c r="D385" s="83" t="s">
        <v>26</v>
      </c>
      <c r="E385" s="83" t="s">
        <v>28</v>
      </c>
      <c r="F385" s="83" t="s">
        <v>19</v>
      </c>
      <c r="G385" s="83" t="s">
        <v>20</v>
      </c>
      <c r="H385" s="83" t="s">
        <v>18</v>
      </c>
      <c r="I385" s="83" t="s">
        <v>24</v>
      </c>
      <c r="J385" s="83" t="s">
        <v>27</v>
      </c>
      <c r="K385" s="89" t="s">
        <v>29</v>
      </c>
    </row>
    <row r="386" spans="2:11" x14ac:dyDescent="0.25">
      <c r="B386" s="88">
        <v>381</v>
      </c>
      <c r="C386" s="83" t="s">
        <v>3583</v>
      </c>
      <c r="D386" s="83" t="s">
        <v>20</v>
      </c>
      <c r="E386" s="83" t="s">
        <v>28</v>
      </c>
      <c r="F386" s="83" t="s">
        <v>19</v>
      </c>
      <c r="G386" s="83" t="s">
        <v>24</v>
      </c>
      <c r="H386" s="83" t="s">
        <v>18</v>
      </c>
      <c r="I386" s="83" t="s">
        <v>25</v>
      </c>
      <c r="J386" s="83" t="s">
        <v>30</v>
      </c>
      <c r="K386" s="89" t="s">
        <v>29</v>
      </c>
    </row>
    <row r="387" spans="2:11" x14ac:dyDescent="0.25">
      <c r="B387" s="88">
        <v>382</v>
      </c>
      <c r="C387" s="83" t="s">
        <v>3584</v>
      </c>
      <c r="D387" s="83" t="s">
        <v>27</v>
      </c>
      <c r="E387" s="83" t="s">
        <v>25</v>
      </c>
      <c r="F387" s="83" t="s">
        <v>19</v>
      </c>
      <c r="G387" s="83" t="s">
        <v>20</v>
      </c>
      <c r="H387" s="83" t="s">
        <v>18</v>
      </c>
      <c r="I387" s="83" t="s">
        <v>24</v>
      </c>
      <c r="J387" s="83" t="s">
        <v>30</v>
      </c>
      <c r="K387" s="89" t="s">
        <v>29</v>
      </c>
    </row>
    <row r="388" spans="2:11" x14ac:dyDescent="0.25">
      <c r="B388" s="88">
        <v>383</v>
      </c>
      <c r="C388" s="83" t="s">
        <v>3585</v>
      </c>
      <c r="D388" s="83" t="s">
        <v>20</v>
      </c>
      <c r="E388" s="83" t="s">
        <v>28</v>
      </c>
      <c r="F388" s="83" t="s">
        <v>19</v>
      </c>
      <c r="G388" s="83" t="s">
        <v>24</v>
      </c>
      <c r="H388" s="83" t="s">
        <v>18</v>
      </c>
      <c r="I388" s="83" t="s">
        <v>25</v>
      </c>
      <c r="J388" s="83" t="s">
        <v>30</v>
      </c>
      <c r="K388" s="89" t="s">
        <v>27</v>
      </c>
    </row>
    <row r="389" spans="2:11" x14ac:dyDescent="0.25">
      <c r="B389" s="88">
        <v>384</v>
      </c>
      <c r="C389" s="83" t="s">
        <v>3586</v>
      </c>
      <c r="D389" s="83" t="s">
        <v>20</v>
      </c>
      <c r="E389" s="83" t="s">
        <v>28</v>
      </c>
      <c r="F389" s="83" t="s">
        <v>19</v>
      </c>
      <c r="G389" s="83" t="s">
        <v>24</v>
      </c>
      <c r="H389" s="83" t="s">
        <v>18</v>
      </c>
      <c r="I389" s="83" t="s">
        <v>25</v>
      </c>
      <c r="J389" s="83" t="s">
        <v>27</v>
      </c>
      <c r="K389" s="89" t="s">
        <v>29</v>
      </c>
    </row>
    <row r="390" spans="2:11" x14ac:dyDescent="0.25">
      <c r="B390" s="88">
        <v>385</v>
      </c>
      <c r="C390" s="83" t="s">
        <v>3587</v>
      </c>
      <c r="D390" s="83" t="s">
        <v>26</v>
      </c>
      <c r="E390" s="83" t="s">
        <v>25</v>
      </c>
      <c r="F390" s="83" t="s">
        <v>19</v>
      </c>
      <c r="G390" s="83" t="s">
        <v>20</v>
      </c>
      <c r="H390" s="83" t="s">
        <v>18</v>
      </c>
      <c r="I390" s="83" t="s">
        <v>24</v>
      </c>
      <c r="J390" s="83" t="s">
        <v>30</v>
      </c>
      <c r="K390" s="89" t="s">
        <v>29</v>
      </c>
    </row>
    <row r="391" spans="2:11" x14ac:dyDescent="0.25">
      <c r="B391" s="88">
        <v>386</v>
      </c>
      <c r="C391" s="83" t="s">
        <v>3588</v>
      </c>
      <c r="D391" s="83" t="s">
        <v>26</v>
      </c>
      <c r="E391" s="83" t="s">
        <v>25</v>
      </c>
      <c r="F391" s="83" t="s">
        <v>19</v>
      </c>
      <c r="G391" s="83" t="s">
        <v>20</v>
      </c>
      <c r="H391" s="83" t="s">
        <v>18</v>
      </c>
      <c r="I391" s="83" t="s">
        <v>24</v>
      </c>
      <c r="J391" s="83" t="s">
        <v>30</v>
      </c>
      <c r="K391" s="89" t="s">
        <v>28</v>
      </c>
    </row>
    <row r="392" spans="2:11" x14ac:dyDescent="0.25">
      <c r="B392" s="88">
        <v>387</v>
      </c>
      <c r="C392" s="83" t="s">
        <v>3589</v>
      </c>
      <c r="D392" s="83" t="s">
        <v>26</v>
      </c>
      <c r="E392" s="83" t="s">
        <v>25</v>
      </c>
      <c r="F392" s="83" t="s">
        <v>19</v>
      </c>
      <c r="G392" s="83" t="s">
        <v>20</v>
      </c>
      <c r="H392" s="83" t="s">
        <v>18</v>
      </c>
      <c r="I392" s="83" t="s">
        <v>24</v>
      </c>
      <c r="J392" s="83" t="s">
        <v>28</v>
      </c>
      <c r="K392" s="89" t="s">
        <v>29</v>
      </c>
    </row>
    <row r="393" spans="2:11" x14ac:dyDescent="0.25">
      <c r="B393" s="88">
        <v>388</v>
      </c>
      <c r="C393" s="83" t="s">
        <v>3590</v>
      </c>
      <c r="D393" s="83" t="s">
        <v>26</v>
      </c>
      <c r="E393" s="83" t="s">
        <v>25</v>
      </c>
      <c r="F393" s="83" t="s">
        <v>19</v>
      </c>
      <c r="G393" s="83" t="s">
        <v>20</v>
      </c>
      <c r="H393" s="83" t="s">
        <v>18</v>
      </c>
      <c r="I393" s="83" t="s">
        <v>24</v>
      </c>
      <c r="J393" s="83" t="s">
        <v>30</v>
      </c>
      <c r="K393" s="89" t="s">
        <v>27</v>
      </c>
    </row>
    <row r="394" spans="2:11" x14ac:dyDescent="0.25">
      <c r="B394" s="88">
        <v>389</v>
      </c>
      <c r="C394" s="83" t="s">
        <v>3591</v>
      </c>
      <c r="D394" s="83" t="s">
        <v>26</v>
      </c>
      <c r="E394" s="83" t="s">
        <v>25</v>
      </c>
      <c r="F394" s="83" t="s">
        <v>19</v>
      </c>
      <c r="G394" s="83" t="s">
        <v>20</v>
      </c>
      <c r="H394" s="83" t="s">
        <v>18</v>
      </c>
      <c r="I394" s="83" t="s">
        <v>24</v>
      </c>
      <c r="J394" s="83" t="s">
        <v>27</v>
      </c>
      <c r="K394" s="89" t="s">
        <v>29</v>
      </c>
    </row>
    <row r="395" spans="2:11" x14ac:dyDescent="0.25">
      <c r="B395" s="88">
        <v>390</v>
      </c>
      <c r="C395" s="83" t="s">
        <v>3592</v>
      </c>
      <c r="D395" s="83" t="s">
        <v>26</v>
      </c>
      <c r="E395" s="83" t="s">
        <v>25</v>
      </c>
      <c r="F395" s="83" t="s">
        <v>19</v>
      </c>
      <c r="G395" s="83" t="s">
        <v>20</v>
      </c>
      <c r="H395" s="83" t="s">
        <v>18</v>
      </c>
      <c r="I395" s="83" t="s">
        <v>24</v>
      </c>
      <c r="J395" s="83" t="s">
        <v>27</v>
      </c>
      <c r="K395" s="89" t="s">
        <v>28</v>
      </c>
    </row>
    <row r="396" spans="2:11" x14ac:dyDescent="0.25">
      <c r="B396" s="88">
        <v>391</v>
      </c>
      <c r="C396" s="83" t="s">
        <v>3593</v>
      </c>
      <c r="D396" s="83" t="s">
        <v>23</v>
      </c>
      <c r="E396" s="83" t="s">
        <v>28</v>
      </c>
      <c r="F396" s="83" t="s">
        <v>19</v>
      </c>
      <c r="G396" s="83" t="s">
        <v>18</v>
      </c>
      <c r="H396" s="83" t="s">
        <v>27</v>
      </c>
      <c r="I396" s="83" t="s">
        <v>20</v>
      </c>
      <c r="J396" s="83" t="s">
        <v>30</v>
      </c>
      <c r="K396" s="89" t="s">
        <v>29</v>
      </c>
    </row>
    <row r="397" spans="2:11" x14ac:dyDescent="0.25">
      <c r="B397" s="88">
        <v>392</v>
      </c>
      <c r="C397" s="83" t="s">
        <v>3594</v>
      </c>
      <c r="D397" s="83" t="s">
        <v>23</v>
      </c>
      <c r="E397" s="83" t="s">
        <v>28</v>
      </c>
      <c r="F397" s="83" t="s">
        <v>19</v>
      </c>
      <c r="G397" s="83" t="s">
        <v>20</v>
      </c>
      <c r="H397" s="83" t="s">
        <v>18</v>
      </c>
      <c r="I397" s="83" t="s">
        <v>26</v>
      </c>
      <c r="J397" s="83" t="s">
        <v>30</v>
      </c>
      <c r="K397" s="89" t="s">
        <v>29</v>
      </c>
    </row>
    <row r="398" spans="2:11" x14ac:dyDescent="0.25">
      <c r="B398" s="88">
        <v>393</v>
      </c>
      <c r="C398" s="83" t="s">
        <v>3595</v>
      </c>
      <c r="D398" s="83" t="s">
        <v>23</v>
      </c>
      <c r="E398" s="83" t="s">
        <v>27</v>
      </c>
      <c r="F398" s="83" t="s">
        <v>19</v>
      </c>
      <c r="G398" s="83" t="s">
        <v>20</v>
      </c>
      <c r="H398" s="83" t="s">
        <v>18</v>
      </c>
      <c r="I398" s="83" t="s">
        <v>26</v>
      </c>
      <c r="J398" s="83" t="s">
        <v>30</v>
      </c>
      <c r="K398" s="89" t="s">
        <v>29</v>
      </c>
    </row>
    <row r="399" spans="2:11" x14ac:dyDescent="0.25">
      <c r="B399" s="88">
        <v>394</v>
      </c>
      <c r="C399" s="83" t="s">
        <v>3596</v>
      </c>
      <c r="D399" s="83" t="s">
        <v>23</v>
      </c>
      <c r="E399" s="83" t="s">
        <v>28</v>
      </c>
      <c r="F399" s="83" t="s">
        <v>19</v>
      </c>
      <c r="G399" s="83" t="s">
        <v>20</v>
      </c>
      <c r="H399" s="83" t="s">
        <v>18</v>
      </c>
      <c r="I399" s="83" t="s">
        <v>26</v>
      </c>
      <c r="J399" s="83" t="s">
        <v>30</v>
      </c>
      <c r="K399" s="89" t="s">
        <v>27</v>
      </c>
    </row>
    <row r="400" spans="2:11" x14ac:dyDescent="0.25">
      <c r="B400" s="88">
        <v>395</v>
      </c>
      <c r="C400" s="83" t="s">
        <v>3597</v>
      </c>
      <c r="D400" s="83" t="s">
        <v>23</v>
      </c>
      <c r="E400" s="83" t="s">
        <v>28</v>
      </c>
      <c r="F400" s="83" t="s">
        <v>19</v>
      </c>
      <c r="G400" s="83" t="s">
        <v>20</v>
      </c>
      <c r="H400" s="83" t="s">
        <v>18</v>
      </c>
      <c r="I400" s="83" t="s">
        <v>26</v>
      </c>
      <c r="J400" s="83" t="s">
        <v>27</v>
      </c>
      <c r="K400" s="89" t="s">
        <v>29</v>
      </c>
    </row>
    <row r="401" spans="2:11" x14ac:dyDescent="0.25">
      <c r="B401" s="88">
        <v>396</v>
      </c>
      <c r="C401" s="83" t="s">
        <v>3598</v>
      </c>
      <c r="D401" s="83" t="s">
        <v>23</v>
      </c>
      <c r="E401" s="83" t="s">
        <v>28</v>
      </c>
      <c r="F401" s="83" t="s">
        <v>19</v>
      </c>
      <c r="G401" s="83" t="s">
        <v>20</v>
      </c>
      <c r="H401" s="83" t="s">
        <v>18</v>
      </c>
      <c r="I401" s="83" t="s">
        <v>25</v>
      </c>
      <c r="J401" s="83" t="s">
        <v>30</v>
      </c>
      <c r="K401" s="89" t="s">
        <v>29</v>
      </c>
    </row>
    <row r="402" spans="2:11" x14ac:dyDescent="0.25">
      <c r="B402" s="88">
        <v>397</v>
      </c>
      <c r="C402" s="83" t="s">
        <v>3599</v>
      </c>
      <c r="D402" s="83" t="s">
        <v>23</v>
      </c>
      <c r="E402" s="83" t="s">
        <v>25</v>
      </c>
      <c r="F402" s="83" t="s">
        <v>19</v>
      </c>
      <c r="G402" s="83" t="s">
        <v>18</v>
      </c>
      <c r="H402" s="83" t="s">
        <v>27</v>
      </c>
      <c r="I402" s="83" t="s">
        <v>20</v>
      </c>
      <c r="J402" s="83" t="s">
        <v>30</v>
      </c>
      <c r="K402" s="89" t="s">
        <v>29</v>
      </c>
    </row>
    <row r="403" spans="2:11" x14ac:dyDescent="0.25">
      <c r="B403" s="88">
        <v>398</v>
      </c>
      <c r="C403" s="83" t="s">
        <v>3600</v>
      </c>
      <c r="D403" s="83" t="s">
        <v>23</v>
      </c>
      <c r="E403" s="83" t="s">
        <v>28</v>
      </c>
      <c r="F403" s="83" t="s">
        <v>19</v>
      </c>
      <c r="G403" s="83" t="s">
        <v>20</v>
      </c>
      <c r="H403" s="83" t="s">
        <v>18</v>
      </c>
      <c r="I403" s="83" t="s">
        <v>25</v>
      </c>
      <c r="J403" s="83" t="s">
        <v>30</v>
      </c>
      <c r="K403" s="89" t="s">
        <v>27</v>
      </c>
    </row>
    <row r="404" spans="2:11" x14ac:dyDescent="0.25">
      <c r="B404" s="88">
        <v>399</v>
      </c>
      <c r="C404" s="83" t="s">
        <v>3601</v>
      </c>
      <c r="D404" s="83" t="s">
        <v>23</v>
      </c>
      <c r="E404" s="83" t="s">
        <v>28</v>
      </c>
      <c r="F404" s="83" t="s">
        <v>19</v>
      </c>
      <c r="G404" s="83" t="s">
        <v>20</v>
      </c>
      <c r="H404" s="83" t="s">
        <v>18</v>
      </c>
      <c r="I404" s="83" t="s">
        <v>25</v>
      </c>
      <c r="J404" s="83" t="s">
        <v>27</v>
      </c>
      <c r="K404" s="89" t="s">
        <v>29</v>
      </c>
    </row>
    <row r="405" spans="2:11" x14ac:dyDescent="0.25">
      <c r="B405" s="88">
        <v>400</v>
      </c>
      <c r="C405" s="83" t="s">
        <v>3602</v>
      </c>
      <c r="D405" s="83" t="s">
        <v>23</v>
      </c>
      <c r="E405" s="83" t="s">
        <v>25</v>
      </c>
      <c r="F405" s="83" t="s">
        <v>19</v>
      </c>
      <c r="G405" s="83" t="s">
        <v>20</v>
      </c>
      <c r="H405" s="83" t="s">
        <v>18</v>
      </c>
      <c r="I405" s="83" t="s">
        <v>26</v>
      </c>
      <c r="J405" s="83" t="s">
        <v>30</v>
      </c>
      <c r="K405" s="89" t="s">
        <v>29</v>
      </c>
    </row>
    <row r="406" spans="2:11" x14ac:dyDescent="0.25">
      <c r="B406" s="88">
        <v>401</v>
      </c>
      <c r="C406" s="83" t="s">
        <v>3603</v>
      </c>
      <c r="D406" s="83" t="s">
        <v>26</v>
      </c>
      <c r="E406" s="83" t="s">
        <v>28</v>
      </c>
      <c r="F406" s="83" t="s">
        <v>19</v>
      </c>
      <c r="G406" s="83" t="s">
        <v>20</v>
      </c>
      <c r="H406" s="83" t="s">
        <v>18</v>
      </c>
      <c r="I406" s="83" t="s">
        <v>25</v>
      </c>
      <c r="J406" s="83" t="s">
        <v>30</v>
      </c>
      <c r="K406" s="89" t="s">
        <v>23</v>
      </c>
    </row>
    <row r="407" spans="2:11" x14ac:dyDescent="0.25">
      <c r="B407" s="88">
        <v>402</v>
      </c>
      <c r="C407" s="83" t="s">
        <v>3604</v>
      </c>
      <c r="D407" s="83" t="s">
        <v>26</v>
      </c>
      <c r="E407" s="83" t="s">
        <v>28</v>
      </c>
      <c r="F407" s="83" t="s">
        <v>19</v>
      </c>
      <c r="G407" s="83" t="s">
        <v>20</v>
      </c>
      <c r="H407" s="83" t="s">
        <v>18</v>
      </c>
      <c r="I407" s="83" t="s">
        <v>25</v>
      </c>
      <c r="J407" s="83" t="s">
        <v>23</v>
      </c>
      <c r="K407" s="89" t="s">
        <v>29</v>
      </c>
    </row>
    <row r="408" spans="2:11" x14ac:dyDescent="0.25">
      <c r="B408" s="88">
        <v>403</v>
      </c>
      <c r="C408" s="83" t="s">
        <v>3605</v>
      </c>
      <c r="D408" s="83" t="s">
        <v>23</v>
      </c>
      <c r="E408" s="83" t="s">
        <v>25</v>
      </c>
      <c r="F408" s="83" t="s">
        <v>19</v>
      </c>
      <c r="G408" s="83" t="s">
        <v>20</v>
      </c>
      <c r="H408" s="83" t="s">
        <v>18</v>
      </c>
      <c r="I408" s="83" t="s">
        <v>26</v>
      </c>
      <c r="J408" s="83" t="s">
        <v>30</v>
      </c>
      <c r="K408" s="89" t="s">
        <v>27</v>
      </c>
    </row>
    <row r="409" spans="2:11" x14ac:dyDescent="0.25">
      <c r="B409" s="88">
        <v>404</v>
      </c>
      <c r="C409" s="83" t="s">
        <v>3606</v>
      </c>
      <c r="D409" s="83" t="s">
        <v>23</v>
      </c>
      <c r="E409" s="83" t="s">
        <v>25</v>
      </c>
      <c r="F409" s="83" t="s">
        <v>19</v>
      </c>
      <c r="G409" s="83" t="s">
        <v>20</v>
      </c>
      <c r="H409" s="83" t="s">
        <v>18</v>
      </c>
      <c r="I409" s="83" t="s">
        <v>26</v>
      </c>
      <c r="J409" s="83" t="s">
        <v>27</v>
      </c>
      <c r="K409" s="89" t="s">
        <v>29</v>
      </c>
    </row>
    <row r="410" spans="2:11" x14ac:dyDescent="0.25">
      <c r="B410" s="88">
        <v>405</v>
      </c>
      <c r="C410" s="83" t="s">
        <v>3607</v>
      </c>
      <c r="D410" s="83" t="s">
        <v>26</v>
      </c>
      <c r="E410" s="83" t="s">
        <v>28</v>
      </c>
      <c r="F410" s="83" t="s">
        <v>19</v>
      </c>
      <c r="G410" s="83" t="s">
        <v>20</v>
      </c>
      <c r="H410" s="83" t="s">
        <v>18</v>
      </c>
      <c r="I410" s="83" t="s">
        <v>25</v>
      </c>
      <c r="J410" s="83" t="s">
        <v>23</v>
      </c>
      <c r="K410" s="89" t="s">
        <v>27</v>
      </c>
    </row>
    <row r="411" spans="2:11" x14ac:dyDescent="0.25">
      <c r="B411" s="88">
        <v>406</v>
      </c>
      <c r="C411" s="83" t="s">
        <v>3608</v>
      </c>
      <c r="D411" s="83" t="s">
        <v>23</v>
      </c>
      <c r="E411" s="83" t="s">
        <v>28</v>
      </c>
      <c r="F411" s="83" t="s">
        <v>19</v>
      </c>
      <c r="G411" s="83" t="s">
        <v>20</v>
      </c>
      <c r="H411" s="83" t="s">
        <v>18</v>
      </c>
      <c r="I411" s="83" t="s">
        <v>24</v>
      </c>
      <c r="J411" s="83" t="s">
        <v>30</v>
      </c>
      <c r="K411" s="89" t="s">
        <v>29</v>
      </c>
    </row>
    <row r="412" spans="2:11" x14ac:dyDescent="0.25">
      <c r="B412" s="88">
        <v>407</v>
      </c>
      <c r="C412" s="83" t="s">
        <v>3609</v>
      </c>
      <c r="D412" s="83" t="s">
        <v>23</v>
      </c>
      <c r="E412" s="83" t="s">
        <v>27</v>
      </c>
      <c r="F412" s="83" t="s">
        <v>19</v>
      </c>
      <c r="G412" s="83" t="s">
        <v>20</v>
      </c>
      <c r="H412" s="83" t="s">
        <v>18</v>
      </c>
      <c r="I412" s="83" t="s">
        <v>24</v>
      </c>
      <c r="J412" s="83" t="s">
        <v>30</v>
      </c>
      <c r="K412" s="89" t="s">
        <v>29</v>
      </c>
    </row>
    <row r="413" spans="2:11" x14ac:dyDescent="0.25">
      <c r="B413" s="88">
        <v>408</v>
      </c>
      <c r="C413" s="83" t="s">
        <v>3610</v>
      </c>
      <c r="D413" s="83" t="s">
        <v>23</v>
      </c>
      <c r="E413" s="83" t="s">
        <v>28</v>
      </c>
      <c r="F413" s="83" t="s">
        <v>19</v>
      </c>
      <c r="G413" s="83" t="s">
        <v>20</v>
      </c>
      <c r="H413" s="83" t="s">
        <v>18</v>
      </c>
      <c r="I413" s="83" t="s">
        <v>24</v>
      </c>
      <c r="J413" s="83" t="s">
        <v>30</v>
      </c>
      <c r="K413" s="89" t="s">
        <v>27</v>
      </c>
    </row>
    <row r="414" spans="2:11" x14ac:dyDescent="0.25">
      <c r="B414" s="88">
        <v>409</v>
      </c>
      <c r="C414" s="83" t="s">
        <v>3611</v>
      </c>
      <c r="D414" s="83" t="s">
        <v>23</v>
      </c>
      <c r="E414" s="83" t="s">
        <v>28</v>
      </c>
      <c r="F414" s="83" t="s">
        <v>19</v>
      </c>
      <c r="G414" s="83" t="s">
        <v>20</v>
      </c>
      <c r="H414" s="83" t="s">
        <v>18</v>
      </c>
      <c r="I414" s="83" t="s">
        <v>24</v>
      </c>
      <c r="J414" s="83" t="s">
        <v>27</v>
      </c>
      <c r="K414" s="89" t="s">
        <v>29</v>
      </c>
    </row>
    <row r="415" spans="2:11" x14ac:dyDescent="0.25">
      <c r="B415" s="88">
        <v>410</v>
      </c>
      <c r="C415" s="83" t="s">
        <v>3612</v>
      </c>
      <c r="D415" s="83" t="s">
        <v>26</v>
      </c>
      <c r="E415" s="83" t="s">
        <v>23</v>
      </c>
      <c r="F415" s="83" t="s">
        <v>19</v>
      </c>
      <c r="G415" s="83" t="s">
        <v>20</v>
      </c>
      <c r="H415" s="83" t="s">
        <v>18</v>
      </c>
      <c r="I415" s="83" t="s">
        <v>24</v>
      </c>
      <c r="J415" s="83" t="s">
        <v>30</v>
      </c>
      <c r="K415" s="89" t="s">
        <v>29</v>
      </c>
    </row>
    <row r="416" spans="2:11" x14ac:dyDescent="0.25">
      <c r="B416" s="88">
        <v>411</v>
      </c>
      <c r="C416" s="83" t="s">
        <v>3613</v>
      </c>
      <c r="D416" s="83" t="s">
        <v>26</v>
      </c>
      <c r="E416" s="83" t="s">
        <v>28</v>
      </c>
      <c r="F416" s="83" t="s">
        <v>19</v>
      </c>
      <c r="G416" s="83" t="s">
        <v>20</v>
      </c>
      <c r="H416" s="83" t="s">
        <v>18</v>
      </c>
      <c r="I416" s="83" t="s">
        <v>24</v>
      </c>
      <c r="J416" s="83" t="s">
        <v>30</v>
      </c>
      <c r="K416" s="89" t="s">
        <v>23</v>
      </c>
    </row>
    <row r="417" spans="2:11" x14ac:dyDescent="0.25">
      <c r="B417" s="88">
        <v>412</v>
      </c>
      <c r="C417" s="83" t="s">
        <v>3614</v>
      </c>
      <c r="D417" s="83" t="s">
        <v>26</v>
      </c>
      <c r="E417" s="83" t="s">
        <v>28</v>
      </c>
      <c r="F417" s="83" t="s">
        <v>19</v>
      </c>
      <c r="G417" s="83" t="s">
        <v>20</v>
      </c>
      <c r="H417" s="83" t="s">
        <v>18</v>
      </c>
      <c r="I417" s="83" t="s">
        <v>24</v>
      </c>
      <c r="J417" s="83" t="s">
        <v>23</v>
      </c>
      <c r="K417" s="89" t="s">
        <v>29</v>
      </c>
    </row>
    <row r="418" spans="2:11" x14ac:dyDescent="0.25">
      <c r="B418" s="88">
        <v>413</v>
      </c>
      <c r="C418" s="83" t="s">
        <v>3615</v>
      </c>
      <c r="D418" s="83" t="s">
        <v>26</v>
      </c>
      <c r="E418" s="83" t="s">
        <v>23</v>
      </c>
      <c r="F418" s="83" t="s">
        <v>19</v>
      </c>
      <c r="G418" s="83" t="s">
        <v>20</v>
      </c>
      <c r="H418" s="83" t="s">
        <v>18</v>
      </c>
      <c r="I418" s="83" t="s">
        <v>24</v>
      </c>
      <c r="J418" s="83" t="s">
        <v>30</v>
      </c>
      <c r="K418" s="89" t="s">
        <v>27</v>
      </c>
    </row>
    <row r="419" spans="2:11" x14ac:dyDescent="0.25">
      <c r="B419" s="88">
        <v>414</v>
      </c>
      <c r="C419" s="83" t="s">
        <v>3616</v>
      </c>
      <c r="D419" s="83" t="s">
        <v>26</v>
      </c>
      <c r="E419" s="83" t="s">
        <v>23</v>
      </c>
      <c r="F419" s="83" t="s">
        <v>19</v>
      </c>
      <c r="G419" s="83" t="s">
        <v>20</v>
      </c>
      <c r="H419" s="83" t="s">
        <v>18</v>
      </c>
      <c r="I419" s="83" t="s">
        <v>24</v>
      </c>
      <c r="J419" s="83" t="s">
        <v>27</v>
      </c>
      <c r="K419" s="89" t="s">
        <v>29</v>
      </c>
    </row>
    <row r="420" spans="2:11" x14ac:dyDescent="0.25">
      <c r="B420" s="88">
        <v>415</v>
      </c>
      <c r="C420" s="83" t="s">
        <v>3617</v>
      </c>
      <c r="D420" s="83" t="s">
        <v>26</v>
      </c>
      <c r="E420" s="83" t="s">
        <v>28</v>
      </c>
      <c r="F420" s="83" t="s">
        <v>19</v>
      </c>
      <c r="G420" s="83" t="s">
        <v>20</v>
      </c>
      <c r="H420" s="83" t="s">
        <v>18</v>
      </c>
      <c r="I420" s="83" t="s">
        <v>24</v>
      </c>
      <c r="J420" s="83" t="s">
        <v>23</v>
      </c>
      <c r="K420" s="89" t="s">
        <v>27</v>
      </c>
    </row>
    <row r="421" spans="2:11" x14ac:dyDescent="0.25">
      <c r="B421" s="88">
        <v>416</v>
      </c>
      <c r="C421" s="83" t="s">
        <v>3618</v>
      </c>
      <c r="D421" s="83" t="s">
        <v>23</v>
      </c>
      <c r="E421" s="83" t="s">
        <v>25</v>
      </c>
      <c r="F421" s="83" t="s">
        <v>19</v>
      </c>
      <c r="G421" s="83" t="s">
        <v>20</v>
      </c>
      <c r="H421" s="83" t="s">
        <v>18</v>
      </c>
      <c r="I421" s="83" t="s">
        <v>24</v>
      </c>
      <c r="J421" s="83" t="s">
        <v>30</v>
      </c>
      <c r="K421" s="89" t="s">
        <v>29</v>
      </c>
    </row>
    <row r="422" spans="2:11" x14ac:dyDescent="0.25">
      <c r="B422" s="88">
        <v>417</v>
      </c>
      <c r="C422" s="83" t="s">
        <v>3619</v>
      </c>
      <c r="D422" s="83" t="s">
        <v>23</v>
      </c>
      <c r="E422" s="83" t="s">
        <v>25</v>
      </c>
      <c r="F422" s="83" t="s">
        <v>19</v>
      </c>
      <c r="G422" s="83" t="s">
        <v>20</v>
      </c>
      <c r="H422" s="83" t="s">
        <v>18</v>
      </c>
      <c r="I422" s="83" t="s">
        <v>24</v>
      </c>
      <c r="J422" s="83" t="s">
        <v>30</v>
      </c>
      <c r="K422" s="89" t="s">
        <v>28</v>
      </c>
    </row>
    <row r="423" spans="2:11" x14ac:dyDescent="0.25">
      <c r="B423" s="88">
        <v>418</v>
      </c>
      <c r="C423" s="83" t="s">
        <v>3620</v>
      </c>
      <c r="D423" s="83" t="s">
        <v>23</v>
      </c>
      <c r="E423" s="83" t="s">
        <v>25</v>
      </c>
      <c r="F423" s="83" t="s">
        <v>19</v>
      </c>
      <c r="G423" s="83" t="s">
        <v>20</v>
      </c>
      <c r="H423" s="83" t="s">
        <v>18</v>
      </c>
      <c r="I423" s="83" t="s">
        <v>24</v>
      </c>
      <c r="J423" s="83" t="s">
        <v>28</v>
      </c>
      <c r="K423" s="89" t="s">
        <v>29</v>
      </c>
    </row>
    <row r="424" spans="2:11" x14ac:dyDescent="0.25">
      <c r="B424" s="88">
        <v>419</v>
      </c>
      <c r="C424" s="83" t="s">
        <v>3621</v>
      </c>
      <c r="D424" s="83" t="s">
        <v>23</v>
      </c>
      <c r="E424" s="83" t="s">
        <v>25</v>
      </c>
      <c r="F424" s="83" t="s">
        <v>19</v>
      </c>
      <c r="G424" s="83" t="s">
        <v>20</v>
      </c>
      <c r="H424" s="83" t="s">
        <v>18</v>
      </c>
      <c r="I424" s="83" t="s">
        <v>24</v>
      </c>
      <c r="J424" s="83" t="s">
        <v>30</v>
      </c>
      <c r="K424" s="89" t="s">
        <v>27</v>
      </c>
    </row>
    <row r="425" spans="2:11" x14ac:dyDescent="0.25">
      <c r="B425" s="88">
        <v>420</v>
      </c>
      <c r="C425" s="83" t="s">
        <v>3622</v>
      </c>
      <c r="D425" s="83" t="s">
        <v>23</v>
      </c>
      <c r="E425" s="83" t="s">
        <v>25</v>
      </c>
      <c r="F425" s="83" t="s">
        <v>19</v>
      </c>
      <c r="G425" s="83" t="s">
        <v>20</v>
      </c>
      <c r="H425" s="83" t="s">
        <v>18</v>
      </c>
      <c r="I425" s="83" t="s">
        <v>24</v>
      </c>
      <c r="J425" s="83" t="s">
        <v>27</v>
      </c>
      <c r="K425" s="89" t="s">
        <v>29</v>
      </c>
    </row>
    <row r="426" spans="2:11" x14ac:dyDescent="0.25">
      <c r="B426" s="88">
        <v>421</v>
      </c>
      <c r="C426" s="83" t="s">
        <v>3623</v>
      </c>
      <c r="D426" s="83" t="s">
        <v>23</v>
      </c>
      <c r="E426" s="83" t="s">
        <v>25</v>
      </c>
      <c r="F426" s="83" t="s">
        <v>19</v>
      </c>
      <c r="G426" s="83" t="s">
        <v>20</v>
      </c>
      <c r="H426" s="83" t="s">
        <v>18</v>
      </c>
      <c r="I426" s="83" t="s">
        <v>24</v>
      </c>
      <c r="J426" s="83" t="s">
        <v>27</v>
      </c>
      <c r="K426" s="89" t="s">
        <v>28</v>
      </c>
    </row>
    <row r="427" spans="2:11" x14ac:dyDescent="0.25">
      <c r="B427" s="88">
        <v>422</v>
      </c>
      <c r="C427" s="83" t="s">
        <v>3624</v>
      </c>
      <c r="D427" s="83" t="s">
        <v>26</v>
      </c>
      <c r="E427" s="83" t="s">
        <v>25</v>
      </c>
      <c r="F427" s="83" t="s">
        <v>19</v>
      </c>
      <c r="G427" s="83" t="s">
        <v>20</v>
      </c>
      <c r="H427" s="83" t="s">
        <v>18</v>
      </c>
      <c r="I427" s="83" t="s">
        <v>24</v>
      </c>
      <c r="J427" s="83" t="s">
        <v>30</v>
      </c>
      <c r="K427" s="89" t="s">
        <v>23</v>
      </c>
    </row>
    <row r="428" spans="2:11" x14ac:dyDescent="0.25">
      <c r="B428" s="88">
        <v>423</v>
      </c>
      <c r="C428" s="83" t="s">
        <v>3625</v>
      </c>
      <c r="D428" s="83" t="s">
        <v>26</v>
      </c>
      <c r="E428" s="83" t="s">
        <v>25</v>
      </c>
      <c r="F428" s="83" t="s">
        <v>19</v>
      </c>
      <c r="G428" s="83" t="s">
        <v>20</v>
      </c>
      <c r="H428" s="83" t="s">
        <v>18</v>
      </c>
      <c r="I428" s="83" t="s">
        <v>24</v>
      </c>
      <c r="J428" s="83" t="s">
        <v>23</v>
      </c>
      <c r="K428" s="89" t="s">
        <v>29</v>
      </c>
    </row>
    <row r="429" spans="2:11" x14ac:dyDescent="0.25">
      <c r="B429" s="88">
        <v>424</v>
      </c>
      <c r="C429" s="83" t="s">
        <v>3626</v>
      </c>
      <c r="D429" s="83" t="s">
        <v>26</v>
      </c>
      <c r="E429" s="83" t="s">
        <v>25</v>
      </c>
      <c r="F429" s="83" t="s">
        <v>19</v>
      </c>
      <c r="G429" s="83" t="s">
        <v>20</v>
      </c>
      <c r="H429" s="83" t="s">
        <v>18</v>
      </c>
      <c r="I429" s="83" t="s">
        <v>24</v>
      </c>
      <c r="J429" s="83" t="s">
        <v>23</v>
      </c>
      <c r="K429" s="89" t="s">
        <v>28</v>
      </c>
    </row>
    <row r="430" spans="2:11" x14ac:dyDescent="0.25">
      <c r="B430" s="88">
        <v>425</v>
      </c>
      <c r="C430" s="83" t="s">
        <v>3627</v>
      </c>
      <c r="D430" s="83" t="s">
        <v>26</v>
      </c>
      <c r="E430" s="83" t="s">
        <v>25</v>
      </c>
      <c r="F430" s="83" t="s">
        <v>19</v>
      </c>
      <c r="G430" s="83" t="s">
        <v>20</v>
      </c>
      <c r="H430" s="83" t="s">
        <v>18</v>
      </c>
      <c r="I430" s="83" t="s">
        <v>24</v>
      </c>
      <c r="J430" s="83" t="s">
        <v>23</v>
      </c>
      <c r="K430" s="89" t="s">
        <v>27</v>
      </c>
    </row>
    <row r="431" spans="2:11" x14ac:dyDescent="0.25">
      <c r="B431" s="88">
        <v>426</v>
      </c>
      <c r="C431" s="83" t="s">
        <v>3628</v>
      </c>
      <c r="D431" s="83" t="s">
        <v>27</v>
      </c>
      <c r="E431" s="83" t="s">
        <v>28</v>
      </c>
      <c r="F431" s="83" t="s">
        <v>19</v>
      </c>
      <c r="G431" s="83" t="s">
        <v>20</v>
      </c>
      <c r="H431" s="83" t="s">
        <v>18</v>
      </c>
      <c r="I431" s="83" t="s">
        <v>22</v>
      </c>
      <c r="J431" s="83" t="s">
        <v>30</v>
      </c>
      <c r="K431" s="89" t="s">
        <v>29</v>
      </c>
    </row>
    <row r="432" spans="2:11" x14ac:dyDescent="0.25">
      <c r="B432" s="88">
        <v>427</v>
      </c>
      <c r="C432" s="83" t="s">
        <v>3629</v>
      </c>
      <c r="D432" s="83" t="s">
        <v>26</v>
      </c>
      <c r="E432" s="83" t="s">
        <v>28</v>
      </c>
      <c r="F432" s="83" t="s">
        <v>19</v>
      </c>
      <c r="G432" s="83" t="s">
        <v>20</v>
      </c>
      <c r="H432" s="83" t="s">
        <v>18</v>
      </c>
      <c r="I432" s="83" t="s">
        <v>22</v>
      </c>
      <c r="J432" s="83" t="s">
        <v>30</v>
      </c>
      <c r="K432" s="89" t="s">
        <v>29</v>
      </c>
    </row>
    <row r="433" spans="2:11" x14ac:dyDescent="0.25">
      <c r="B433" s="88">
        <v>428</v>
      </c>
      <c r="C433" s="83" t="s">
        <v>3630</v>
      </c>
      <c r="D433" s="83" t="s">
        <v>26</v>
      </c>
      <c r="E433" s="83" t="s">
        <v>27</v>
      </c>
      <c r="F433" s="83" t="s">
        <v>19</v>
      </c>
      <c r="G433" s="83" t="s">
        <v>20</v>
      </c>
      <c r="H433" s="83" t="s">
        <v>18</v>
      </c>
      <c r="I433" s="83" t="s">
        <v>22</v>
      </c>
      <c r="J433" s="83" t="s">
        <v>30</v>
      </c>
      <c r="K433" s="89" t="s">
        <v>29</v>
      </c>
    </row>
    <row r="434" spans="2:11" x14ac:dyDescent="0.25">
      <c r="B434" s="88">
        <v>429</v>
      </c>
      <c r="C434" s="83" t="s">
        <v>3631</v>
      </c>
      <c r="D434" s="83" t="s">
        <v>26</v>
      </c>
      <c r="E434" s="83" t="s">
        <v>28</v>
      </c>
      <c r="F434" s="83" t="s">
        <v>19</v>
      </c>
      <c r="G434" s="83" t="s">
        <v>20</v>
      </c>
      <c r="H434" s="83" t="s">
        <v>18</v>
      </c>
      <c r="I434" s="83" t="s">
        <v>22</v>
      </c>
      <c r="J434" s="83" t="s">
        <v>30</v>
      </c>
      <c r="K434" s="89" t="s">
        <v>27</v>
      </c>
    </row>
    <row r="435" spans="2:11" x14ac:dyDescent="0.25">
      <c r="B435" s="88">
        <v>430</v>
      </c>
      <c r="C435" s="83" t="s">
        <v>3632</v>
      </c>
      <c r="D435" s="83" t="s">
        <v>26</v>
      </c>
      <c r="E435" s="83" t="s">
        <v>28</v>
      </c>
      <c r="F435" s="83" t="s">
        <v>19</v>
      </c>
      <c r="G435" s="83" t="s">
        <v>20</v>
      </c>
      <c r="H435" s="83" t="s">
        <v>18</v>
      </c>
      <c r="I435" s="83" t="s">
        <v>22</v>
      </c>
      <c r="J435" s="83" t="s">
        <v>27</v>
      </c>
      <c r="K435" s="89" t="s">
        <v>29</v>
      </c>
    </row>
    <row r="436" spans="2:11" x14ac:dyDescent="0.25">
      <c r="B436" s="88">
        <v>431</v>
      </c>
      <c r="C436" s="83" t="s">
        <v>3633</v>
      </c>
      <c r="D436" s="83" t="s">
        <v>20</v>
      </c>
      <c r="E436" s="83" t="s">
        <v>28</v>
      </c>
      <c r="F436" s="83" t="s">
        <v>19</v>
      </c>
      <c r="G436" s="83" t="s">
        <v>22</v>
      </c>
      <c r="H436" s="83" t="s">
        <v>18</v>
      </c>
      <c r="I436" s="83" t="s">
        <v>25</v>
      </c>
      <c r="J436" s="83" t="s">
        <v>30</v>
      </c>
      <c r="K436" s="89" t="s">
        <v>29</v>
      </c>
    </row>
    <row r="437" spans="2:11" x14ac:dyDescent="0.25">
      <c r="B437" s="88">
        <v>432</v>
      </c>
      <c r="C437" s="83" t="s">
        <v>3634</v>
      </c>
      <c r="D437" s="83" t="s">
        <v>27</v>
      </c>
      <c r="E437" s="83" t="s">
        <v>25</v>
      </c>
      <c r="F437" s="83" t="s">
        <v>19</v>
      </c>
      <c r="G437" s="83" t="s">
        <v>20</v>
      </c>
      <c r="H437" s="83" t="s">
        <v>18</v>
      </c>
      <c r="I437" s="83" t="s">
        <v>22</v>
      </c>
      <c r="J437" s="83" t="s">
        <v>30</v>
      </c>
      <c r="K437" s="89" t="s">
        <v>29</v>
      </c>
    </row>
    <row r="438" spans="2:11" x14ac:dyDescent="0.25">
      <c r="B438" s="88">
        <v>433</v>
      </c>
      <c r="C438" s="83" t="s">
        <v>3635</v>
      </c>
      <c r="D438" s="83" t="s">
        <v>20</v>
      </c>
      <c r="E438" s="83" t="s">
        <v>28</v>
      </c>
      <c r="F438" s="83" t="s">
        <v>19</v>
      </c>
      <c r="G438" s="83" t="s">
        <v>22</v>
      </c>
      <c r="H438" s="83" t="s">
        <v>18</v>
      </c>
      <c r="I438" s="83" t="s">
        <v>25</v>
      </c>
      <c r="J438" s="83" t="s">
        <v>30</v>
      </c>
      <c r="K438" s="89" t="s">
        <v>27</v>
      </c>
    </row>
    <row r="439" spans="2:11" x14ac:dyDescent="0.25">
      <c r="B439" s="88">
        <v>434</v>
      </c>
      <c r="C439" s="83" t="s">
        <v>3636</v>
      </c>
      <c r="D439" s="83" t="s">
        <v>20</v>
      </c>
      <c r="E439" s="83" t="s">
        <v>28</v>
      </c>
      <c r="F439" s="83" t="s">
        <v>19</v>
      </c>
      <c r="G439" s="83" t="s">
        <v>22</v>
      </c>
      <c r="H439" s="83" t="s">
        <v>18</v>
      </c>
      <c r="I439" s="83" t="s">
        <v>25</v>
      </c>
      <c r="J439" s="83" t="s">
        <v>27</v>
      </c>
      <c r="K439" s="89" t="s">
        <v>29</v>
      </c>
    </row>
    <row r="440" spans="2:11" x14ac:dyDescent="0.25">
      <c r="B440" s="88">
        <v>435</v>
      </c>
      <c r="C440" s="83" t="s">
        <v>3637</v>
      </c>
      <c r="D440" s="83" t="s">
        <v>26</v>
      </c>
      <c r="E440" s="83" t="s">
        <v>25</v>
      </c>
      <c r="F440" s="83" t="s">
        <v>19</v>
      </c>
      <c r="G440" s="83" t="s">
        <v>20</v>
      </c>
      <c r="H440" s="83" t="s">
        <v>18</v>
      </c>
      <c r="I440" s="83" t="s">
        <v>22</v>
      </c>
      <c r="J440" s="83" t="s">
        <v>30</v>
      </c>
      <c r="K440" s="89" t="s">
        <v>29</v>
      </c>
    </row>
    <row r="441" spans="2:11" x14ac:dyDescent="0.25">
      <c r="B441" s="88">
        <v>436</v>
      </c>
      <c r="C441" s="83" t="s">
        <v>3638</v>
      </c>
      <c r="D441" s="83" t="s">
        <v>26</v>
      </c>
      <c r="E441" s="83" t="s">
        <v>25</v>
      </c>
      <c r="F441" s="83" t="s">
        <v>19</v>
      </c>
      <c r="G441" s="83" t="s">
        <v>20</v>
      </c>
      <c r="H441" s="83" t="s">
        <v>18</v>
      </c>
      <c r="I441" s="83" t="s">
        <v>22</v>
      </c>
      <c r="J441" s="83" t="s">
        <v>30</v>
      </c>
      <c r="K441" s="89" t="s">
        <v>28</v>
      </c>
    </row>
    <row r="442" spans="2:11" x14ac:dyDescent="0.25">
      <c r="B442" s="88">
        <v>437</v>
      </c>
      <c r="C442" s="83" t="s">
        <v>3639</v>
      </c>
      <c r="D442" s="83" t="s">
        <v>26</v>
      </c>
      <c r="E442" s="83" t="s">
        <v>25</v>
      </c>
      <c r="F442" s="83" t="s">
        <v>19</v>
      </c>
      <c r="G442" s="83" t="s">
        <v>20</v>
      </c>
      <c r="H442" s="83" t="s">
        <v>18</v>
      </c>
      <c r="I442" s="83" t="s">
        <v>22</v>
      </c>
      <c r="J442" s="83" t="s">
        <v>28</v>
      </c>
      <c r="K442" s="89" t="s">
        <v>29</v>
      </c>
    </row>
    <row r="443" spans="2:11" x14ac:dyDescent="0.25">
      <c r="B443" s="88">
        <v>438</v>
      </c>
      <c r="C443" s="83" t="s">
        <v>3640</v>
      </c>
      <c r="D443" s="83" t="s">
        <v>26</v>
      </c>
      <c r="E443" s="83" t="s">
        <v>25</v>
      </c>
      <c r="F443" s="83" t="s">
        <v>19</v>
      </c>
      <c r="G443" s="83" t="s">
        <v>20</v>
      </c>
      <c r="H443" s="83" t="s">
        <v>18</v>
      </c>
      <c r="I443" s="83" t="s">
        <v>22</v>
      </c>
      <c r="J443" s="83" t="s">
        <v>30</v>
      </c>
      <c r="K443" s="89" t="s">
        <v>27</v>
      </c>
    </row>
    <row r="444" spans="2:11" x14ac:dyDescent="0.25">
      <c r="B444" s="88">
        <v>439</v>
      </c>
      <c r="C444" s="83" t="s">
        <v>3641</v>
      </c>
      <c r="D444" s="83" t="s">
        <v>26</v>
      </c>
      <c r="E444" s="83" t="s">
        <v>25</v>
      </c>
      <c r="F444" s="83" t="s">
        <v>19</v>
      </c>
      <c r="G444" s="83" t="s">
        <v>20</v>
      </c>
      <c r="H444" s="83" t="s">
        <v>18</v>
      </c>
      <c r="I444" s="83" t="s">
        <v>22</v>
      </c>
      <c r="J444" s="83" t="s">
        <v>27</v>
      </c>
      <c r="K444" s="89" t="s">
        <v>29</v>
      </c>
    </row>
    <row r="445" spans="2:11" x14ac:dyDescent="0.25">
      <c r="B445" s="88">
        <v>440</v>
      </c>
      <c r="C445" s="83" t="s">
        <v>3642</v>
      </c>
      <c r="D445" s="83" t="s">
        <v>26</v>
      </c>
      <c r="E445" s="83" t="s">
        <v>25</v>
      </c>
      <c r="F445" s="83" t="s">
        <v>19</v>
      </c>
      <c r="G445" s="83" t="s">
        <v>20</v>
      </c>
      <c r="H445" s="83" t="s">
        <v>18</v>
      </c>
      <c r="I445" s="83" t="s">
        <v>22</v>
      </c>
      <c r="J445" s="83" t="s">
        <v>27</v>
      </c>
      <c r="K445" s="89" t="s">
        <v>28</v>
      </c>
    </row>
    <row r="446" spans="2:11" x14ac:dyDescent="0.25">
      <c r="B446" s="88">
        <v>441</v>
      </c>
      <c r="C446" s="83" t="s">
        <v>3643</v>
      </c>
      <c r="D446" s="83" t="s">
        <v>20</v>
      </c>
      <c r="E446" s="83" t="s">
        <v>28</v>
      </c>
      <c r="F446" s="83" t="s">
        <v>19</v>
      </c>
      <c r="G446" s="83" t="s">
        <v>22</v>
      </c>
      <c r="H446" s="83" t="s">
        <v>18</v>
      </c>
      <c r="I446" s="83" t="s">
        <v>24</v>
      </c>
      <c r="J446" s="83" t="s">
        <v>30</v>
      </c>
      <c r="K446" s="89" t="s">
        <v>29</v>
      </c>
    </row>
    <row r="447" spans="2:11" x14ac:dyDescent="0.25">
      <c r="B447" s="88">
        <v>442</v>
      </c>
      <c r="C447" s="83" t="s">
        <v>3644</v>
      </c>
      <c r="D447" s="83" t="s">
        <v>20</v>
      </c>
      <c r="E447" s="83" t="s">
        <v>27</v>
      </c>
      <c r="F447" s="83" t="s">
        <v>19</v>
      </c>
      <c r="G447" s="83" t="s">
        <v>22</v>
      </c>
      <c r="H447" s="83" t="s">
        <v>18</v>
      </c>
      <c r="I447" s="83" t="s">
        <v>24</v>
      </c>
      <c r="J447" s="83" t="s">
        <v>30</v>
      </c>
      <c r="K447" s="89" t="s">
        <v>29</v>
      </c>
    </row>
    <row r="448" spans="2:11" x14ac:dyDescent="0.25">
      <c r="B448" s="88">
        <v>443</v>
      </c>
      <c r="C448" s="83" t="s">
        <v>3645</v>
      </c>
      <c r="D448" s="83" t="s">
        <v>20</v>
      </c>
      <c r="E448" s="83" t="s">
        <v>28</v>
      </c>
      <c r="F448" s="83" t="s">
        <v>19</v>
      </c>
      <c r="G448" s="83" t="s">
        <v>22</v>
      </c>
      <c r="H448" s="83" t="s">
        <v>18</v>
      </c>
      <c r="I448" s="83" t="s">
        <v>24</v>
      </c>
      <c r="J448" s="83" t="s">
        <v>30</v>
      </c>
      <c r="K448" s="89" t="s">
        <v>27</v>
      </c>
    </row>
    <row r="449" spans="2:11" x14ac:dyDescent="0.25">
      <c r="B449" s="88">
        <v>444</v>
      </c>
      <c r="C449" s="83" t="s">
        <v>3646</v>
      </c>
      <c r="D449" s="83" t="s">
        <v>20</v>
      </c>
      <c r="E449" s="83" t="s">
        <v>28</v>
      </c>
      <c r="F449" s="83" t="s">
        <v>19</v>
      </c>
      <c r="G449" s="83" t="s">
        <v>22</v>
      </c>
      <c r="H449" s="83" t="s">
        <v>18</v>
      </c>
      <c r="I449" s="83" t="s">
        <v>24</v>
      </c>
      <c r="J449" s="83" t="s">
        <v>27</v>
      </c>
      <c r="K449" s="89" t="s">
        <v>29</v>
      </c>
    </row>
    <row r="450" spans="2:11" x14ac:dyDescent="0.25">
      <c r="B450" s="88">
        <v>445</v>
      </c>
      <c r="C450" s="83" t="s">
        <v>3647</v>
      </c>
      <c r="D450" s="83" t="s">
        <v>26</v>
      </c>
      <c r="E450" s="83" t="s">
        <v>24</v>
      </c>
      <c r="F450" s="83" t="s">
        <v>19</v>
      </c>
      <c r="G450" s="83" t="s">
        <v>20</v>
      </c>
      <c r="H450" s="83" t="s">
        <v>18</v>
      </c>
      <c r="I450" s="83" t="s">
        <v>22</v>
      </c>
      <c r="J450" s="83" t="s">
        <v>30</v>
      </c>
      <c r="K450" s="89" t="s">
        <v>29</v>
      </c>
    </row>
    <row r="451" spans="2:11" x14ac:dyDescent="0.25">
      <c r="B451" s="88">
        <v>446</v>
      </c>
      <c r="C451" s="83" t="s">
        <v>3648</v>
      </c>
      <c r="D451" s="83" t="s">
        <v>20</v>
      </c>
      <c r="E451" s="83" t="s">
        <v>28</v>
      </c>
      <c r="F451" s="83" t="s">
        <v>19</v>
      </c>
      <c r="G451" s="83" t="s">
        <v>22</v>
      </c>
      <c r="H451" s="83" t="s">
        <v>18</v>
      </c>
      <c r="I451" s="83" t="s">
        <v>24</v>
      </c>
      <c r="J451" s="83" t="s">
        <v>30</v>
      </c>
      <c r="K451" s="89" t="s">
        <v>26</v>
      </c>
    </row>
    <row r="452" spans="2:11" x14ac:dyDescent="0.25">
      <c r="B452" s="88">
        <v>447</v>
      </c>
      <c r="C452" s="83" t="s">
        <v>3649</v>
      </c>
      <c r="D452" s="83" t="s">
        <v>26</v>
      </c>
      <c r="E452" s="83" t="s">
        <v>28</v>
      </c>
      <c r="F452" s="83" t="s">
        <v>19</v>
      </c>
      <c r="G452" s="83" t="s">
        <v>20</v>
      </c>
      <c r="H452" s="83" t="s">
        <v>18</v>
      </c>
      <c r="I452" s="83" t="s">
        <v>24</v>
      </c>
      <c r="J452" s="83" t="s">
        <v>22</v>
      </c>
      <c r="K452" s="89" t="s">
        <v>29</v>
      </c>
    </row>
    <row r="453" spans="2:11" x14ac:dyDescent="0.25">
      <c r="B453" s="88">
        <v>448</v>
      </c>
      <c r="C453" s="83" t="s">
        <v>3650</v>
      </c>
      <c r="D453" s="83" t="s">
        <v>26</v>
      </c>
      <c r="E453" s="83" t="s">
        <v>24</v>
      </c>
      <c r="F453" s="83" t="s">
        <v>19</v>
      </c>
      <c r="G453" s="83" t="s">
        <v>20</v>
      </c>
      <c r="H453" s="83" t="s">
        <v>18</v>
      </c>
      <c r="I453" s="83" t="s">
        <v>22</v>
      </c>
      <c r="J453" s="83" t="s">
        <v>30</v>
      </c>
      <c r="K453" s="89" t="s">
        <v>27</v>
      </c>
    </row>
    <row r="454" spans="2:11" x14ac:dyDescent="0.25">
      <c r="B454" s="88">
        <v>449</v>
      </c>
      <c r="C454" s="83" t="s">
        <v>3651</v>
      </c>
      <c r="D454" s="83" t="s">
        <v>26</v>
      </c>
      <c r="E454" s="83" t="s">
        <v>24</v>
      </c>
      <c r="F454" s="83" t="s">
        <v>19</v>
      </c>
      <c r="G454" s="83" t="s">
        <v>20</v>
      </c>
      <c r="H454" s="83" t="s">
        <v>18</v>
      </c>
      <c r="I454" s="83" t="s">
        <v>22</v>
      </c>
      <c r="J454" s="83" t="s">
        <v>27</v>
      </c>
      <c r="K454" s="89" t="s">
        <v>29</v>
      </c>
    </row>
    <row r="455" spans="2:11" x14ac:dyDescent="0.25">
      <c r="B455" s="88">
        <v>450</v>
      </c>
      <c r="C455" s="83" t="s">
        <v>3652</v>
      </c>
      <c r="D455" s="83" t="s">
        <v>26</v>
      </c>
      <c r="E455" s="83" t="s">
        <v>28</v>
      </c>
      <c r="F455" s="83" t="s">
        <v>19</v>
      </c>
      <c r="G455" s="83" t="s">
        <v>20</v>
      </c>
      <c r="H455" s="83" t="s">
        <v>18</v>
      </c>
      <c r="I455" s="83" t="s">
        <v>24</v>
      </c>
      <c r="J455" s="83" t="s">
        <v>22</v>
      </c>
      <c r="K455" s="89" t="s">
        <v>27</v>
      </c>
    </row>
    <row r="456" spans="2:11" x14ac:dyDescent="0.25">
      <c r="B456" s="88">
        <v>451</v>
      </c>
      <c r="C456" s="83" t="s">
        <v>3653</v>
      </c>
      <c r="D456" s="83" t="s">
        <v>20</v>
      </c>
      <c r="E456" s="83" t="s">
        <v>25</v>
      </c>
      <c r="F456" s="83" t="s">
        <v>19</v>
      </c>
      <c r="G456" s="83" t="s">
        <v>22</v>
      </c>
      <c r="H456" s="83" t="s">
        <v>18</v>
      </c>
      <c r="I456" s="83" t="s">
        <v>24</v>
      </c>
      <c r="J456" s="83" t="s">
        <v>30</v>
      </c>
      <c r="K456" s="89" t="s">
        <v>29</v>
      </c>
    </row>
    <row r="457" spans="2:11" x14ac:dyDescent="0.25">
      <c r="B457" s="88">
        <v>452</v>
      </c>
      <c r="C457" s="83" t="s">
        <v>3654</v>
      </c>
      <c r="D457" s="83" t="s">
        <v>20</v>
      </c>
      <c r="E457" s="83" t="s">
        <v>25</v>
      </c>
      <c r="F457" s="83" t="s">
        <v>19</v>
      </c>
      <c r="G457" s="83" t="s">
        <v>22</v>
      </c>
      <c r="H457" s="83" t="s">
        <v>18</v>
      </c>
      <c r="I457" s="83" t="s">
        <v>24</v>
      </c>
      <c r="J457" s="83" t="s">
        <v>30</v>
      </c>
      <c r="K457" s="89" t="s">
        <v>28</v>
      </c>
    </row>
    <row r="458" spans="2:11" x14ac:dyDescent="0.25">
      <c r="B458" s="88">
        <v>453</v>
      </c>
      <c r="C458" s="83" t="s">
        <v>3655</v>
      </c>
      <c r="D458" s="83" t="s">
        <v>20</v>
      </c>
      <c r="E458" s="83" t="s">
        <v>25</v>
      </c>
      <c r="F458" s="83" t="s">
        <v>19</v>
      </c>
      <c r="G458" s="83" t="s">
        <v>22</v>
      </c>
      <c r="H458" s="83" t="s">
        <v>18</v>
      </c>
      <c r="I458" s="83" t="s">
        <v>24</v>
      </c>
      <c r="J458" s="83" t="s">
        <v>28</v>
      </c>
      <c r="K458" s="89" t="s">
        <v>29</v>
      </c>
    </row>
    <row r="459" spans="2:11" x14ac:dyDescent="0.25">
      <c r="B459" s="88">
        <v>454</v>
      </c>
      <c r="C459" s="83" t="s">
        <v>3656</v>
      </c>
      <c r="D459" s="83" t="s">
        <v>20</v>
      </c>
      <c r="E459" s="83" t="s">
        <v>25</v>
      </c>
      <c r="F459" s="83" t="s">
        <v>19</v>
      </c>
      <c r="G459" s="83" t="s">
        <v>22</v>
      </c>
      <c r="H459" s="83" t="s">
        <v>18</v>
      </c>
      <c r="I459" s="83" t="s">
        <v>24</v>
      </c>
      <c r="J459" s="83" t="s">
        <v>30</v>
      </c>
      <c r="K459" s="89" t="s">
        <v>27</v>
      </c>
    </row>
    <row r="460" spans="2:11" x14ac:dyDescent="0.25">
      <c r="B460" s="88">
        <v>455</v>
      </c>
      <c r="C460" s="83" t="s">
        <v>3657</v>
      </c>
      <c r="D460" s="83" t="s">
        <v>20</v>
      </c>
      <c r="E460" s="83" t="s">
        <v>25</v>
      </c>
      <c r="F460" s="83" t="s">
        <v>19</v>
      </c>
      <c r="G460" s="83" t="s">
        <v>22</v>
      </c>
      <c r="H460" s="83" t="s">
        <v>18</v>
      </c>
      <c r="I460" s="83" t="s">
        <v>24</v>
      </c>
      <c r="J460" s="83" t="s">
        <v>27</v>
      </c>
      <c r="K460" s="89" t="s">
        <v>29</v>
      </c>
    </row>
    <row r="461" spans="2:11" x14ac:dyDescent="0.25">
      <c r="B461" s="88">
        <v>456</v>
      </c>
      <c r="C461" s="83" t="s">
        <v>3658</v>
      </c>
      <c r="D461" s="83" t="s">
        <v>20</v>
      </c>
      <c r="E461" s="83" t="s">
        <v>25</v>
      </c>
      <c r="F461" s="83" t="s">
        <v>19</v>
      </c>
      <c r="G461" s="83" t="s">
        <v>22</v>
      </c>
      <c r="H461" s="83" t="s">
        <v>18</v>
      </c>
      <c r="I461" s="83" t="s">
        <v>24</v>
      </c>
      <c r="J461" s="83" t="s">
        <v>27</v>
      </c>
      <c r="K461" s="89" t="s">
        <v>28</v>
      </c>
    </row>
    <row r="462" spans="2:11" x14ac:dyDescent="0.25">
      <c r="B462" s="88">
        <v>457</v>
      </c>
      <c r="C462" s="83" t="s">
        <v>3659</v>
      </c>
      <c r="D462" s="83" t="s">
        <v>20</v>
      </c>
      <c r="E462" s="83" t="s">
        <v>25</v>
      </c>
      <c r="F462" s="83" t="s">
        <v>19</v>
      </c>
      <c r="G462" s="83" t="s">
        <v>22</v>
      </c>
      <c r="H462" s="83" t="s">
        <v>18</v>
      </c>
      <c r="I462" s="83" t="s">
        <v>24</v>
      </c>
      <c r="J462" s="83" t="s">
        <v>30</v>
      </c>
      <c r="K462" s="89" t="s">
        <v>26</v>
      </c>
    </row>
    <row r="463" spans="2:11" x14ac:dyDescent="0.25">
      <c r="B463" s="88">
        <v>458</v>
      </c>
      <c r="C463" s="83" t="s">
        <v>3660</v>
      </c>
      <c r="D463" s="83" t="s">
        <v>26</v>
      </c>
      <c r="E463" s="83" t="s">
        <v>25</v>
      </c>
      <c r="F463" s="83" t="s">
        <v>19</v>
      </c>
      <c r="G463" s="83" t="s">
        <v>20</v>
      </c>
      <c r="H463" s="83" t="s">
        <v>18</v>
      </c>
      <c r="I463" s="83" t="s">
        <v>24</v>
      </c>
      <c r="J463" s="83" t="s">
        <v>22</v>
      </c>
      <c r="K463" s="89" t="s">
        <v>29</v>
      </c>
    </row>
    <row r="464" spans="2:11" x14ac:dyDescent="0.25">
      <c r="B464" s="88">
        <v>459</v>
      </c>
      <c r="C464" s="83" t="s">
        <v>3661</v>
      </c>
      <c r="D464" s="83" t="s">
        <v>26</v>
      </c>
      <c r="E464" s="83" t="s">
        <v>25</v>
      </c>
      <c r="F464" s="83" t="s">
        <v>19</v>
      </c>
      <c r="G464" s="83" t="s">
        <v>20</v>
      </c>
      <c r="H464" s="83" t="s">
        <v>18</v>
      </c>
      <c r="I464" s="83" t="s">
        <v>24</v>
      </c>
      <c r="J464" s="83" t="s">
        <v>22</v>
      </c>
      <c r="K464" s="89" t="s">
        <v>28</v>
      </c>
    </row>
    <row r="465" spans="2:11" x14ac:dyDescent="0.25">
      <c r="B465" s="88">
        <v>460</v>
      </c>
      <c r="C465" s="83" t="s">
        <v>3662</v>
      </c>
      <c r="D465" s="83" t="s">
        <v>26</v>
      </c>
      <c r="E465" s="83" t="s">
        <v>25</v>
      </c>
      <c r="F465" s="83" t="s">
        <v>19</v>
      </c>
      <c r="G465" s="83" t="s">
        <v>20</v>
      </c>
      <c r="H465" s="83" t="s">
        <v>18</v>
      </c>
      <c r="I465" s="83" t="s">
        <v>24</v>
      </c>
      <c r="J465" s="83" t="s">
        <v>22</v>
      </c>
      <c r="K465" s="89" t="s">
        <v>27</v>
      </c>
    </row>
    <row r="466" spans="2:11" x14ac:dyDescent="0.25">
      <c r="B466" s="88">
        <v>461</v>
      </c>
      <c r="C466" s="83" t="s">
        <v>3663</v>
      </c>
      <c r="D466" s="83" t="s">
        <v>23</v>
      </c>
      <c r="E466" s="83" t="s">
        <v>28</v>
      </c>
      <c r="F466" s="83" t="s">
        <v>19</v>
      </c>
      <c r="G466" s="83" t="s">
        <v>20</v>
      </c>
      <c r="H466" s="83" t="s">
        <v>18</v>
      </c>
      <c r="I466" s="83" t="s">
        <v>22</v>
      </c>
      <c r="J466" s="83" t="s">
        <v>30</v>
      </c>
      <c r="K466" s="89" t="s">
        <v>29</v>
      </c>
    </row>
    <row r="467" spans="2:11" x14ac:dyDescent="0.25">
      <c r="B467" s="88">
        <v>462</v>
      </c>
      <c r="C467" s="83" t="s">
        <v>3664</v>
      </c>
      <c r="D467" s="83" t="s">
        <v>23</v>
      </c>
      <c r="E467" s="83" t="s">
        <v>27</v>
      </c>
      <c r="F467" s="83" t="s">
        <v>19</v>
      </c>
      <c r="G467" s="83" t="s">
        <v>20</v>
      </c>
      <c r="H467" s="83" t="s">
        <v>18</v>
      </c>
      <c r="I467" s="83" t="s">
        <v>22</v>
      </c>
      <c r="J467" s="83" t="s">
        <v>30</v>
      </c>
      <c r="K467" s="89" t="s">
        <v>29</v>
      </c>
    </row>
    <row r="468" spans="2:11" x14ac:dyDescent="0.25">
      <c r="B468" s="88">
        <v>463</v>
      </c>
      <c r="C468" s="83" t="s">
        <v>3665</v>
      </c>
      <c r="D468" s="83" t="s">
        <v>23</v>
      </c>
      <c r="E468" s="83" t="s">
        <v>28</v>
      </c>
      <c r="F468" s="83" t="s">
        <v>19</v>
      </c>
      <c r="G468" s="83" t="s">
        <v>20</v>
      </c>
      <c r="H468" s="83" t="s">
        <v>18</v>
      </c>
      <c r="I468" s="83" t="s">
        <v>22</v>
      </c>
      <c r="J468" s="83" t="s">
        <v>30</v>
      </c>
      <c r="K468" s="89" t="s">
        <v>27</v>
      </c>
    </row>
    <row r="469" spans="2:11" x14ac:dyDescent="0.25">
      <c r="B469" s="88">
        <v>464</v>
      </c>
      <c r="C469" s="83" t="s">
        <v>3666</v>
      </c>
      <c r="D469" s="83" t="s">
        <v>23</v>
      </c>
      <c r="E469" s="83" t="s">
        <v>28</v>
      </c>
      <c r="F469" s="83" t="s">
        <v>19</v>
      </c>
      <c r="G469" s="83" t="s">
        <v>20</v>
      </c>
      <c r="H469" s="83" t="s">
        <v>18</v>
      </c>
      <c r="I469" s="83" t="s">
        <v>22</v>
      </c>
      <c r="J469" s="83" t="s">
        <v>27</v>
      </c>
      <c r="K469" s="89" t="s">
        <v>29</v>
      </c>
    </row>
    <row r="470" spans="2:11" x14ac:dyDescent="0.25">
      <c r="B470" s="88">
        <v>465</v>
      </c>
      <c r="C470" s="83" t="s">
        <v>3667</v>
      </c>
      <c r="D470" s="83" t="s">
        <v>26</v>
      </c>
      <c r="E470" s="83" t="s">
        <v>23</v>
      </c>
      <c r="F470" s="83" t="s">
        <v>19</v>
      </c>
      <c r="G470" s="83" t="s">
        <v>20</v>
      </c>
      <c r="H470" s="83" t="s">
        <v>18</v>
      </c>
      <c r="I470" s="83" t="s">
        <v>22</v>
      </c>
      <c r="J470" s="83" t="s">
        <v>30</v>
      </c>
      <c r="K470" s="89" t="s">
        <v>29</v>
      </c>
    </row>
    <row r="471" spans="2:11" x14ac:dyDescent="0.25">
      <c r="B471" s="88">
        <v>466</v>
      </c>
      <c r="C471" s="83" t="s">
        <v>3668</v>
      </c>
      <c r="D471" s="83" t="s">
        <v>26</v>
      </c>
      <c r="E471" s="83" t="s">
        <v>28</v>
      </c>
      <c r="F471" s="83" t="s">
        <v>19</v>
      </c>
      <c r="G471" s="83" t="s">
        <v>20</v>
      </c>
      <c r="H471" s="83" t="s">
        <v>18</v>
      </c>
      <c r="I471" s="83" t="s">
        <v>22</v>
      </c>
      <c r="J471" s="83" t="s">
        <v>30</v>
      </c>
      <c r="K471" s="89" t="s">
        <v>23</v>
      </c>
    </row>
    <row r="472" spans="2:11" x14ac:dyDescent="0.25">
      <c r="B472" s="88">
        <v>467</v>
      </c>
      <c r="C472" s="83" t="s">
        <v>3669</v>
      </c>
      <c r="D472" s="83" t="s">
        <v>26</v>
      </c>
      <c r="E472" s="83" t="s">
        <v>28</v>
      </c>
      <c r="F472" s="83" t="s">
        <v>19</v>
      </c>
      <c r="G472" s="83" t="s">
        <v>20</v>
      </c>
      <c r="H472" s="83" t="s">
        <v>18</v>
      </c>
      <c r="I472" s="83" t="s">
        <v>22</v>
      </c>
      <c r="J472" s="83" t="s">
        <v>23</v>
      </c>
      <c r="K472" s="89" t="s">
        <v>29</v>
      </c>
    </row>
    <row r="473" spans="2:11" x14ac:dyDescent="0.25">
      <c r="B473" s="88">
        <v>468</v>
      </c>
      <c r="C473" s="83" t="s">
        <v>3670</v>
      </c>
      <c r="D473" s="83" t="s">
        <v>26</v>
      </c>
      <c r="E473" s="83" t="s">
        <v>23</v>
      </c>
      <c r="F473" s="83" t="s">
        <v>19</v>
      </c>
      <c r="G473" s="83" t="s">
        <v>20</v>
      </c>
      <c r="H473" s="83" t="s">
        <v>18</v>
      </c>
      <c r="I473" s="83" t="s">
        <v>22</v>
      </c>
      <c r="J473" s="83" t="s">
        <v>30</v>
      </c>
      <c r="K473" s="89" t="s">
        <v>27</v>
      </c>
    </row>
    <row r="474" spans="2:11" x14ac:dyDescent="0.25">
      <c r="B474" s="88">
        <v>469</v>
      </c>
      <c r="C474" s="83" t="s">
        <v>3671</v>
      </c>
      <c r="D474" s="83" t="s">
        <v>26</v>
      </c>
      <c r="E474" s="83" t="s">
        <v>23</v>
      </c>
      <c r="F474" s="83" t="s">
        <v>19</v>
      </c>
      <c r="G474" s="83" t="s">
        <v>20</v>
      </c>
      <c r="H474" s="83" t="s">
        <v>18</v>
      </c>
      <c r="I474" s="83" t="s">
        <v>22</v>
      </c>
      <c r="J474" s="83" t="s">
        <v>27</v>
      </c>
      <c r="K474" s="89" t="s">
        <v>29</v>
      </c>
    </row>
    <row r="475" spans="2:11" x14ac:dyDescent="0.25">
      <c r="B475" s="88">
        <v>470</v>
      </c>
      <c r="C475" s="83" t="s">
        <v>3672</v>
      </c>
      <c r="D475" s="83" t="s">
        <v>26</v>
      </c>
      <c r="E475" s="83" t="s">
        <v>28</v>
      </c>
      <c r="F475" s="83" t="s">
        <v>19</v>
      </c>
      <c r="G475" s="83" t="s">
        <v>20</v>
      </c>
      <c r="H475" s="83" t="s">
        <v>18</v>
      </c>
      <c r="I475" s="83" t="s">
        <v>22</v>
      </c>
      <c r="J475" s="83" t="s">
        <v>23</v>
      </c>
      <c r="K475" s="89" t="s">
        <v>27</v>
      </c>
    </row>
    <row r="476" spans="2:11" x14ac:dyDescent="0.25">
      <c r="B476" s="88">
        <v>471</v>
      </c>
      <c r="C476" s="83" t="s">
        <v>3673</v>
      </c>
      <c r="D476" s="83" t="s">
        <v>23</v>
      </c>
      <c r="E476" s="83" t="s">
        <v>25</v>
      </c>
      <c r="F476" s="83" t="s">
        <v>19</v>
      </c>
      <c r="G476" s="83" t="s">
        <v>20</v>
      </c>
      <c r="H476" s="83" t="s">
        <v>18</v>
      </c>
      <c r="I476" s="83" t="s">
        <v>22</v>
      </c>
      <c r="J476" s="83" t="s">
        <v>30</v>
      </c>
      <c r="K476" s="89" t="s">
        <v>29</v>
      </c>
    </row>
    <row r="477" spans="2:11" x14ac:dyDescent="0.25">
      <c r="B477" s="88">
        <v>472</v>
      </c>
      <c r="C477" s="83" t="s">
        <v>3674</v>
      </c>
      <c r="D477" s="83" t="s">
        <v>23</v>
      </c>
      <c r="E477" s="83" t="s">
        <v>25</v>
      </c>
      <c r="F477" s="83" t="s">
        <v>19</v>
      </c>
      <c r="G477" s="83" t="s">
        <v>20</v>
      </c>
      <c r="H477" s="83" t="s">
        <v>18</v>
      </c>
      <c r="I477" s="83" t="s">
        <v>22</v>
      </c>
      <c r="J477" s="83" t="s">
        <v>30</v>
      </c>
      <c r="K477" s="89" t="s">
        <v>28</v>
      </c>
    </row>
    <row r="478" spans="2:11" x14ac:dyDescent="0.25">
      <c r="B478" s="88">
        <v>473</v>
      </c>
      <c r="C478" s="83" t="s">
        <v>3675</v>
      </c>
      <c r="D478" s="83" t="s">
        <v>23</v>
      </c>
      <c r="E478" s="83" t="s">
        <v>25</v>
      </c>
      <c r="F478" s="83" t="s">
        <v>19</v>
      </c>
      <c r="G478" s="83" t="s">
        <v>20</v>
      </c>
      <c r="H478" s="83" t="s">
        <v>18</v>
      </c>
      <c r="I478" s="83" t="s">
        <v>22</v>
      </c>
      <c r="J478" s="83" t="s">
        <v>28</v>
      </c>
      <c r="K478" s="89" t="s">
        <v>29</v>
      </c>
    </row>
    <row r="479" spans="2:11" x14ac:dyDescent="0.25">
      <c r="B479" s="88">
        <v>474</v>
      </c>
      <c r="C479" s="83" t="s">
        <v>3676</v>
      </c>
      <c r="D479" s="83" t="s">
        <v>23</v>
      </c>
      <c r="E479" s="83" t="s">
        <v>25</v>
      </c>
      <c r="F479" s="83" t="s">
        <v>19</v>
      </c>
      <c r="G479" s="83" t="s">
        <v>20</v>
      </c>
      <c r="H479" s="83" t="s">
        <v>18</v>
      </c>
      <c r="I479" s="83" t="s">
        <v>22</v>
      </c>
      <c r="J479" s="83" t="s">
        <v>30</v>
      </c>
      <c r="K479" s="89" t="s">
        <v>27</v>
      </c>
    </row>
    <row r="480" spans="2:11" x14ac:dyDescent="0.25">
      <c r="B480" s="88">
        <v>475</v>
      </c>
      <c r="C480" s="83" t="s">
        <v>3677</v>
      </c>
      <c r="D480" s="83" t="s">
        <v>23</v>
      </c>
      <c r="E480" s="83" t="s">
        <v>25</v>
      </c>
      <c r="F480" s="83" t="s">
        <v>19</v>
      </c>
      <c r="G480" s="83" t="s">
        <v>20</v>
      </c>
      <c r="H480" s="83" t="s">
        <v>18</v>
      </c>
      <c r="I480" s="83" t="s">
        <v>22</v>
      </c>
      <c r="J480" s="83" t="s">
        <v>27</v>
      </c>
      <c r="K480" s="89" t="s">
        <v>29</v>
      </c>
    </row>
    <row r="481" spans="2:11" x14ac:dyDescent="0.25">
      <c r="B481" s="88">
        <v>476</v>
      </c>
      <c r="C481" s="83" t="s">
        <v>3678</v>
      </c>
      <c r="D481" s="83" t="s">
        <v>23</v>
      </c>
      <c r="E481" s="83" t="s">
        <v>25</v>
      </c>
      <c r="F481" s="83" t="s">
        <v>19</v>
      </c>
      <c r="G481" s="83" t="s">
        <v>20</v>
      </c>
      <c r="H481" s="83" t="s">
        <v>18</v>
      </c>
      <c r="I481" s="83" t="s">
        <v>22</v>
      </c>
      <c r="J481" s="83" t="s">
        <v>27</v>
      </c>
      <c r="K481" s="89" t="s">
        <v>28</v>
      </c>
    </row>
    <row r="482" spans="2:11" x14ac:dyDescent="0.25">
      <c r="B482" s="88">
        <v>477</v>
      </c>
      <c r="C482" s="83" t="s">
        <v>3679</v>
      </c>
      <c r="D482" s="83" t="s">
        <v>26</v>
      </c>
      <c r="E482" s="83" t="s">
        <v>25</v>
      </c>
      <c r="F482" s="83" t="s">
        <v>19</v>
      </c>
      <c r="G482" s="83" t="s">
        <v>20</v>
      </c>
      <c r="H482" s="83" t="s">
        <v>18</v>
      </c>
      <c r="I482" s="83" t="s">
        <v>22</v>
      </c>
      <c r="J482" s="83" t="s">
        <v>30</v>
      </c>
      <c r="K482" s="89" t="s">
        <v>23</v>
      </c>
    </row>
    <row r="483" spans="2:11" x14ac:dyDescent="0.25">
      <c r="B483" s="88">
        <v>478</v>
      </c>
      <c r="C483" s="83" t="s">
        <v>3680</v>
      </c>
      <c r="D483" s="83" t="s">
        <v>26</v>
      </c>
      <c r="E483" s="83" t="s">
        <v>25</v>
      </c>
      <c r="F483" s="83" t="s">
        <v>19</v>
      </c>
      <c r="G483" s="83" t="s">
        <v>20</v>
      </c>
      <c r="H483" s="83" t="s">
        <v>18</v>
      </c>
      <c r="I483" s="83" t="s">
        <v>22</v>
      </c>
      <c r="J483" s="83" t="s">
        <v>23</v>
      </c>
      <c r="K483" s="89" t="s">
        <v>29</v>
      </c>
    </row>
    <row r="484" spans="2:11" x14ac:dyDescent="0.25">
      <c r="B484" s="88">
        <v>479</v>
      </c>
      <c r="C484" s="83" t="s">
        <v>3681</v>
      </c>
      <c r="D484" s="83" t="s">
        <v>26</v>
      </c>
      <c r="E484" s="83" t="s">
        <v>25</v>
      </c>
      <c r="F484" s="83" t="s">
        <v>19</v>
      </c>
      <c r="G484" s="83" t="s">
        <v>20</v>
      </c>
      <c r="H484" s="83" t="s">
        <v>18</v>
      </c>
      <c r="I484" s="83" t="s">
        <v>22</v>
      </c>
      <c r="J484" s="83" t="s">
        <v>23</v>
      </c>
      <c r="K484" s="89" t="s">
        <v>28</v>
      </c>
    </row>
    <row r="485" spans="2:11" x14ac:dyDescent="0.25">
      <c r="B485" s="88">
        <v>480</v>
      </c>
      <c r="C485" s="83" t="s">
        <v>3682</v>
      </c>
      <c r="D485" s="83" t="s">
        <v>26</v>
      </c>
      <c r="E485" s="83" t="s">
        <v>25</v>
      </c>
      <c r="F485" s="83" t="s">
        <v>19</v>
      </c>
      <c r="G485" s="83" t="s">
        <v>20</v>
      </c>
      <c r="H485" s="83" t="s">
        <v>18</v>
      </c>
      <c r="I485" s="83" t="s">
        <v>22</v>
      </c>
      <c r="J485" s="83" t="s">
        <v>23</v>
      </c>
      <c r="K485" s="89" t="s">
        <v>27</v>
      </c>
    </row>
    <row r="486" spans="2:11" x14ac:dyDescent="0.25">
      <c r="B486" s="88">
        <v>481</v>
      </c>
      <c r="C486" s="83" t="s">
        <v>3683</v>
      </c>
      <c r="D486" s="83" t="s">
        <v>20</v>
      </c>
      <c r="E486" s="83" t="s">
        <v>23</v>
      </c>
      <c r="F486" s="83" t="s">
        <v>19</v>
      </c>
      <c r="G486" s="83" t="s">
        <v>22</v>
      </c>
      <c r="H486" s="83" t="s">
        <v>18</v>
      </c>
      <c r="I486" s="83" t="s">
        <v>24</v>
      </c>
      <c r="J486" s="83" t="s">
        <v>30</v>
      </c>
      <c r="K486" s="89" t="s">
        <v>29</v>
      </c>
    </row>
    <row r="487" spans="2:11" x14ac:dyDescent="0.25">
      <c r="B487" s="88">
        <v>482</v>
      </c>
      <c r="C487" s="83" t="s">
        <v>3684</v>
      </c>
      <c r="D487" s="83" t="s">
        <v>20</v>
      </c>
      <c r="E487" s="83" t="s">
        <v>28</v>
      </c>
      <c r="F487" s="83" t="s">
        <v>19</v>
      </c>
      <c r="G487" s="83" t="s">
        <v>22</v>
      </c>
      <c r="H487" s="83" t="s">
        <v>18</v>
      </c>
      <c r="I487" s="83" t="s">
        <v>24</v>
      </c>
      <c r="J487" s="83" t="s">
        <v>30</v>
      </c>
      <c r="K487" s="89" t="s">
        <v>23</v>
      </c>
    </row>
    <row r="488" spans="2:11" x14ac:dyDescent="0.25">
      <c r="B488" s="88">
        <v>483</v>
      </c>
      <c r="C488" s="83" t="s">
        <v>3685</v>
      </c>
      <c r="D488" s="83" t="s">
        <v>20</v>
      </c>
      <c r="E488" s="83" t="s">
        <v>28</v>
      </c>
      <c r="F488" s="83" t="s">
        <v>19</v>
      </c>
      <c r="G488" s="83" t="s">
        <v>22</v>
      </c>
      <c r="H488" s="83" t="s">
        <v>18</v>
      </c>
      <c r="I488" s="83" t="s">
        <v>24</v>
      </c>
      <c r="J488" s="83" t="s">
        <v>23</v>
      </c>
      <c r="K488" s="89" t="s">
        <v>29</v>
      </c>
    </row>
    <row r="489" spans="2:11" x14ac:dyDescent="0.25">
      <c r="B489" s="88">
        <v>484</v>
      </c>
      <c r="C489" s="83" t="s">
        <v>3686</v>
      </c>
      <c r="D489" s="83" t="s">
        <v>20</v>
      </c>
      <c r="E489" s="83" t="s">
        <v>23</v>
      </c>
      <c r="F489" s="83" t="s">
        <v>19</v>
      </c>
      <c r="G489" s="83" t="s">
        <v>22</v>
      </c>
      <c r="H489" s="83" t="s">
        <v>18</v>
      </c>
      <c r="I489" s="83" t="s">
        <v>24</v>
      </c>
      <c r="J489" s="83" t="s">
        <v>30</v>
      </c>
      <c r="K489" s="89" t="s">
        <v>27</v>
      </c>
    </row>
    <row r="490" spans="2:11" x14ac:dyDescent="0.25">
      <c r="B490" s="88">
        <v>485</v>
      </c>
      <c r="C490" s="83" t="s">
        <v>3687</v>
      </c>
      <c r="D490" s="83" t="s">
        <v>20</v>
      </c>
      <c r="E490" s="83" t="s">
        <v>23</v>
      </c>
      <c r="F490" s="83" t="s">
        <v>19</v>
      </c>
      <c r="G490" s="83" t="s">
        <v>22</v>
      </c>
      <c r="H490" s="83" t="s">
        <v>18</v>
      </c>
      <c r="I490" s="83" t="s">
        <v>24</v>
      </c>
      <c r="J490" s="83" t="s">
        <v>27</v>
      </c>
      <c r="K490" s="89" t="s">
        <v>29</v>
      </c>
    </row>
    <row r="491" spans="2:11" x14ac:dyDescent="0.25">
      <c r="B491" s="88">
        <v>486</v>
      </c>
      <c r="C491" s="83" t="s">
        <v>3688</v>
      </c>
      <c r="D491" s="83" t="s">
        <v>20</v>
      </c>
      <c r="E491" s="83" t="s">
        <v>28</v>
      </c>
      <c r="F491" s="83" t="s">
        <v>19</v>
      </c>
      <c r="G491" s="83" t="s">
        <v>22</v>
      </c>
      <c r="H491" s="83" t="s">
        <v>18</v>
      </c>
      <c r="I491" s="83" t="s">
        <v>24</v>
      </c>
      <c r="J491" s="83" t="s">
        <v>23</v>
      </c>
      <c r="K491" s="89" t="s">
        <v>27</v>
      </c>
    </row>
    <row r="492" spans="2:11" x14ac:dyDescent="0.25">
      <c r="B492" s="88">
        <v>487</v>
      </c>
      <c r="C492" s="83" t="s">
        <v>3689</v>
      </c>
      <c r="D492" s="83" t="s">
        <v>26</v>
      </c>
      <c r="E492" s="83" t="s">
        <v>24</v>
      </c>
      <c r="F492" s="83" t="s">
        <v>19</v>
      </c>
      <c r="G492" s="83" t="s">
        <v>20</v>
      </c>
      <c r="H492" s="83" t="s">
        <v>18</v>
      </c>
      <c r="I492" s="83" t="s">
        <v>22</v>
      </c>
      <c r="J492" s="83" t="s">
        <v>30</v>
      </c>
      <c r="K492" s="89" t="s">
        <v>23</v>
      </c>
    </row>
    <row r="493" spans="2:11" x14ac:dyDescent="0.25">
      <c r="B493" s="88">
        <v>488</v>
      </c>
      <c r="C493" s="83" t="s">
        <v>3690</v>
      </c>
      <c r="D493" s="83" t="s">
        <v>26</v>
      </c>
      <c r="E493" s="83" t="s">
        <v>23</v>
      </c>
      <c r="F493" s="83" t="s">
        <v>19</v>
      </c>
      <c r="G493" s="83" t="s">
        <v>20</v>
      </c>
      <c r="H493" s="83" t="s">
        <v>18</v>
      </c>
      <c r="I493" s="83" t="s">
        <v>24</v>
      </c>
      <c r="J493" s="83" t="s">
        <v>22</v>
      </c>
      <c r="K493" s="89" t="s">
        <v>29</v>
      </c>
    </row>
    <row r="494" spans="2:11" x14ac:dyDescent="0.25">
      <c r="B494" s="88">
        <v>489</v>
      </c>
      <c r="C494" s="83" t="s">
        <v>3691</v>
      </c>
      <c r="D494" s="83" t="s">
        <v>26</v>
      </c>
      <c r="E494" s="83" t="s">
        <v>28</v>
      </c>
      <c r="F494" s="83" t="s">
        <v>19</v>
      </c>
      <c r="G494" s="83" t="s">
        <v>20</v>
      </c>
      <c r="H494" s="83" t="s">
        <v>18</v>
      </c>
      <c r="I494" s="83" t="s">
        <v>24</v>
      </c>
      <c r="J494" s="83" t="s">
        <v>22</v>
      </c>
      <c r="K494" s="89" t="s">
        <v>23</v>
      </c>
    </row>
    <row r="495" spans="2:11" x14ac:dyDescent="0.25">
      <c r="B495" s="88">
        <v>490</v>
      </c>
      <c r="C495" s="83" t="s">
        <v>3692</v>
      </c>
      <c r="D495" s="83" t="s">
        <v>26</v>
      </c>
      <c r="E495" s="83" t="s">
        <v>23</v>
      </c>
      <c r="F495" s="83" t="s">
        <v>19</v>
      </c>
      <c r="G495" s="83" t="s">
        <v>20</v>
      </c>
      <c r="H495" s="83" t="s">
        <v>18</v>
      </c>
      <c r="I495" s="83" t="s">
        <v>24</v>
      </c>
      <c r="J495" s="83" t="s">
        <v>22</v>
      </c>
      <c r="K495" s="89" t="s">
        <v>27</v>
      </c>
    </row>
    <row r="496" spans="2:11" x14ac:dyDescent="0.25">
      <c r="B496" s="88">
        <v>491</v>
      </c>
      <c r="C496" s="83" t="s">
        <v>3693</v>
      </c>
      <c r="D496" s="83" t="s">
        <v>20</v>
      </c>
      <c r="E496" s="83" t="s">
        <v>25</v>
      </c>
      <c r="F496" s="83" t="s">
        <v>19</v>
      </c>
      <c r="G496" s="83" t="s">
        <v>22</v>
      </c>
      <c r="H496" s="83" t="s">
        <v>18</v>
      </c>
      <c r="I496" s="83" t="s">
        <v>24</v>
      </c>
      <c r="J496" s="83" t="s">
        <v>30</v>
      </c>
      <c r="K496" s="89" t="s">
        <v>23</v>
      </c>
    </row>
    <row r="497" spans="2:11" x14ac:dyDescent="0.25">
      <c r="B497" s="88">
        <v>492</v>
      </c>
      <c r="C497" s="83" t="s">
        <v>3694</v>
      </c>
      <c r="D497" s="83" t="s">
        <v>20</v>
      </c>
      <c r="E497" s="83" t="s">
        <v>25</v>
      </c>
      <c r="F497" s="83" t="s">
        <v>19</v>
      </c>
      <c r="G497" s="83" t="s">
        <v>22</v>
      </c>
      <c r="H497" s="83" t="s">
        <v>18</v>
      </c>
      <c r="I497" s="83" t="s">
        <v>24</v>
      </c>
      <c r="J497" s="83" t="s">
        <v>23</v>
      </c>
      <c r="K497" s="89" t="s">
        <v>29</v>
      </c>
    </row>
    <row r="498" spans="2:11" x14ac:dyDescent="0.25">
      <c r="B498" s="88">
        <v>493</v>
      </c>
      <c r="C498" s="83" t="s">
        <v>3695</v>
      </c>
      <c r="D498" s="83" t="s">
        <v>20</v>
      </c>
      <c r="E498" s="83" t="s">
        <v>25</v>
      </c>
      <c r="F498" s="83" t="s">
        <v>19</v>
      </c>
      <c r="G498" s="83" t="s">
        <v>22</v>
      </c>
      <c r="H498" s="83" t="s">
        <v>18</v>
      </c>
      <c r="I498" s="83" t="s">
        <v>24</v>
      </c>
      <c r="J498" s="83" t="s">
        <v>23</v>
      </c>
      <c r="K498" s="89" t="s">
        <v>28</v>
      </c>
    </row>
    <row r="499" spans="2:11" x14ac:dyDescent="0.25">
      <c r="B499" s="88">
        <v>494</v>
      </c>
      <c r="C499" s="83" t="s">
        <v>3696</v>
      </c>
      <c r="D499" s="83" t="s">
        <v>20</v>
      </c>
      <c r="E499" s="83" t="s">
        <v>25</v>
      </c>
      <c r="F499" s="83" t="s">
        <v>19</v>
      </c>
      <c r="G499" s="83" t="s">
        <v>22</v>
      </c>
      <c r="H499" s="83" t="s">
        <v>18</v>
      </c>
      <c r="I499" s="83" t="s">
        <v>24</v>
      </c>
      <c r="J499" s="83" t="s">
        <v>23</v>
      </c>
      <c r="K499" s="89" t="s">
        <v>27</v>
      </c>
    </row>
    <row r="500" spans="2:11" x14ac:dyDescent="0.25">
      <c r="B500" s="90">
        <v>495</v>
      </c>
      <c r="C500" s="91" t="s">
        <v>3697</v>
      </c>
      <c r="D500" s="91" t="s">
        <v>26</v>
      </c>
      <c r="E500" s="91" t="s">
        <v>25</v>
      </c>
      <c r="F500" s="91" t="s">
        <v>19</v>
      </c>
      <c r="G500" s="91" t="s">
        <v>20</v>
      </c>
      <c r="H500" s="91" t="s">
        <v>18</v>
      </c>
      <c r="I500" s="91" t="s">
        <v>24</v>
      </c>
      <c r="J500" s="91" t="s">
        <v>22</v>
      </c>
      <c r="K500" s="92" t="s">
        <v>23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2" sqref="F32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N167"/>
  <sheetViews>
    <sheetView showGridLines="0" view="pageBreakPreview" topLeftCell="A141" zoomScaleNormal="100" zoomScaleSheetLayoutView="100" workbookViewId="0">
      <selection activeCell="L26" sqref="L26"/>
    </sheetView>
  </sheetViews>
  <sheetFormatPr defaultRowHeight="12.75" x14ac:dyDescent="0.2"/>
  <cols>
    <col min="1" max="1" width="3.140625" style="131" customWidth="1"/>
    <col min="2" max="2" width="9.140625" style="131" customWidth="1"/>
    <col min="3" max="3" width="14" style="131" customWidth="1"/>
    <col min="4" max="4" width="16.42578125" style="131" bestFit="1" customWidth="1"/>
    <col min="5" max="5" width="12.5703125" style="131" customWidth="1"/>
    <col min="6" max="6" width="14.42578125" style="131" bestFit="1" customWidth="1"/>
    <col min="7" max="9" width="9.140625" style="131" customWidth="1"/>
    <col min="10" max="10" width="12.140625" style="131" customWidth="1"/>
    <col min="11" max="13" width="9.140625" style="131" customWidth="1"/>
    <col min="14" max="14" width="4.5703125" style="131" customWidth="1"/>
    <col min="15" max="15" width="9.140625" style="131" customWidth="1"/>
    <col min="16" max="16384" width="9.140625" style="131"/>
  </cols>
  <sheetData>
    <row r="2" spans="2:14" x14ac:dyDescent="0.2">
      <c r="B2" s="131" t="s">
        <v>3698</v>
      </c>
    </row>
    <row r="3" spans="2:14" x14ac:dyDescent="0.2">
      <c r="B3" s="132" t="s">
        <v>3699</v>
      </c>
      <c r="C3" s="133" t="s">
        <v>3700</v>
      </c>
      <c r="D3" s="133" t="s">
        <v>3701</v>
      </c>
      <c r="E3" s="132" t="s">
        <v>3702</v>
      </c>
      <c r="I3" s="131" t="s">
        <v>3703</v>
      </c>
    </row>
    <row r="4" spans="2:14" x14ac:dyDescent="0.2">
      <c r="B4" s="132">
        <v>1</v>
      </c>
      <c r="C4" s="133" t="str">
        <f>+'2026 World Cup'!E7</f>
        <v>Mexico</v>
      </c>
      <c r="D4" s="133" t="str">
        <f>+'2026 World Cup'!H7</f>
        <v>Sør-Afrika</v>
      </c>
      <c r="E4" s="134" t="str">
        <f>+IF('2026 World Cup'!F7&gt;'2026 World Cup'!G7,"H",IF('2026 World Cup'!F7='2026 World Cup'!G7,"U",IF('2026 World Cup'!G7&gt;'2026 World Cup'!F7,"B",0)))</f>
        <v>H</v>
      </c>
      <c r="I4" s="135" t="s">
        <v>3704</v>
      </c>
      <c r="J4" s="136"/>
      <c r="K4" s="136"/>
      <c r="L4" s="136" t="s">
        <v>3705</v>
      </c>
      <c r="M4" s="136"/>
      <c r="N4" s="137"/>
    </row>
    <row r="5" spans="2:14" x14ac:dyDescent="0.2">
      <c r="B5" s="132">
        <f t="shared" ref="B5:B36" si="0">+B4+1</f>
        <v>2</v>
      </c>
      <c r="C5" s="133" t="str">
        <f>+'2026 World Cup'!E8</f>
        <v>Sør-Korea</v>
      </c>
      <c r="D5" s="133" t="str">
        <f>+'2026 World Cup'!H8</f>
        <v>Tsjekkia</v>
      </c>
      <c r="E5" s="134" t="str">
        <f>+IF('2026 World Cup'!F8&gt;'2026 World Cup'!G8,"H",IF('2026 World Cup'!F8='2026 World Cup'!G8,"U",IF('2026 World Cup'!G8&gt;'2026 World Cup'!F8,"B",0)))</f>
        <v>U</v>
      </c>
      <c r="I5" s="138" t="str">
        <f>+B2</f>
        <v>Resultater gruppespill</v>
      </c>
      <c r="J5" s="139"/>
      <c r="K5" s="139"/>
      <c r="L5" s="139" t="s">
        <v>3706</v>
      </c>
      <c r="M5" s="139"/>
      <c r="N5" s="140"/>
    </row>
    <row r="6" spans="2:14" x14ac:dyDescent="0.2">
      <c r="B6" s="132">
        <f t="shared" si="0"/>
        <v>3</v>
      </c>
      <c r="C6" s="133" t="str">
        <f>+'2026 World Cup'!E9</f>
        <v>Canada</v>
      </c>
      <c r="D6" s="133" t="str">
        <f>+'2026 World Cup'!H9</f>
        <v>Bosnia-Hercegovina</v>
      </c>
      <c r="E6" s="134" t="str">
        <f>+IF('2026 World Cup'!F9&gt;'2026 World Cup'!G9,"H",IF('2026 World Cup'!F9='2026 World Cup'!G9,"U",IF('2026 World Cup'!G9&gt;'2026 World Cup'!F9,"B",0)))</f>
        <v>U</v>
      </c>
      <c r="I6" s="138" t="str">
        <f>+D77</f>
        <v>Gruppevinnere</v>
      </c>
      <c r="J6" s="139"/>
      <c r="K6" s="139"/>
      <c r="L6" s="139" t="s">
        <v>3707</v>
      </c>
      <c r="M6" s="139"/>
      <c r="N6" s="140"/>
    </row>
    <row r="7" spans="2:14" x14ac:dyDescent="0.2">
      <c r="B7" s="132">
        <f t="shared" si="0"/>
        <v>4</v>
      </c>
      <c r="C7" s="133" t="str">
        <f>+'2026 World Cup'!E10</f>
        <v>USA</v>
      </c>
      <c r="D7" s="133" t="str">
        <f>+'2026 World Cup'!H10</f>
        <v>Paraguay</v>
      </c>
      <c r="E7" s="134" t="str">
        <f>+IF('2026 World Cup'!F10&gt;'2026 World Cup'!G10,"H",IF('2026 World Cup'!F10='2026 World Cup'!G10,"U",IF('2026 World Cup'!G10&gt;'2026 World Cup'!F10,"B",0)))</f>
        <v>H</v>
      </c>
      <c r="I7" s="138" t="s">
        <v>3708</v>
      </c>
      <c r="J7" s="139"/>
      <c r="K7" s="139"/>
      <c r="L7" s="139" t="s">
        <v>3706</v>
      </c>
      <c r="M7" s="139"/>
      <c r="N7" s="139"/>
    </row>
    <row r="8" spans="2:14" x14ac:dyDescent="0.2">
      <c r="B8" s="132">
        <f t="shared" si="0"/>
        <v>5</v>
      </c>
      <c r="C8" s="133" t="str">
        <f>+'2026 World Cup'!E11</f>
        <v>Haiti</v>
      </c>
      <c r="D8" s="133" t="str">
        <f>+'2026 World Cup'!H11</f>
        <v>Skottland</v>
      </c>
      <c r="E8" s="134" t="str">
        <f>+IF('2026 World Cup'!F11&gt;'2026 World Cup'!G11,"H",IF('2026 World Cup'!F11='2026 World Cup'!G11,"U",IF('2026 World Cup'!G11&gt;'2026 World Cup'!F11,"B",0)))</f>
        <v>B</v>
      </c>
      <c r="I8" s="138" t="str">
        <f>+D125</f>
        <v>Land videre til 8-dels finale</v>
      </c>
      <c r="J8" s="139"/>
      <c r="K8" s="139"/>
      <c r="L8" s="139" t="s">
        <v>3709</v>
      </c>
      <c r="M8" s="139"/>
      <c r="N8" s="140"/>
    </row>
    <row r="9" spans="2:14" x14ac:dyDescent="0.2">
      <c r="B9" s="132">
        <f t="shared" si="0"/>
        <v>6</v>
      </c>
      <c r="C9" s="133" t="str">
        <f>+'2026 World Cup'!E12</f>
        <v>Australia</v>
      </c>
      <c r="D9" s="133" t="str">
        <f>+'2026 World Cup'!H12</f>
        <v>Tyrkia</v>
      </c>
      <c r="E9" s="134" t="str">
        <f>+IF('2026 World Cup'!F12&gt;'2026 World Cup'!G12,"H",IF('2026 World Cup'!F12='2026 World Cup'!G12,"U",IF('2026 World Cup'!G12&gt;'2026 World Cup'!F12,"B",0)))</f>
        <v>B</v>
      </c>
      <c r="I9" s="138" t="s">
        <v>3710</v>
      </c>
      <c r="J9" s="139"/>
      <c r="K9" s="139"/>
      <c r="L9" s="139" t="s">
        <v>3707</v>
      </c>
      <c r="M9" s="139"/>
      <c r="N9" s="140"/>
    </row>
    <row r="10" spans="2:14" x14ac:dyDescent="0.2">
      <c r="B10" s="132">
        <f t="shared" si="0"/>
        <v>7</v>
      </c>
      <c r="C10" s="133" t="str">
        <f>+'2026 World Cup'!E13</f>
        <v>Brasil</v>
      </c>
      <c r="D10" s="133" t="str">
        <f>+'2026 World Cup'!H13</f>
        <v>Marokko</v>
      </c>
      <c r="E10" s="134" t="str">
        <f>+IF('2026 World Cup'!F13&gt;'2026 World Cup'!G13,"H",IF('2026 World Cup'!F13='2026 World Cup'!G13,"U",IF('2026 World Cup'!G13&gt;'2026 World Cup'!F13,"B",0)))</f>
        <v>U</v>
      </c>
      <c r="I10" s="138" t="s">
        <v>3711</v>
      </c>
      <c r="J10" s="139"/>
      <c r="K10" s="139"/>
      <c r="L10" s="139" t="s">
        <v>3712</v>
      </c>
      <c r="M10" s="139"/>
      <c r="N10" s="140"/>
    </row>
    <row r="11" spans="2:14" x14ac:dyDescent="0.2">
      <c r="B11" s="132">
        <f t="shared" si="0"/>
        <v>8</v>
      </c>
      <c r="C11" s="133" t="str">
        <f>+'2026 World Cup'!E14</f>
        <v>Qatar</v>
      </c>
      <c r="D11" s="133" t="str">
        <f>+'2026 World Cup'!H14</f>
        <v>Sveits</v>
      </c>
      <c r="E11" s="134" t="str">
        <f>+IF('2026 World Cup'!F14&gt;'2026 World Cup'!G14,"H",IF('2026 World Cup'!F14='2026 World Cup'!G14,"U",IF('2026 World Cup'!G14&gt;'2026 World Cup'!F14,"B",0)))</f>
        <v>B</v>
      </c>
      <c r="I11" s="138" t="s">
        <v>3713</v>
      </c>
      <c r="J11" s="139"/>
      <c r="K11" s="139"/>
      <c r="L11" s="139" t="s">
        <v>3706</v>
      </c>
      <c r="M11" s="139"/>
      <c r="N11" s="140"/>
    </row>
    <row r="12" spans="2:14" x14ac:dyDescent="0.2">
      <c r="B12" s="132">
        <f t="shared" si="0"/>
        <v>9</v>
      </c>
      <c r="C12" s="133" t="str">
        <f>+'2026 World Cup'!E15</f>
        <v>Elfenbenskysten</v>
      </c>
      <c r="D12" s="133" t="str">
        <f>+'2026 World Cup'!H15</f>
        <v>Ecuador</v>
      </c>
      <c r="E12" s="134" t="str">
        <f>+IF('2026 World Cup'!F15&gt;'2026 World Cup'!G15,"H",IF('2026 World Cup'!F15='2026 World Cup'!G15,"U",IF('2026 World Cup'!G15&gt;'2026 World Cup'!F15,"B",0)))</f>
        <v>U</v>
      </c>
      <c r="I12" s="138" t="s">
        <v>3714</v>
      </c>
      <c r="J12" s="139"/>
      <c r="K12" s="139"/>
      <c r="L12" s="139" t="s">
        <v>3715</v>
      </c>
      <c r="M12" s="139"/>
      <c r="N12" s="140"/>
    </row>
    <row r="13" spans="2:14" x14ac:dyDescent="0.2">
      <c r="B13" s="132">
        <f t="shared" si="0"/>
        <v>10</v>
      </c>
      <c r="C13" s="133" t="str">
        <f>+'2026 World Cup'!E16</f>
        <v>Tyskland</v>
      </c>
      <c r="D13" s="133" t="str">
        <f>+'2026 World Cup'!H16</f>
        <v>Curaçao</v>
      </c>
      <c r="E13" s="134" t="str">
        <f>+IF('2026 World Cup'!F16&gt;'2026 World Cup'!G16,"H",IF('2026 World Cup'!F16='2026 World Cup'!G16,"U",IF('2026 World Cup'!G16&gt;'2026 World Cup'!F16,"B",0)))</f>
        <v>H</v>
      </c>
      <c r="I13" s="138" t="s">
        <v>3716</v>
      </c>
      <c r="J13" s="139"/>
      <c r="K13" s="139"/>
      <c r="L13" s="139" t="s">
        <v>3717</v>
      </c>
      <c r="M13" s="139"/>
      <c r="N13" s="140"/>
    </row>
    <row r="14" spans="2:14" x14ac:dyDescent="0.2">
      <c r="B14" s="132">
        <f t="shared" si="0"/>
        <v>11</v>
      </c>
      <c r="C14" s="133" t="str">
        <f>+'2026 World Cup'!E17</f>
        <v>Nederland</v>
      </c>
      <c r="D14" s="133" t="str">
        <f>+'2026 World Cup'!H17</f>
        <v>Japan</v>
      </c>
      <c r="E14" s="134" t="str">
        <f>+IF('2026 World Cup'!F17&gt;'2026 World Cup'!G17,"H",IF('2026 World Cup'!F17='2026 World Cup'!G17,"U",IF('2026 World Cup'!G17&gt;'2026 World Cup'!F17,"B",0)))</f>
        <v>B</v>
      </c>
      <c r="I14" s="138" t="s">
        <v>3718</v>
      </c>
      <c r="J14" s="139"/>
      <c r="K14" s="139"/>
      <c r="L14" s="139" t="s">
        <v>3719</v>
      </c>
      <c r="M14" s="139"/>
      <c r="N14" s="140"/>
    </row>
    <row r="15" spans="2:14" x14ac:dyDescent="0.2">
      <c r="B15" s="132">
        <f t="shared" si="0"/>
        <v>12</v>
      </c>
      <c r="C15" s="133" t="str">
        <f>+'2026 World Cup'!E18</f>
        <v>Sverige</v>
      </c>
      <c r="D15" s="133" t="str">
        <f>+'2026 World Cup'!H18</f>
        <v>Tunisia</v>
      </c>
      <c r="E15" s="134" t="str">
        <f>+IF('2026 World Cup'!F18&gt;'2026 World Cup'!G18,"H",IF('2026 World Cup'!F18='2026 World Cup'!G18,"U",IF('2026 World Cup'!G18&gt;'2026 World Cup'!F18,"B",0)))</f>
        <v>H</v>
      </c>
      <c r="I15" s="138"/>
      <c r="J15" s="139"/>
      <c r="K15" s="139"/>
      <c r="L15" s="139"/>
      <c r="M15" s="139"/>
      <c r="N15" s="140"/>
    </row>
    <row r="16" spans="2:14" x14ac:dyDescent="0.2">
      <c r="B16" s="132">
        <f t="shared" si="0"/>
        <v>13</v>
      </c>
      <c r="C16" s="133" t="str">
        <f>+'2026 World Cup'!E19</f>
        <v>Saudi-Arabia</v>
      </c>
      <c r="D16" s="133" t="str">
        <f>+'2026 World Cup'!H19</f>
        <v>Uruguay</v>
      </c>
      <c r="E16" s="134" t="str">
        <f>+IF('2026 World Cup'!F19&gt;'2026 World Cup'!G19,"H",IF('2026 World Cup'!F19='2026 World Cup'!G19,"U",IF('2026 World Cup'!G19&gt;'2026 World Cup'!F19,"B",0)))</f>
        <v>B</v>
      </c>
      <c r="I16" s="138" t="s">
        <v>3720</v>
      </c>
      <c r="J16" s="139"/>
      <c r="K16" s="139"/>
      <c r="L16" s="139" t="s">
        <v>3705</v>
      </c>
      <c r="M16" s="139"/>
      <c r="N16" s="140"/>
    </row>
    <row r="17" spans="2:14" x14ac:dyDescent="0.2">
      <c r="B17" s="132">
        <f t="shared" si="0"/>
        <v>14</v>
      </c>
      <c r="C17" s="133" t="str">
        <f>+'2026 World Cup'!E20</f>
        <v>Spania</v>
      </c>
      <c r="D17" s="133" t="str">
        <f>+'2026 World Cup'!H20</f>
        <v>Kapp Verde</v>
      </c>
      <c r="E17" s="134" t="str">
        <f>+IF('2026 World Cup'!F20&gt;'2026 World Cup'!G20,"H",IF('2026 World Cup'!F20='2026 World Cup'!G20,"U",IF('2026 World Cup'!G20&gt;'2026 World Cup'!F20,"B",0)))</f>
        <v>H</v>
      </c>
      <c r="I17" s="138" t="s">
        <v>3721</v>
      </c>
      <c r="J17" s="139"/>
      <c r="K17" s="139"/>
      <c r="L17" s="139" t="s">
        <v>3719</v>
      </c>
      <c r="M17" s="139"/>
      <c r="N17" s="140"/>
    </row>
    <row r="18" spans="2:14" x14ac:dyDescent="0.2">
      <c r="B18" s="132">
        <f t="shared" si="0"/>
        <v>15</v>
      </c>
      <c r="C18" s="133" t="str">
        <f>+'2026 World Cup'!E21</f>
        <v>Iran</v>
      </c>
      <c r="D18" s="133" t="str">
        <f>+'2026 World Cup'!H21</f>
        <v>New Zealand</v>
      </c>
      <c r="E18" s="134" t="str">
        <f>+IF('2026 World Cup'!F21&gt;'2026 World Cup'!G21,"H",IF('2026 World Cup'!F21='2026 World Cup'!G21,"U",IF('2026 World Cup'!G21&gt;'2026 World Cup'!F21,"B",0)))</f>
        <v>H</v>
      </c>
      <c r="I18" s="138" t="s">
        <v>3722</v>
      </c>
      <c r="J18" s="139"/>
      <c r="K18" s="139"/>
      <c r="L18" s="139" t="s">
        <v>3723</v>
      </c>
      <c r="M18" s="139"/>
      <c r="N18" s="140"/>
    </row>
    <row r="19" spans="2:14" x14ac:dyDescent="0.2">
      <c r="B19" s="132">
        <f t="shared" si="0"/>
        <v>16</v>
      </c>
      <c r="C19" s="133" t="str">
        <f>+'2026 World Cup'!E22</f>
        <v>Belgia</v>
      </c>
      <c r="D19" s="133" t="str">
        <f>+'2026 World Cup'!H22</f>
        <v>Egypt</v>
      </c>
      <c r="E19" s="134" t="str">
        <f>+IF('2026 World Cup'!F22&gt;'2026 World Cup'!G22,"H",IF('2026 World Cup'!F22='2026 World Cup'!G22,"U",IF('2026 World Cup'!G22&gt;'2026 World Cup'!F22,"B",0)))</f>
        <v>H</v>
      </c>
      <c r="I19" s="138" t="s">
        <v>3724</v>
      </c>
      <c r="J19" s="139"/>
      <c r="K19" s="139"/>
      <c r="L19" s="139" t="s">
        <v>3725</v>
      </c>
      <c r="M19" s="139"/>
      <c r="N19" s="140"/>
    </row>
    <row r="20" spans="2:14" x14ac:dyDescent="0.2">
      <c r="B20" s="132">
        <f t="shared" si="0"/>
        <v>17</v>
      </c>
      <c r="C20" s="133" t="str">
        <f>+'2026 World Cup'!E23</f>
        <v>Frankrike</v>
      </c>
      <c r="D20" s="133" t="str">
        <f>+'2026 World Cup'!H23</f>
        <v>Senegal</v>
      </c>
      <c r="E20" s="134" t="str">
        <f>+IF('2026 World Cup'!F23&gt;'2026 World Cup'!G23,"H",IF('2026 World Cup'!F23='2026 World Cup'!G23,"U",IF('2026 World Cup'!G23&gt;'2026 World Cup'!F23,"B",0)))</f>
        <v>H</v>
      </c>
      <c r="I20" s="138" t="s">
        <v>3726</v>
      </c>
      <c r="J20" s="139"/>
      <c r="K20" s="139"/>
      <c r="L20" s="139" t="s">
        <v>3725</v>
      </c>
      <c r="M20" s="139"/>
      <c r="N20" s="139"/>
    </row>
    <row r="21" spans="2:14" x14ac:dyDescent="0.2">
      <c r="B21" s="132">
        <f t="shared" si="0"/>
        <v>18</v>
      </c>
      <c r="C21" s="133" t="str">
        <f>+'2026 World Cup'!E24</f>
        <v>Irak</v>
      </c>
      <c r="D21" s="133" t="str">
        <f>+'2026 World Cup'!H24</f>
        <v>Norge</v>
      </c>
      <c r="E21" s="134" t="str">
        <f>+IF('2026 World Cup'!F24&gt;'2026 World Cup'!G24,"H",IF('2026 World Cup'!F24='2026 World Cup'!G24,"U",IF('2026 World Cup'!G24&gt;'2026 World Cup'!F24,"B",0)))</f>
        <v>B</v>
      </c>
      <c r="I21" s="138"/>
      <c r="J21" s="139"/>
      <c r="K21" s="139"/>
      <c r="L21" s="139"/>
      <c r="M21" s="139"/>
      <c r="N21" s="139"/>
    </row>
    <row r="22" spans="2:14" x14ac:dyDescent="0.2">
      <c r="B22" s="132">
        <f t="shared" si="0"/>
        <v>19</v>
      </c>
      <c r="C22" s="133" t="str">
        <f>+'2026 World Cup'!E25</f>
        <v>Argentina</v>
      </c>
      <c r="D22" s="133" t="str">
        <f>+'2026 World Cup'!H25</f>
        <v>Algerie</v>
      </c>
      <c r="E22" s="134" t="str">
        <f>+IF('2026 World Cup'!F25&gt;'2026 World Cup'!G25,"H",IF('2026 World Cup'!F25='2026 World Cup'!G25,"U",IF('2026 World Cup'!G25&gt;'2026 World Cup'!F25,"B",0)))</f>
        <v>H</v>
      </c>
      <c r="I22" s="138" t="s">
        <v>3727</v>
      </c>
      <c r="J22" s="139"/>
      <c r="K22" s="139"/>
      <c r="L22" s="139"/>
      <c r="M22" s="139"/>
      <c r="N22" s="139"/>
    </row>
    <row r="23" spans="2:14" x14ac:dyDescent="0.2">
      <c r="B23" s="132">
        <f t="shared" si="0"/>
        <v>20</v>
      </c>
      <c r="C23" s="133" t="str">
        <f>+'2026 World Cup'!E26</f>
        <v>Østerrike</v>
      </c>
      <c r="D23" s="133" t="str">
        <f>+'2026 World Cup'!H26</f>
        <v>Jordan</v>
      </c>
      <c r="E23" s="134" t="str">
        <f>+IF('2026 World Cup'!F26&gt;'2026 World Cup'!G26,"H",IF('2026 World Cup'!F26='2026 World Cup'!G26,"U",IF('2026 World Cup'!G26&gt;'2026 World Cup'!F26,"B",0)))</f>
        <v>H</v>
      </c>
      <c r="I23" s="141" t="s">
        <v>3728</v>
      </c>
      <c r="J23" s="142"/>
      <c r="K23" s="142"/>
      <c r="L23" s="142"/>
      <c r="M23" s="142"/>
      <c r="N23" s="143"/>
    </row>
    <row r="24" spans="2:14" x14ac:dyDescent="0.2">
      <c r="B24" s="132">
        <f t="shared" si="0"/>
        <v>21</v>
      </c>
      <c r="C24" s="133" t="str">
        <f>+'2026 World Cup'!E27</f>
        <v>Ghana</v>
      </c>
      <c r="D24" s="133" t="str">
        <f>+'2026 World Cup'!H27</f>
        <v>Panama</v>
      </c>
      <c r="E24" s="134" t="str">
        <f>+IF('2026 World Cup'!F27&gt;'2026 World Cup'!G27,"H",IF('2026 World Cup'!F27='2026 World Cup'!G27,"U",IF('2026 World Cup'!G27&gt;'2026 World Cup'!F27,"B",0)))</f>
        <v>H</v>
      </c>
    </row>
    <row r="25" spans="2:14" x14ac:dyDescent="0.2">
      <c r="B25" s="132">
        <f t="shared" si="0"/>
        <v>22</v>
      </c>
      <c r="C25" s="133" t="str">
        <f>+'2026 World Cup'!E28</f>
        <v>England</v>
      </c>
      <c r="D25" s="133" t="str">
        <f>+'2026 World Cup'!H28</f>
        <v>Kroatia</v>
      </c>
      <c r="E25" s="134" t="str">
        <f>+IF('2026 World Cup'!F28&gt;'2026 World Cup'!G28,"H",IF('2026 World Cup'!F28='2026 World Cup'!G28,"U",IF('2026 World Cup'!G28&gt;'2026 World Cup'!F28,"B",0)))</f>
        <v>H</v>
      </c>
      <c r="I25" s="131" t="s">
        <v>3720</v>
      </c>
      <c r="K25" s="147" t="s">
        <v>3729</v>
      </c>
    </row>
    <row r="26" spans="2:14" x14ac:dyDescent="0.2">
      <c r="B26" s="132">
        <f t="shared" si="0"/>
        <v>23</v>
      </c>
      <c r="C26" s="133" t="str">
        <f>+'2026 World Cup'!E29</f>
        <v>Portugal</v>
      </c>
      <c r="D26" s="133" t="str">
        <f>+'2026 World Cup'!H29</f>
        <v>DR Kongo</v>
      </c>
      <c r="E26" s="134" t="str">
        <f>+IF('2026 World Cup'!F29&gt;'2026 World Cup'!G29,"H",IF('2026 World Cup'!F29='2026 World Cup'!G29,"U",IF('2026 World Cup'!G29&gt;'2026 World Cup'!F29,"B",0)))</f>
        <v>H</v>
      </c>
      <c r="I26" s="144" t="s">
        <v>3721</v>
      </c>
      <c r="J26" s="145"/>
      <c r="K26" s="148" t="s">
        <v>3730</v>
      </c>
    </row>
    <row r="27" spans="2:14" x14ac:dyDescent="0.2">
      <c r="B27" s="132">
        <f t="shared" si="0"/>
        <v>24</v>
      </c>
      <c r="C27" s="133" t="str">
        <f>+'2026 World Cup'!E30</f>
        <v>Usbekistan</v>
      </c>
      <c r="D27" s="133" t="str">
        <f>+'2026 World Cup'!H30</f>
        <v>Colombia</v>
      </c>
      <c r="E27" s="134" t="str">
        <f>+IF('2026 World Cup'!F30&gt;'2026 World Cup'!G30,"H",IF('2026 World Cup'!F30='2026 World Cup'!G30,"U",IF('2026 World Cup'!G30&gt;'2026 World Cup'!F30,"B",0)))</f>
        <v>B</v>
      </c>
      <c r="I27" s="144" t="s">
        <v>3722</v>
      </c>
      <c r="J27" s="145"/>
      <c r="K27" s="148" t="s">
        <v>3731</v>
      </c>
    </row>
    <row r="28" spans="2:14" x14ac:dyDescent="0.2">
      <c r="B28" s="132">
        <f t="shared" si="0"/>
        <v>25</v>
      </c>
      <c r="C28" s="133" t="str">
        <f>+'2026 World Cup'!E31</f>
        <v>Tsjekkia</v>
      </c>
      <c r="D28" s="133" t="str">
        <f>+'2026 World Cup'!H31</f>
        <v>Sør-Afrika</v>
      </c>
      <c r="E28" s="134" t="str">
        <f>+IF('2026 World Cup'!F31&gt;'2026 World Cup'!G31,"H",IF('2026 World Cup'!F31='2026 World Cup'!G31,"U",IF('2026 World Cup'!G31&gt;'2026 World Cup'!F31,"B",0)))</f>
        <v>H</v>
      </c>
      <c r="I28" s="144" t="s">
        <v>3724</v>
      </c>
      <c r="J28" s="145"/>
      <c r="K28" s="148">
        <v>304</v>
      </c>
    </row>
    <row r="29" spans="2:14" x14ac:dyDescent="0.2">
      <c r="B29" s="132">
        <f t="shared" si="0"/>
        <v>26</v>
      </c>
      <c r="C29" s="133" t="str">
        <f>+'2026 World Cup'!E32</f>
        <v>Sveits</v>
      </c>
      <c r="D29" s="133" t="str">
        <f>+'2026 World Cup'!H32</f>
        <v>Bosnia-Hercegovina</v>
      </c>
      <c r="E29" s="134" t="str">
        <f>+IF('2026 World Cup'!F32&gt;'2026 World Cup'!G32,"H",IF('2026 World Cup'!F32='2026 World Cup'!G32,"U",IF('2026 World Cup'!G32&gt;'2026 World Cup'!F32,"B",0)))</f>
        <v>H</v>
      </c>
      <c r="I29" s="144" t="s">
        <v>3726</v>
      </c>
      <c r="J29" s="145"/>
      <c r="K29" s="148">
        <v>370</v>
      </c>
    </row>
    <row r="30" spans="2:14" x14ac:dyDescent="0.2">
      <c r="B30" s="132">
        <f t="shared" si="0"/>
        <v>27</v>
      </c>
      <c r="C30" s="133" t="str">
        <f>+'2026 World Cup'!E33</f>
        <v>Canada</v>
      </c>
      <c r="D30" s="133" t="str">
        <f>+'2026 World Cup'!H33</f>
        <v>Qatar</v>
      </c>
      <c r="E30" s="134" t="str">
        <f>+IF('2026 World Cup'!F33&gt;'2026 World Cup'!G33,"H",IF('2026 World Cup'!F33='2026 World Cup'!G33,"U",IF('2026 World Cup'!G33&gt;'2026 World Cup'!F33,"B",0)))</f>
        <v>H</v>
      </c>
    </row>
    <row r="31" spans="2:14" x14ac:dyDescent="0.2">
      <c r="B31" s="132">
        <f t="shared" si="0"/>
        <v>28</v>
      </c>
      <c r="C31" s="133" t="str">
        <f>+'2026 World Cup'!E34</f>
        <v>Mexico</v>
      </c>
      <c r="D31" s="133" t="str">
        <f>+'2026 World Cup'!H34</f>
        <v>Sør-Korea</v>
      </c>
      <c r="E31" s="134" t="str">
        <f>+IF('2026 World Cup'!F34&gt;'2026 World Cup'!G34,"H",IF('2026 World Cup'!F34='2026 World Cup'!G34,"U",IF('2026 World Cup'!G34&gt;'2026 World Cup'!F34,"B",0)))</f>
        <v>H</v>
      </c>
    </row>
    <row r="32" spans="2:14" x14ac:dyDescent="0.2">
      <c r="B32" s="132">
        <f t="shared" si="0"/>
        <v>29</v>
      </c>
      <c r="C32" s="133" t="str">
        <f>+'2026 World Cup'!E35</f>
        <v>Brasil</v>
      </c>
      <c r="D32" s="133" t="str">
        <f>+'2026 World Cup'!H35</f>
        <v>Haiti</v>
      </c>
      <c r="E32" s="134" t="str">
        <f>+IF('2026 World Cup'!F35&gt;'2026 World Cup'!G35,"H",IF('2026 World Cup'!F35='2026 World Cup'!G35,"U",IF('2026 World Cup'!G35&gt;'2026 World Cup'!F35,"B",0)))</f>
        <v>H</v>
      </c>
    </row>
    <row r="33" spans="2:5" x14ac:dyDescent="0.2">
      <c r="B33" s="132">
        <f t="shared" si="0"/>
        <v>30</v>
      </c>
      <c r="C33" s="133" t="str">
        <f>+'2026 World Cup'!E36</f>
        <v>Skottland</v>
      </c>
      <c r="D33" s="133" t="str">
        <f>+'2026 World Cup'!H36</f>
        <v>Marokko</v>
      </c>
      <c r="E33" s="134" t="str">
        <f>+IF('2026 World Cup'!F36&gt;'2026 World Cup'!G36,"H",IF('2026 World Cup'!F36='2026 World Cup'!G36,"U",IF('2026 World Cup'!G36&gt;'2026 World Cup'!F36,"B",0)))</f>
        <v>B</v>
      </c>
    </row>
    <row r="34" spans="2:5" x14ac:dyDescent="0.2">
      <c r="B34" s="132">
        <f t="shared" si="0"/>
        <v>31</v>
      </c>
      <c r="C34" s="133" t="str">
        <f>+'2026 World Cup'!E37</f>
        <v>USA</v>
      </c>
      <c r="D34" s="133" t="str">
        <f>+'2026 World Cup'!H37</f>
        <v>Australia</v>
      </c>
      <c r="E34" s="134" t="str">
        <f>+IF('2026 World Cup'!F37&gt;'2026 World Cup'!G37,"H",IF('2026 World Cup'!F37='2026 World Cup'!G37,"U",IF('2026 World Cup'!G37&gt;'2026 World Cup'!F37,"B",0)))</f>
        <v>H</v>
      </c>
    </row>
    <row r="35" spans="2:5" x14ac:dyDescent="0.2">
      <c r="B35" s="132">
        <f t="shared" si="0"/>
        <v>32</v>
      </c>
      <c r="C35" s="133" t="str">
        <f>+'2026 World Cup'!E38</f>
        <v>Tyrkia</v>
      </c>
      <c r="D35" s="133" t="str">
        <f>+'2026 World Cup'!H38</f>
        <v>Paraguay</v>
      </c>
      <c r="E35" s="134" t="str">
        <f>+IF('2026 World Cup'!F38&gt;'2026 World Cup'!G38,"H",IF('2026 World Cup'!F38='2026 World Cup'!G38,"U",IF('2026 World Cup'!G38&gt;'2026 World Cup'!F38,"B",0)))</f>
        <v>H</v>
      </c>
    </row>
    <row r="36" spans="2:5" x14ac:dyDescent="0.2">
      <c r="B36" s="132">
        <f t="shared" si="0"/>
        <v>33</v>
      </c>
      <c r="C36" s="133" t="str">
        <f>+'2026 World Cup'!E39</f>
        <v>Tyskland</v>
      </c>
      <c r="D36" s="133" t="str">
        <f>+'2026 World Cup'!H39</f>
        <v>Elfenbenskysten</v>
      </c>
      <c r="E36" s="134" t="str">
        <f>+IF('2026 World Cup'!F39&gt;'2026 World Cup'!G39,"H",IF('2026 World Cup'!F39='2026 World Cup'!G39,"U",IF('2026 World Cup'!G39&gt;'2026 World Cup'!F39,"B",0)))</f>
        <v>H</v>
      </c>
    </row>
    <row r="37" spans="2:5" x14ac:dyDescent="0.2">
      <c r="B37" s="132">
        <f t="shared" ref="B37:B68" si="1">+B36+1</f>
        <v>34</v>
      </c>
      <c r="C37" s="133" t="str">
        <f>+'2026 World Cup'!E40</f>
        <v>Ecuador</v>
      </c>
      <c r="D37" s="133" t="str">
        <f>+'2026 World Cup'!H40</f>
        <v>Curaçao</v>
      </c>
      <c r="E37" s="134" t="str">
        <f>+IF('2026 World Cup'!F40&gt;'2026 World Cup'!G40,"H",IF('2026 World Cup'!F40='2026 World Cup'!G40,"U",IF('2026 World Cup'!G40&gt;'2026 World Cup'!F40,"B",0)))</f>
        <v>H</v>
      </c>
    </row>
    <row r="38" spans="2:5" x14ac:dyDescent="0.2">
      <c r="B38" s="132">
        <f t="shared" si="1"/>
        <v>35</v>
      </c>
      <c r="C38" s="133" t="str">
        <f>+'2026 World Cup'!E41</f>
        <v>Nederland</v>
      </c>
      <c r="D38" s="133" t="str">
        <f>+'2026 World Cup'!H41</f>
        <v>Sverige</v>
      </c>
      <c r="E38" s="134" t="str">
        <f>+IF('2026 World Cup'!F41&gt;'2026 World Cup'!G41,"H",IF('2026 World Cup'!F41='2026 World Cup'!G41,"U",IF('2026 World Cup'!G41&gt;'2026 World Cup'!F41,"B",0)))</f>
        <v>H</v>
      </c>
    </row>
    <row r="39" spans="2:5" x14ac:dyDescent="0.2">
      <c r="B39" s="132">
        <f t="shared" si="1"/>
        <v>36</v>
      </c>
      <c r="C39" s="133" t="str">
        <f>+'2026 World Cup'!E42</f>
        <v>Tunisia</v>
      </c>
      <c r="D39" s="133" t="str">
        <f>+'2026 World Cup'!H42</f>
        <v>Japan</v>
      </c>
      <c r="E39" s="134" t="str">
        <f>+IF('2026 World Cup'!F42&gt;'2026 World Cup'!G42,"H",IF('2026 World Cup'!F42='2026 World Cup'!G42,"U",IF('2026 World Cup'!G42&gt;'2026 World Cup'!F42,"B",0)))</f>
        <v>B</v>
      </c>
    </row>
    <row r="40" spans="2:5" x14ac:dyDescent="0.2">
      <c r="B40" s="132">
        <f t="shared" si="1"/>
        <v>37</v>
      </c>
      <c r="C40" s="133" t="str">
        <f>+'2026 World Cup'!E43</f>
        <v>Uruguay</v>
      </c>
      <c r="D40" s="133" t="str">
        <f>+'2026 World Cup'!H43</f>
        <v>Kapp Verde</v>
      </c>
      <c r="E40" s="134" t="str">
        <f>+IF('2026 World Cup'!F43&gt;'2026 World Cup'!G43,"H",IF('2026 World Cup'!F43='2026 World Cup'!G43,"U",IF('2026 World Cup'!G43&gt;'2026 World Cup'!F43,"B",0)))</f>
        <v>H</v>
      </c>
    </row>
    <row r="41" spans="2:5" x14ac:dyDescent="0.2">
      <c r="B41" s="132">
        <f t="shared" si="1"/>
        <v>38</v>
      </c>
      <c r="C41" s="133" t="str">
        <f>+'2026 World Cup'!E44</f>
        <v>Spania</v>
      </c>
      <c r="D41" s="133" t="str">
        <f>+'2026 World Cup'!H44</f>
        <v>Saudi-Arabia</v>
      </c>
      <c r="E41" s="134" t="str">
        <f>+IF('2026 World Cup'!F44&gt;'2026 World Cup'!G44,"H",IF('2026 World Cup'!F44='2026 World Cup'!G44,"U",IF('2026 World Cup'!G44&gt;'2026 World Cup'!F44,"B",0)))</f>
        <v>H</v>
      </c>
    </row>
    <row r="42" spans="2:5" x14ac:dyDescent="0.2">
      <c r="B42" s="132">
        <f t="shared" si="1"/>
        <v>39</v>
      </c>
      <c r="C42" s="133" t="str">
        <f>+'2026 World Cup'!E45</f>
        <v>Belgia</v>
      </c>
      <c r="D42" s="133" t="str">
        <f>+'2026 World Cup'!H45</f>
        <v>Iran</v>
      </c>
      <c r="E42" s="134" t="str">
        <f>+IF('2026 World Cup'!F45&gt;'2026 World Cup'!G45,"H",IF('2026 World Cup'!F45='2026 World Cup'!G45,"U",IF('2026 World Cup'!G45&gt;'2026 World Cup'!F45,"B",0)))</f>
        <v>H</v>
      </c>
    </row>
    <row r="43" spans="2:5" x14ac:dyDescent="0.2">
      <c r="B43" s="132">
        <f t="shared" si="1"/>
        <v>40</v>
      </c>
      <c r="C43" s="133" t="str">
        <f>+'2026 World Cup'!E46</f>
        <v>New Zealand</v>
      </c>
      <c r="D43" s="133" t="str">
        <f>+'2026 World Cup'!H46</f>
        <v>Egypt</v>
      </c>
      <c r="E43" s="134" t="str">
        <f>+IF('2026 World Cup'!F46&gt;'2026 World Cup'!G46,"H",IF('2026 World Cup'!F46='2026 World Cup'!G46,"U",IF('2026 World Cup'!G46&gt;'2026 World Cup'!F46,"B",0)))</f>
        <v>B</v>
      </c>
    </row>
    <row r="44" spans="2:5" x14ac:dyDescent="0.2">
      <c r="B44" s="132">
        <f t="shared" si="1"/>
        <v>41</v>
      </c>
      <c r="C44" s="133" t="str">
        <f>+'2026 World Cup'!E47</f>
        <v>Norge</v>
      </c>
      <c r="D44" s="133" t="str">
        <f>+'2026 World Cup'!H47</f>
        <v>Senegal</v>
      </c>
      <c r="E44" s="134" t="str">
        <f>+IF('2026 World Cup'!F47&gt;'2026 World Cup'!G47,"H",IF('2026 World Cup'!F47='2026 World Cup'!G47,"U",IF('2026 World Cup'!G47&gt;'2026 World Cup'!F47,"B",0)))</f>
        <v>U</v>
      </c>
    </row>
    <row r="45" spans="2:5" x14ac:dyDescent="0.2">
      <c r="B45" s="132">
        <f t="shared" si="1"/>
        <v>42</v>
      </c>
      <c r="C45" s="133" t="str">
        <f>+'2026 World Cup'!E48</f>
        <v>Frankrike</v>
      </c>
      <c r="D45" s="133" t="str">
        <f>+'2026 World Cup'!H48</f>
        <v>Irak</v>
      </c>
      <c r="E45" s="134" t="str">
        <f>+IF('2026 World Cup'!F48&gt;'2026 World Cup'!G48,"H",IF('2026 World Cup'!F48='2026 World Cup'!G48,"U",IF('2026 World Cup'!G48&gt;'2026 World Cup'!F48,"B",0)))</f>
        <v>H</v>
      </c>
    </row>
    <row r="46" spans="2:5" x14ac:dyDescent="0.2">
      <c r="B46" s="132">
        <f t="shared" si="1"/>
        <v>43</v>
      </c>
      <c r="C46" s="133" t="str">
        <f>+'2026 World Cup'!E49</f>
        <v>Argentina</v>
      </c>
      <c r="D46" s="133" t="str">
        <f>+'2026 World Cup'!H49</f>
        <v>Østerrike</v>
      </c>
      <c r="E46" s="134" t="str">
        <f>+IF('2026 World Cup'!F49&gt;'2026 World Cup'!G49,"H",IF('2026 World Cup'!F49='2026 World Cup'!G49,"U",IF('2026 World Cup'!G49&gt;'2026 World Cup'!F49,"B",0)))</f>
        <v>H</v>
      </c>
    </row>
    <row r="47" spans="2:5" x14ac:dyDescent="0.2">
      <c r="B47" s="132">
        <f t="shared" si="1"/>
        <v>44</v>
      </c>
      <c r="C47" s="133" t="str">
        <f>+'2026 World Cup'!E50</f>
        <v>Jordan</v>
      </c>
      <c r="D47" s="133" t="str">
        <f>+'2026 World Cup'!H50</f>
        <v>Algerie</v>
      </c>
      <c r="E47" s="134" t="str">
        <f>+IF('2026 World Cup'!F50&gt;'2026 World Cup'!G50,"H",IF('2026 World Cup'!F50='2026 World Cup'!G50,"U",IF('2026 World Cup'!G50&gt;'2026 World Cup'!F50,"B",0)))</f>
        <v>B</v>
      </c>
    </row>
    <row r="48" spans="2:5" x14ac:dyDescent="0.2">
      <c r="B48" s="132">
        <f t="shared" si="1"/>
        <v>45</v>
      </c>
      <c r="C48" s="133" t="str">
        <f>+'2026 World Cup'!E51</f>
        <v>England</v>
      </c>
      <c r="D48" s="133" t="str">
        <f>+'2026 World Cup'!H51</f>
        <v>Ghana</v>
      </c>
      <c r="E48" s="134" t="str">
        <f>+IF('2026 World Cup'!F51&gt;'2026 World Cup'!G51,"H",IF('2026 World Cup'!F51='2026 World Cup'!G51,"U",IF('2026 World Cup'!G51&gt;'2026 World Cup'!F51,"B",0)))</f>
        <v>H</v>
      </c>
    </row>
    <row r="49" spans="2:5" x14ac:dyDescent="0.2">
      <c r="B49" s="132">
        <f t="shared" si="1"/>
        <v>46</v>
      </c>
      <c r="C49" s="133" t="str">
        <f>+'2026 World Cup'!E52</f>
        <v>Panama</v>
      </c>
      <c r="D49" s="133" t="str">
        <f>+'2026 World Cup'!H52</f>
        <v>Kroatia</v>
      </c>
      <c r="E49" s="134" t="str">
        <f>+IF('2026 World Cup'!F52&gt;'2026 World Cup'!G52,"H",IF('2026 World Cup'!F52='2026 World Cup'!G52,"U",IF('2026 World Cup'!G52&gt;'2026 World Cup'!F52,"B",0)))</f>
        <v>B</v>
      </c>
    </row>
    <row r="50" spans="2:5" x14ac:dyDescent="0.2">
      <c r="B50" s="132">
        <f t="shared" si="1"/>
        <v>47</v>
      </c>
      <c r="C50" s="133" t="str">
        <f>+'2026 World Cup'!E53</f>
        <v>Portugal</v>
      </c>
      <c r="D50" s="133" t="str">
        <f>+'2026 World Cup'!H53</f>
        <v>Usbekistan</v>
      </c>
      <c r="E50" s="134" t="str">
        <f>+IF('2026 World Cup'!F53&gt;'2026 World Cup'!G53,"H",IF('2026 World Cup'!F53='2026 World Cup'!G53,"U",IF('2026 World Cup'!G53&gt;'2026 World Cup'!F53,"B",0)))</f>
        <v>H</v>
      </c>
    </row>
    <row r="51" spans="2:5" x14ac:dyDescent="0.2">
      <c r="B51" s="132">
        <f t="shared" si="1"/>
        <v>48</v>
      </c>
      <c r="C51" s="133" t="str">
        <f>+'2026 World Cup'!E54</f>
        <v>Colombia</v>
      </c>
      <c r="D51" s="133" t="str">
        <f>+'2026 World Cup'!H54</f>
        <v>DR Kongo</v>
      </c>
      <c r="E51" s="134" t="str">
        <f>+IF('2026 World Cup'!F54&gt;'2026 World Cup'!G54,"H",IF('2026 World Cup'!F54='2026 World Cup'!G54,"U",IF('2026 World Cup'!G54&gt;'2026 World Cup'!F54,"B",0)))</f>
        <v>H</v>
      </c>
    </row>
    <row r="52" spans="2:5" x14ac:dyDescent="0.2">
      <c r="B52" s="132">
        <f t="shared" si="1"/>
        <v>49</v>
      </c>
      <c r="C52" s="133" t="str">
        <f>+'2026 World Cup'!E55</f>
        <v>Skottland</v>
      </c>
      <c r="D52" s="133" t="str">
        <f>+'2026 World Cup'!H55</f>
        <v>Brasil</v>
      </c>
      <c r="E52" s="134" t="str">
        <f>+IF('2026 World Cup'!F55&gt;'2026 World Cup'!G55,"H",IF('2026 World Cup'!F55='2026 World Cup'!G55,"U",IF('2026 World Cup'!G55&gt;'2026 World Cup'!F55,"B",0)))</f>
        <v>B</v>
      </c>
    </row>
    <row r="53" spans="2:5" x14ac:dyDescent="0.2">
      <c r="B53" s="132">
        <f t="shared" si="1"/>
        <v>50</v>
      </c>
      <c r="C53" s="133" t="str">
        <f>+'2026 World Cup'!E56</f>
        <v>Marokko</v>
      </c>
      <c r="D53" s="133" t="str">
        <f>+'2026 World Cup'!H56</f>
        <v>Haiti</v>
      </c>
      <c r="E53" s="134" t="str">
        <f>+IF('2026 World Cup'!F56&gt;'2026 World Cup'!G56,"H",IF('2026 World Cup'!F56='2026 World Cup'!G56,"U",IF('2026 World Cup'!G56&gt;'2026 World Cup'!F56,"B",0)))</f>
        <v>H</v>
      </c>
    </row>
    <row r="54" spans="2:5" x14ac:dyDescent="0.2">
      <c r="B54" s="132">
        <f t="shared" si="1"/>
        <v>51</v>
      </c>
      <c r="C54" s="133" t="str">
        <f>+'2026 World Cup'!E57</f>
        <v>Sveits</v>
      </c>
      <c r="D54" s="133" t="str">
        <f>+'2026 World Cup'!H57</f>
        <v>Canada</v>
      </c>
      <c r="E54" s="134" t="str">
        <f>+IF('2026 World Cup'!F57&gt;'2026 World Cup'!G57,"H",IF('2026 World Cup'!F57='2026 World Cup'!G57,"U",IF('2026 World Cup'!G57&gt;'2026 World Cup'!F57,"B",0)))</f>
        <v>U</v>
      </c>
    </row>
    <row r="55" spans="2:5" x14ac:dyDescent="0.2">
      <c r="B55" s="132">
        <f t="shared" si="1"/>
        <v>52</v>
      </c>
      <c r="C55" s="133" t="str">
        <f>+'2026 World Cup'!E58</f>
        <v>Bosnia-Hercegovina</v>
      </c>
      <c r="D55" s="133" t="str">
        <f>+'2026 World Cup'!H58</f>
        <v>Qatar</v>
      </c>
      <c r="E55" s="134" t="str">
        <f>+IF('2026 World Cup'!F58&gt;'2026 World Cup'!G58,"H",IF('2026 World Cup'!F58='2026 World Cup'!G58,"U",IF('2026 World Cup'!G58&gt;'2026 World Cup'!F58,"B",0)))</f>
        <v>H</v>
      </c>
    </row>
    <row r="56" spans="2:5" x14ac:dyDescent="0.2">
      <c r="B56" s="132">
        <f t="shared" si="1"/>
        <v>53</v>
      </c>
      <c r="C56" s="133" t="str">
        <f>+'2026 World Cup'!E59</f>
        <v>Tsjekkia</v>
      </c>
      <c r="D56" s="133" t="str">
        <f>+'2026 World Cup'!H59</f>
        <v>Mexico</v>
      </c>
      <c r="E56" s="134" t="str">
        <f>+IF('2026 World Cup'!F59&gt;'2026 World Cup'!G59,"H",IF('2026 World Cup'!F59='2026 World Cup'!G59,"U",IF('2026 World Cup'!G59&gt;'2026 World Cup'!F59,"B",0)))</f>
        <v>B</v>
      </c>
    </row>
    <row r="57" spans="2:5" x14ac:dyDescent="0.2">
      <c r="B57" s="132">
        <f t="shared" si="1"/>
        <v>54</v>
      </c>
      <c r="C57" s="133" t="str">
        <f>+'2026 World Cup'!E60</f>
        <v>Sør-Afrika</v>
      </c>
      <c r="D57" s="133" t="str">
        <f>+'2026 World Cup'!H60</f>
        <v>Sør-Korea</v>
      </c>
      <c r="E57" s="134" t="str">
        <f>+IF('2026 World Cup'!F60&gt;'2026 World Cup'!G60,"H",IF('2026 World Cup'!F60='2026 World Cup'!G60,"U",IF('2026 World Cup'!G60&gt;'2026 World Cup'!F60,"B",0)))</f>
        <v>B</v>
      </c>
    </row>
    <row r="58" spans="2:5" x14ac:dyDescent="0.2">
      <c r="B58" s="132">
        <f t="shared" si="1"/>
        <v>55</v>
      </c>
      <c r="C58" s="133" t="str">
        <f>+'2026 World Cup'!E61</f>
        <v>Curaçao</v>
      </c>
      <c r="D58" s="133" t="str">
        <f>+'2026 World Cup'!H61</f>
        <v>Elfenbenskysten</v>
      </c>
      <c r="E58" s="134" t="str">
        <f>+IF('2026 World Cup'!F61&gt;'2026 World Cup'!G61,"H",IF('2026 World Cup'!F61='2026 World Cup'!G61,"U",IF('2026 World Cup'!G61&gt;'2026 World Cup'!F61,"B",0)))</f>
        <v>B</v>
      </c>
    </row>
    <row r="59" spans="2:5" x14ac:dyDescent="0.2">
      <c r="B59" s="132">
        <f t="shared" si="1"/>
        <v>56</v>
      </c>
      <c r="C59" s="133" t="str">
        <f>+'2026 World Cup'!E62</f>
        <v>Ecuador</v>
      </c>
      <c r="D59" s="133" t="str">
        <f>+'2026 World Cup'!H62</f>
        <v>Tyskland</v>
      </c>
      <c r="E59" s="134" t="str">
        <f>+IF('2026 World Cup'!F62&gt;'2026 World Cup'!G62,"H",IF('2026 World Cup'!F62='2026 World Cup'!G62,"U",IF('2026 World Cup'!G62&gt;'2026 World Cup'!F62,"B",0)))</f>
        <v>B</v>
      </c>
    </row>
    <row r="60" spans="2:5" x14ac:dyDescent="0.2">
      <c r="B60" s="132">
        <f t="shared" si="1"/>
        <v>57</v>
      </c>
      <c r="C60" s="133" t="str">
        <f>+'2026 World Cup'!E63</f>
        <v>Japan</v>
      </c>
      <c r="D60" s="133" t="str">
        <f>+'2026 World Cup'!H63</f>
        <v>Sverige</v>
      </c>
      <c r="E60" s="134" t="str">
        <f>+IF('2026 World Cup'!F63&gt;'2026 World Cup'!G63,"H",IF('2026 World Cup'!F63='2026 World Cup'!G63,"U",IF('2026 World Cup'!G63&gt;'2026 World Cup'!F63,"B",0)))</f>
        <v>H</v>
      </c>
    </row>
    <row r="61" spans="2:5" x14ac:dyDescent="0.2">
      <c r="B61" s="132">
        <f t="shared" si="1"/>
        <v>58</v>
      </c>
      <c r="C61" s="133" t="str">
        <f>+'2026 World Cup'!E64</f>
        <v>Tunisia</v>
      </c>
      <c r="D61" s="133" t="str">
        <f>+'2026 World Cup'!H64</f>
        <v>Nederland</v>
      </c>
      <c r="E61" s="134" t="str">
        <f>+IF('2026 World Cup'!F64&gt;'2026 World Cup'!G64,"H",IF('2026 World Cup'!F64='2026 World Cup'!G64,"U",IF('2026 World Cup'!G64&gt;'2026 World Cup'!F64,"B",0)))</f>
        <v>B</v>
      </c>
    </row>
    <row r="62" spans="2:5" x14ac:dyDescent="0.2">
      <c r="B62" s="132">
        <f t="shared" si="1"/>
        <v>59</v>
      </c>
      <c r="C62" s="133" t="str">
        <f>+'2026 World Cup'!E65</f>
        <v>Tyrkia</v>
      </c>
      <c r="D62" s="133" t="str">
        <f>+'2026 World Cup'!H65</f>
        <v>USA</v>
      </c>
      <c r="E62" s="134" t="str">
        <f>+IF('2026 World Cup'!F65&gt;'2026 World Cup'!G65,"H",IF('2026 World Cup'!F65='2026 World Cup'!G65,"U",IF('2026 World Cup'!G65&gt;'2026 World Cup'!F65,"B",0)))</f>
        <v>U</v>
      </c>
    </row>
    <row r="63" spans="2:5" x14ac:dyDescent="0.2">
      <c r="B63" s="132">
        <f t="shared" si="1"/>
        <v>60</v>
      </c>
      <c r="C63" s="133" t="str">
        <f>+'2026 World Cup'!E66</f>
        <v>Paraguay</v>
      </c>
      <c r="D63" s="133" t="str">
        <f>+'2026 World Cup'!H66</f>
        <v>Australia</v>
      </c>
      <c r="E63" s="134" t="str">
        <f>+IF('2026 World Cup'!F66&gt;'2026 World Cup'!G66,"H",IF('2026 World Cup'!F66='2026 World Cup'!G66,"U",IF('2026 World Cup'!G66&gt;'2026 World Cup'!F66,"B",0)))</f>
        <v>U</v>
      </c>
    </row>
    <row r="64" spans="2:5" x14ac:dyDescent="0.2">
      <c r="B64" s="132">
        <f t="shared" si="1"/>
        <v>61</v>
      </c>
      <c r="C64" s="133" t="str">
        <f>+'2026 World Cup'!E67</f>
        <v>Norge</v>
      </c>
      <c r="D64" s="133" t="str">
        <f>+'2026 World Cup'!H67</f>
        <v>Frankrike</v>
      </c>
      <c r="E64" s="134" t="str">
        <f>+IF('2026 World Cup'!F67&gt;'2026 World Cup'!G67,"H",IF('2026 World Cup'!F67='2026 World Cup'!G67,"U",IF('2026 World Cup'!G67&gt;'2026 World Cup'!F67,"B",0)))</f>
        <v>U</v>
      </c>
    </row>
    <row r="65" spans="2:5" x14ac:dyDescent="0.2">
      <c r="B65" s="132">
        <f t="shared" si="1"/>
        <v>62</v>
      </c>
      <c r="C65" s="133" t="str">
        <f>+'2026 World Cup'!E68</f>
        <v>Senegal</v>
      </c>
      <c r="D65" s="133" t="str">
        <f>+'2026 World Cup'!H68</f>
        <v>Irak</v>
      </c>
      <c r="E65" s="134" t="str">
        <f>+IF('2026 World Cup'!F68&gt;'2026 World Cup'!G68,"H",IF('2026 World Cup'!F68='2026 World Cup'!G68,"U",IF('2026 World Cup'!G68&gt;'2026 World Cup'!F68,"B",0)))</f>
        <v>H</v>
      </c>
    </row>
    <row r="66" spans="2:5" x14ac:dyDescent="0.2">
      <c r="B66" s="132">
        <f t="shared" si="1"/>
        <v>63</v>
      </c>
      <c r="C66" s="133" t="str">
        <f>+'2026 World Cup'!E69</f>
        <v>Egypt</v>
      </c>
      <c r="D66" s="133" t="str">
        <f>+'2026 World Cup'!H69</f>
        <v>Iran</v>
      </c>
      <c r="E66" s="134" t="str">
        <f>+IF('2026 World Cup'!F69&gt;'2026 World Cup'!G69,"H",IF('2026 World Cup'!F69='2026 World Cup'!G69,"U",IF('2026 World Cup'!G69&gt;'2026 World Cup'!F69,"B",0)))</f>
        <v>U</v>
      </c>
    </row>
    <row r="67" spans="2:5" x14ac:dyDescent="0.2">
      <c r="B67" s="132">
        <f t="shared" si="1"/>
        <v>64</v>
      </c>
      <c r="C67" s="133" t="str">
        <f>+'2026 World Cup'!E70</f>
        <v>New Zealand</v>
      </c>
      <c r="D67" s="133" t="str">
        <f>+'2026 World Cup'!H70</f>
        <v>Belgia</v>
      </c>
      <c r="E67" s="134" t="str">
        <f>+IF('2026 World Cup'!F70&gt;'2026 World Cup'!G70,"H",IF('2026 World Cup'!F70='2026 World Cup'!G70,"U",IF('2026 World Cup'!G70&gt;'2026 World Cup'!F70,"B",0)))</f>
        <v>B</v>
      </c>
    </row>
    <row r="68" spans="2:5" x14ac:dyDescent="0.2">
      <c r="B68" s="132">
        <f t="shared" si="1"/>
        <v>65</v>
      </c>
      <c r="C68" s="133" t="str">
        <f>+'2026 World Cup'!E71</f>
        <v>Kapp Verde</v>
      </c>
      <c r="D68" s="133" t="str">
        <f>+'2026 World Cup'!H71</f>
        <v>Saudi-Arabia</v>
      </c>
      <c r="E68" s="134" t="str">
        <f>+IF('2026 World Cup'!F71&gt;'2026 World Cup'!G71,"H",IF('2026 World Cup'!F71='2026 World Cup'!G71,"U",IF('2026 World Cup'!G71&gt;'2026 World Cup'!F71,"B",0)))</f>
        <v>U</v>
      </c>
    </row>
    <row r="69" spans="2:5" x14ac:dyDescent="0.2">
      <c r="B69" s="132">
        <f t="shared" ref="B69:B75" si="2">+B68+1</f>
        <v>66</v>
      </c>
      <c r="C69" s="133" t="str">
        <f>+'2026 World Cup'!E72</f>
        <v>Uruguay</v>
      </c>
      <c r="D69" s="133" t="str">
        <f>+'2026 World Cup'!H72</f>
        <v>Spania</v>
      </c>
      <c r="E69" s="134" t="str">
        <f>+IF('2026 World Cup'!F72&gt;'2026 World Cup'!G72,"H",IF('2026 World Cup'!F72='2026 World Cup'!G72,"U",IF('2026 World Cup'!G72&gt;'2026 World Cup'!F72,"B",0)))</f>
        <v>B</v>
      </c>
    </row>
    <row r="70" spans="2:5" x14ac:dyDescent="0.2">
      <c r="B70" s="132">
        <f t="shared" si="2"/>
        <v>67</v>
      </c>
      <c r="C70" s="133" t="str">
        <f>+'2026 World Cup'!E73</f>
        <v>Panama</v>
      </c>
      <c r="D70" s="133" t="str">
        <f>+'2026 World Cup'!H73</f>
        <v>England</v>
      </c>
      <c r="E70" s="134" t="str">
        <f>+IF('2026 World Cup'!F73&gt;'2026 World Cup'!G73,"H",IF('2026 World Cup'!F73='2026 World Cup'!G73,"U",IF('2026 World Cup'!G73&gt;'2026 World Cup'!F73,"B",0)))</f>
        <v>B</v>
      </c>
    </row>
    <row r="71" spans="2:5" x14ac:dyDescent="0.2">
      <c r="B71" s="132">
        <f t="shared" si="2"/>
        <v>68</v>
      </c>
      <c r="C71" s="133" t="str">
        <f>+'2026 World Cup'!E74</f>
        <v>Kroatia</v>
      </c>
      <c r="D71" s="133" t="str">
        <f>+'2026 World Cup'!H74</f>
        <v>Ghana</v>
      </c>
      <c r="E71" s="134" t="str">
        <f>+IF('2026 World Cup'!F74&gt;'2026 World Cup'!G74,"H",IF('2026 World Cup'!F74='2026 World Cup'!G74,"U",IF('2026 World Cup'!G74&gt;'2026 World Cup'!F74,"B",0)))</f>
        <v>H</v>
      </c>
    </row>
    <row r="72" spans="2:5" x14ac:dyDescent="0.2">
      <c r="B72" s="132">
        <f t="shared" si="2"/>
        <v>69</v>
      </c>
      <c r="C72" s="133" t="str">
        <f>+'2026 World Cup'!E75</f>
        <v>Algerie</v>
      </c>
      <c r="D72" s="133" t="str">
        <f>+'2026 World Cup'!H75</f>
        <v>Østerrike</v>
      </c>
      <c r="E72" s="134" t="str">
        <f>+IF('2026 World Cup'!F75&gt;'2026 World Cup'!G75,"H",IF('2026 World Cup'!F75='2026 World Cup'!G75,"U",IF('2026 World Cup'!G75&gt;'2026 World Cup'!F75,"B",0)))</f>
        <v>B</v>
      </c>
    </row>
    <row r="73" spans="2:5" x14ac:dyDescent="0.2">
      <c r="B73" s="132">
        <f t="shared" si="2"/>
        <v>70</v>
      </c>
      <c r="C73" s="133" t="str">
        <f>+'2026 World Cup'!E76</f>
        <v>Jordan</v>
      </c>
      <c r="D73" s="133" t="str">
        <f>+'2026 World Cup'!H76</f>
        <v>Argentina</v>
      </c>
      <c r="E73" s="134" t="str">
        <f>+IF('2026 World Cup'!F76&gt;'2026 World Cup'!G76,"H",IF('2026 World Cup'!F76='2026 World Cup'!G76,"U",IF('2026 World Cup'!G76&gt;'2026 World Cup'!F76,"B",0)))</f>
        <v>B</v>
      </c>
    </row>
    <row r="74" spans="2:5" x14ac:dyDescent="0.2">
      <c r="B74" s="132">
        <f t="shared" si="2"/>
        <v>71</v>
      </c>
      <c r="C74" s="133" t="str">
        <f>+'2026 World Cup'!E77</f>
        <v>Colombia</v>
      </c>
      <c r="D74" s="133" t="str">
        <f>+'2026 World Cup'!H77</f>
        <v>Portugal</v>
      </c>
      <c r="E74" s="134" t="str">
        <f>+IF('2026 World Cup'!F77&gt;'2026 World Cup'!G77,"H",IF('2026 World Cup'!F77='2026 World Cup'!G77,"U",IF('2026 World Cup'!G77&gt;'2026 World Cup'!F77,"B",0)))</f>
        <v>B</v>
      </c>
    </row>
    <row r="75" spans="2:5" x14ac:dyDescent="0.2">
      <c r="B75" s="132">
        <f t="shared" si="2"/>
        <v>72</v>
      </c>
      <c r="C75" s="133" t="str">
        <f>+'2026 World Cup'!E78</f>
        <v>DR Kongo</v>
      </c>
      <c r="D75" s="133" t="str">
        <f>+'2026 World Cup'!H78</f>
        <v>Usbekistan</v>
      </c>
      <c r="E75" s="134" t="str">
        <f>+IF('2026 World Cup'!F78&gt;'2026 World Cup'!G78,"H",IF('2026 World Cup'!F78='2026 World Cup'!G78,"U",IF('2026 World Cup'!G78&gt;'2026 World Cup'!F78,"B",0)))</f>
        <v>U</v>
      </c>
    </row>
    <row r="77" spans="2:5" x14ac:dyDescent="0.2">
      <c r="D77" s="131" t="s">
        <v>3732</v>
      </c>
    </row>
    <row r="78" spans="2:5" x14ac:dyDescent="0.2">
      <c r="D78" s="133" t="str">
        <f>+'2026 World Cup'!J8</f>
        <v>Gruppe A</v>
      </c>
      <c r="E78" s="134" t="str">
        <f>+'2026 World Cup'!J9</f>
        <v>Mexico</v>
      </c>
    </row>
    <row r="79" spans="2:5" x14ac:dyDescent="0.2">
      <c r="D79" s="133" t="str">
        <f>+'2026 World Cup'!J14</f>
        <v>Gruppe B</v>
      </c>
      <c r="E79" s="134" t="str">
        <f>+'2026 World Cup'!J15</f>
        <v>Sveits</v>
      </c>
    </row>
    <row r="80" spans="2:5" x14ac:dyDescent="0.2">
      <c r="D80" s="133" t="str">
        <f>+'2026 World Cup'!J20</f>
        <v>Gruppe C</v>
      </c>
      <c r="E80" s="134" t="str">
        <f>+'2026 World Cup'!J21</f>
        <v>Brasil</v>
      </c>
    </row>
    <row r="81" spans="4:5" x14ac:dyDescent="0.2">
      <c r="D81" s="133" t="str">
        <f>+'2026 World Cup'!J26</f>
        <v>Gruppe D</v>
      </c>
      <c r="E81" s="134" t="str">
        <f>+'2026 World Cup'!J27</f>
        <v>USA</v>
      </c>
    </row>
    <row r="82" spans="4:5" x14ac:dyDescent="0.2">
      <c r="D82" s="133" t="str">
        <f>+'2026 World Cup'!J32</f>
        <v>Gruppe E</v>
      </c>
      <c r="E82" s="134" t="str">
        <f>+'2026 World Cup'!J33</f>
        <v>Tyskland</v>
      </c>
    </row>
    <row r="83" spans="4:5" x14ac:dyDescent="0.2">
      <c r="D83" s="133" t="str">
        <f>+'2026 World Cup'!J38</f>
        <v>Gruppe F</v>
      </c>
      <c r="E83" s="134" t="str">
        <f>+'2026 World Cup'!J39</f>
        <v>Japan</v>
      </c>
    </row>
    <row r="84" spans="4:5" x14ac:dyDescent="0.2">
      <c r="D84" s="133" t="str">
        <f>+'2026 World Cup'!J44</f>
        <v>Gruppe G</v>
      </c>
      <c r="E84" s="134" t="str">
        <f>+'2026 World Cup'!J45</f>
        <v>Belgia</v>
      </c>
    </row>
    <row r="85" spans="4:5" x14ac:dyDescent="0.2">
      <c r="D85" s="133" t="str">
        <f>+'2026 World Cup'!J50</f>
        <v>Gruppe H</v>
      </c>
      <c r="E85" s="134" t="str">
        <f>+'2026 World Cup'!J51</f>
        <v>Spania</v>
      </c>
    </row>
    <row r="86" spans="4:5" x14ac:dyDescent="0.2">
      <c r="D86" s="133" t="str">
        <f>+'2026 World Cup'!J56</f>
        <v>Gruppe I</v>
      </c>
      <c r="E86" s="134" t="str">
        <f>+'2026 World Cup'!J57</f>
        <v>Frankrike</v>
      </c>
    </row>
    <row r="87" spans="4:5" x14ac:dyDescent="0.2">
      <c r="D87" s="133" t="str">
        <f>+'2026 World Cup'!J62</f>
        <v>Gruppe J</v>
      </c>
      <c r="E87" s="134" t="str">
        <f>+'2026 World Cup'!J63</f>
        <v>Argentina</v>
      </c>
    </row>
    <row r="88" spans="4:5" x14ac:dyDescent="0.2">
      <c r="D88" s="133" t="str">
        <f>+'2026 World Cup'!J68</f>
        <v>Gruppe K</v>
      </c>
      <c r="E88" s="134" t="str">
        <f>+'2026 World Cup'!J69</f>
        <v>Portugal</v>
      </c>
    </row>
    <row r="89" spans="4:5" x14ac:dyDescent="0.2">
      <c r="D89" s="133" t="str">
        <f>+'2026 World Cup'!J74</f>
        <v>Gruppe L</v>
      </c>
      <c r="E89" s="134" t="str">
        <f>+'2026 World Cup'!J75</f>
        <v>England</v>
      </c>
    </row>
    <row r="91" spans="4:5" x14ac:dyDescent="0.2">
      <c r="D91" s="131" t="s">
        <v>3708</v>
      </c>
    </row>
    <row r="92" spans="4:5" x14ac:dyDescent="0.2">
      <c r="D92" s="132">
        <v>1</v>
      </c>
      <c r="E92" s="134" t="str">
        <f>+'2026 World Cup'!BL10</f>
        <v>Tyskland</v>
      </c>
    </row>
    <row r="93" spans="4:5" x14ac:dyDescent="0.2">
      <c r="D93" s="132">
        <v>2</v>
      </c>
      <c r="E93" s="134" t="str">
        <f>+'2026 World Cup'!BL11</f>
        <v>Skottland</v>
      </c>
    </row>
    <row r="94" spans="4:5" x14ac:dyDescent="0.2">
      <c r="D94" s="132">
        <v>3</v>
      </c>
      <c r="E94" s="134" t="str">
        <f>+'2026 World Cup'!BL14</f>
        <v>Frankrike</v>
      </c>
    </row>
    <row r="95" spans="4:5" x14ac:dyDescent="0.2">
      <c r="D95" s="132">
        <v>4</v>
      </c>
      <c r="E95" s="134" t="str">
        <f>+'2026 World Cup'!BL15</f>
        <v>Sverige</v>
      </c>
    </row>
    <row r="96" spans="4:5" x14ac:dyDescent="0.2">
      <c r="D96" s="132">
        <f t="shared" ref="D96:D123" si="3">+D95+1</f>
        <v>5</v>
      </c>
      <c r="E96" s="134" t="str">
        <f>+'2026 World Cup'!BL18</f>
        <v>Tsjekkia</v>
      </c>
    </row>
    <row r="97" spans="4:5" x14ac:dyDescent="0.2">
      <c r="D97" s="132">
        <f t="shared" si="3"/>
        <v>6</v>
      </c>
      <c r="E97" s="134" t="str">
        <f>+'2026 World Cup'!BL19</f>
        <v>Canada</v>
      </c>
    </row>
    <row r="98" spans="4:5" x14ac:dyDescent="0.2">
      <c r="D98" s="132">
        <f t="shared" si="3"/>
        <v>7</v>
      </c>
      <c r="E98" s="134" t="str">
        <f>+'2026 World Cup'!BL22</f>
        <v>Japan</v>
      </c>
    </row>
    <row r="99" spans="4:5" x14ac:dyDescent="0.2">
      <c r="D99" s="132">
        <f t="shared" si="3"/>
        <v>8</v>
      </c>
      <c r="E99" s="134" t="str">
        <f>+'2026 World Cup'!BL23</f>
        <v>Marokko</v>
      </c>
    </row>
    <row r="100" spans="4:5" x14ac:dyDescent="0.2">
      <c r="D100" s="132">
        <f t="shared" si="3"/>
        <v>9</v>
      </c>
      <c r="E100" s="134" t="str">
        <f>+'2026 World Cup'!BL26</f>
        <v>Colombia</v>
      </c>
    </row>
    <row r="101" spans="4:5" x14ac:dyDescent="0.2">
      <c r="D101" s="132">
        <f t="shared" si="3"/>
        <v>10</v>
      </c>
      <c r="E101" s="134" t="str">
        <f>+'2026 World Cup'!BL27</f>
        <v>Kroatia</v>
      </c>
    </row>
    <row r="102" spans="4:5" x14ac:dyDescent="0.2">
      <c r="D102" s="132">
        <f t="shared" si="3"/>
        <v>11</v>
      </c>
      <c r="E102" s="134" t="str">
        <f>+'2026 World Cup'!BL30</f>
        <v>Spania</v>
      </c>
    </row>
    <row r="103" spans="4:5" x14ac:dyDescent="0.2">
      <c r="D103" s="132">
        <f t="shared" si="3"/>
        <v>12</v>
      </c>
      <c r="E103" s="134" t="str">
        <f>+'2026 World Cup'!BL31</f>
        <v>Østerrike</v>
      </c>
    </row>
    <row r="104" spans="4:5" x14ac:dyDescent="0.2">
      <c r="D104" s="132">
        <f t="shared" si="3"/>
        <v>13</v>
      </c>
      <c r="E104" s="134" t="str">
        <f>+'2026 World Cup'!BL34</f>
        <v>USA</v>
      </c>
    </row>
    <row r="105" spans="4:5" x14ac:dyDescent="0.2">
      <c r="D105" s="132">
        <f t="shared" si="3"/>
        <v>14</v>
      </c>
      <c r="E105" s="134" t="str">
        <f>+'2026 World Cup'!BL35</f>
        <v>Bosnia-Hercegovina</v>
      </c>
    </row>
    <row r="106" spans="4:5" x14ac:dyDescent="0.2">
      <c r="D106" s="132">
        <f t="shared" si="3"/>
        <v>15</v>
      </c>
      <c r="E106" s="134" t="str">
        <f>+'2026 World Cup'!BL38</f>
        <v>Belgia</v>
      </c>
    </row>
    <row r="107" spans="4:5" x14ac:dyDescent="0.2">
      <c r="D107" s="132">
        <f t="shared" si="3"/>
        <v>16</v>
      </c>
      <c r="E107" s="134" t="str">
        <f>+'2026 World Cup'!BL39</f>
        <v>Sør-Korea</v>
      </c>
    </row>
    <row r="108" spans="4:5" x14ac:dyDescent="0.2">
      <c r="D108" s="132">
        <f t="shared" si="3"/>
        <v>17</v>
      </c>
      <c r="E108" s="134" t="str">
        <f>+'2026 World Cup'!BL42</f>
        <v>Brasil</v>
      </c>
    </row>
    <row r="109" spans="4:5" x14ac:dyDescent="0.2">
      <c r="D109" s="132">
        <f t="shared" si="3"/>
        <v>18</v>
      </c>
      <c r="E109" s="134" t="str">
        <f>+'2026 World Cup'!BL43</f>
        <v>Nederland</v>
      </c>
    </row>
    <row r="110" spans="4:5" x14ac:dyDescent="0.2">
      <c r="D110" s="132">
        <f t="shared" si="3"/>
        <v>19</v>
      </c>
      <c r="E110" s="134" t="str">
        <f>+'2026 World Cup'!BL46</f>
        <v>Ecuador</v>
      </c>
    </row>
    <row r="111" spans="4:5" x14ac:dyDescent="0.2">
      <c r="D111" s="132">
        <f t="shared" si="3"/>
        <v>20</v>
      </c>
      <c r="E111" s="134" t="str">
        <f>+'2026 World Cup'!BL47</f>
        <v>Norge</v>
      </c>
    </row>
    <row r="112" spans="4:5" x14ac:dyDescent="0.2">
      <c r="D112" s="132">
        <f t="shared" si="3"/>
        <v>21</v>
      </c>
      <c r="E112" s="134" t="str">
        <f>+'2026 World Cup'!BL50</f>
        <v>Mexico</v>
      </c>
    </row>
    <row r="113" spans="4:5" x14ac:dyDescent="0.2">
      <c r="D113" s="132">
        <f t="shared" si="3"/>
        <v>22</v>
      </c>
      <c r="E113" s="134" t="str">
        <f>+'2026 World Cup'!BL51</f>
        <v>Elfenbenskysten</v>
      </c>
    </row>
    <row r="114" spans="4:5" x14ac:dyDescent="0.2">
      <c r="D114" s="132">
        <f t="shared" si="3"/>
        <v>23</v>
      </c>
      <c r="E114" s="134" t="str">
        <f>+'2026 World Cup'!BL54</f>
        <v>England</v>
      </c>
    </row>
    <row r="115" spans="4:5" x14ac:dyDescent="0.2">
      <c r="D115" s="132">
        <f t="shared" si="3"/>
        <v>24</v>
      </c>
      <c r="E115" s="134" t="str">
        <f>+'2026 World Cup'!BL55</f>
        <v>Algerie</v>
      </c>
    </row>
    <row r="116" spans="4:5" x14ac:dyDescent="0.2">
      <c r="D116" s="132">
        <f t="shared" si="3"/>
        <v>25</v>
      </c>
      <c r="E116" s="134" t="str">
        <f>+'2026 World Cup'!BL58</f>
        <v>Argentina</v>
      </c>
    </row>
    <row r="117" spans="4:5" x14ac:dyDescent="0.2">
      <c r="D117" s="132">
        <f t="shared" si="3"/>
        <v>26</v>
      </c>
      <c r="E117" s="134" t="str">
        <f>+'2026 World Cup'!BL59</f>
        <v>Uruguay</v>
      </c>
    </row>
    <row r="118" spans="4:5" x14ac:dyDescent="0.2">
      <c r="D118" s="132">
        <f t="shared" si="3"/>
        <v>27</v>
      </c>
      <c r="E118" s="134" t="str">
        <f>+'2026 World Cup'!BL62</f>
        <v>Tyrkia</v>
      </c>
    </row>
    <row r="119" spans="4:5" x14ac:dyDescent="0.2">
      <c r="D119" s="132">
        <f t="shared" si="3"/>
        <v>28</v>
      </c>
      <c r="E119" s="134" t="str">
        <f>+'2026 World Cup'!BL63</f>
        <v>Iran</v>
      </c>
    </row>
    <row r="120" spans="4:5" x14ac:dyDescent="0.2">
      <c r="D120" s="132">
        <f t="shared" si="3"/>
        <v>29</v>
      </c>
      <c r="E120" s="134" t="str">
        <f>+'2026 World Cup'!BL66</f>
        <v>Sveits</v>
      </c>
    </row>
    <row r="121" spans="4:5" x14ac:dyDescent="0.2">
      <c r="D121" s="132">
        <f t="shared" si="3"/>
        <v>30</v>
      </c>
      <c r="E121" s="134" t="str">
        <f>+'2026 World Cup'!BL67</f>
        <v>Egypt</v>
      </c>
    </row>
    <row r="122" spans="4:5" x14ac:dyDescent="0.2">
      <c r="D122" s="132">
        <f t="shared" si="3"/>
        <v>31</v>
      </c>
      <c r="E122" s="134" t="str">
        <f>+'2026 World Cup'!BL70</f>
        <v>Portugal</v>
      </c>
    </row>
    <row r="123" spans="4:5" x14ac:dyDescent="0.2">
      <c r="D123" s="132">
        <f t="shared" si="3"/>
        <v>32</v>
      </c>
      <c r="E123" s="134" t="str">
        <f>+'2026 World Cup'!BL71</f>
        <v>Senegal</v>
      </c>
    </row>
    <row r="124" spans="4:5" x14ac:dyDescent="0.2">
      <c r="D124" s="146"/>
    </row>
    <row r="125" spans="4:5" x14ac:dyDescent="0.2">
      <c r="D125" s="131" t="s">
        <v>3733</v>
      </c>
    </row>
    <row r="126" spans="4:5" x14ac:dyDescent="0.2">
      <c r="D126" s="132">
        <v>1</v>
      </c>
      <c r="E126" s="134" t="str">
        <f>+'2026 World Cup'!BS12</f>
        <v>Tyskland</v>
      </c>
    </row>
    <row r="127" spans="4:5" x14ac:dyDescent="0.2">
      <c r="D127" s="132">
        <v>2</v>
      </c>
      <c r="E127" s="134" t="str">
        <f>+'2026 World Cup'!BS13</f>
        <v>Frankrike</v>
      </c>
    </row>
    <row r="128" spans="4:5" x14ac:dyDescent="0.2">
      <c r="D128" s="132">
        <v>3</v>
      </c>
      <c r="E128" s="134" t="str">
        <f>+'2026 World Cup'!BS20</f>
        <v>Canada</v>
      </c>
    </row>
    <row r="129" spans="4:5" x14ac:dyDescent="0.2">
      <c r="D129" s="132">
        <v>4</v>
      </c>
      <c r="E129" s="134" t="str">
        <f>+'2026 World Cup'!BS21</f>
        <v>Marokko</v>
      </c>
    </row>
    <row r="130" spans="4:5" x14ac:dyDescent="0.2">
      <c r="D130" s="132">
        <f t="shared" ref="D130:D141" si="4">+D129+1</f>
        <v>5</v>
      </c>
      <c r="E130" s="134" t="str">
        <f>+'2026 World Cup'!BS28</f>
        <v>Kroatia</v>
      </c>
    </row>
    <row r="131" spans="4:5" x14ac:dyDescent="0.2">
      <c r="D131" s="132">
        <f t="shared" si="4"/>
        <v>6</v>
      </c>
      <c r="E131" s="134" t="str">
        <f>+'2026 World Cup'!BS29</f>
        <v>Spania</v>
      </c>
    </row>
    <row r="132" spans="4:5" x14ac:dyDescent="0.2">
      <c r="D132" s="132">
        <f t="shared" si="4"/>
        <v>7</v>
      </c>
      <c r="E132" s="134" t="str">
        <f>+'2026 World Cup'!BS36</f>
        <v>USA</v>
      </c>
    </row>
    <row r="133" spans="4:5" x14ac:dyDescent="0.2">
      <c r="D133" s="132">
        <f t="shared" si="4"/>
        <v>8</v>
      </c>
      <c r="E133" s="134" t="str">
        <f>+'2026 World Cup'!BS37</f>
        <v>Belgia</v>
      </c>
    </row>
    <row r="134" spans="4:5" x14ac:dyDescent="0.2">
      <c r="D134" s="132">
        <f t="shared" si="4"/>
        <v>9</v>
      </c>
      <c r="E134" s="134" t="str">
        <f>+'2026 World Cup'!BS44</f>
        <v>Brasil</v>
      </c>
    </row>
    <row r="135" spans="4:5" x14ac:dyDescent="0.2">
      <c r="D135" s="132">
        <f t="shared" si="4"/>
        <v>10</v>
      </c>
      <c r="E135" s="134" t="str">
        <f>+'2026 World Cup'!BS45</f>
        <v>Norge</v>
      </c>
    </row>
    <row r="136" spans="4:5" x14ac:dyDescent="0.2">
      <c r="D136" s="132">
        <f t="shared" si="4"/>
        <v>11</v>
      </c>
      <c r="E136" s="134" t="str">
        <f>+'2026 World Cup'!BS52</f>
        <v>Mexico</v>
      </c>
    </row>
    <row r="137" spans="4:5" x14ac:dyDescent="0.2">
      <c r="D137" s="132">
        <f t="shared" si="4"/>
        <v>12</v>
      </c>
      <c r="E137" s="134" t="str">
        <f>+'2026 World Cup'!BS53</f>
        <v>England</v>
      </c>
    </row>
    <row r="138" spans="4:5" x14ac:dyDescent="0.2">
      <c r="D138" s="132">
        <f t="shared" si="4"/>
        <v>13</v>
      </c>
      <c r="E138" s="134" t="str">
        <f>+'2026 World Cup'!BS60</f>
        <v>Argentina</v>
      </c>
    </row>
    <row r="139" spans="4:5" x14ac:dyDescent="0.2">
      <c r="D139" s="132">
        <f t="shared" si="4"/>
        <v>14</v>
      </c>
      <c r="E139" s="134" t="str">
        <f>+'2026 World Cup'!BS61</f>
        <v>Tyrkia</v>
      </c>
    </row>
    <row r="140" spans="4:5" x14ac:dyDescent="0.2">
      <c r="D140" s="132">
        <f t="shared" si="4"/>
        <v>15</v>
      </c>
      <c r="E140" s="134" t="str">
        <f>+'2026 World Cup'!BS68</f>
        <v>Sveits</v>
      </c>
    </row>
    <row r="141" spans="4:5" x14ac:dyDescent="0.2">
      <c r="D141" s="132">
        <f t="shared" si="4"/>
        <v>16</v>
      </c>
      <c r="E141" s="134" t="str">
        <f>+'2026 World Cup'!BS69</f>
        <v>Portugal</v>
      </c>
    </row>
    <row r="143" spans="4:5" x14ac:dyDescent="0.2">
      <c r="D143" s="131" t="s">
        <v>3710</v>
      </c>
    </row>
    <row r="144" spans="4:5" x14ac:dyDescent="0.2">
      <c r="D144" s="132">
        <v>1</v>
      </c>
      <c r="E144" s="134" t="str">
        <f>+'2026 World Cup'!BZ16</f>
        <v>Frankrike</v>
      </c>
    </row>
    <row r="145" spans="3:5" x14ac:dyDescent="0.2">
      <c r="C145" s="131" t="s">
        <v>3734</v>
      </c>
      <c r="D145" s="132">
        <f t="shared" ref="D145:D151" si="5">+D144+1</f>
        <v>2</v>
      </c>
      <c r="E145" s="134" t="str">
        <f>+'2026 World Cup'!BZ17</f>
        <v>Marokko</v>
      </c>
    </row>
    <row r="146" spans="3:5" x14ac:dyDescent="0.2">
      <c r="D146" s="132">
        <f t="shared" si="5"/>
        <v>3</v>
      </c>
      <c r="E146" s="134" t="str">
        <f>+'2026 World Cup'!BZ32</f>
        <v>Spania</v>
      </c>
    </row>
    <row r="147" spans="3:5" x14ac:dyDescent="0.2">
      <c r="D147" s="132">
        <f t="shared" si="5"/>
        <v>4</v>
      </c>
      <c r="E147" s="134" t="str">
        <f>+'2026 World Cup'!BZ33</f>
        <v>USA</v>
      </c>
    </row>
    <row r="148" spans="3:5" x14ac:dyDescent="0.2">
      <c r="D148" s="132">
        <f t="shared" si="5"/>
        <v>5</v>
      </c>
      <c r="E148" s="134" t="str">
        <f>+'2026 World Cup'!BZ48</f>
        <v>Norge</v>
      </c>
    </row>
    <row r="149" spans="3:5" x14ac:dyDescent="0.2">
      <c r="D149" s="132">
        <f t="shared" si="5"/>
        <v>6</v>
      </c>
      <c r="E149" s="134" t="str">
        <f>+'2026 World Cup'!BZ49</f>
        <v>England</v>
      </c>
    </row>
    <row r="150" spans="3:5" x14ac:dyDescent="0.2">
      <c r="D150" s="132">
        <f t="shared" si="5"/>
        <v>7</v>
      </c>
      <c r="E150" s="134" t="str">
        <f>+'2026 World Cup'!BZ64</f>
        <v>Argentina</v>
      </c>
    </row>
    <row r="151" spans="3:5" x14ac:dyDescent="0.2">
      <c r="D151" s="132">
        <f t="shared" si="5"/>
        <v>8</v>
      </c>
      <c r="E151" s="134" t="str">
        <f>+'2026 World Cup'!BZ65</f>
        <v>Portugal</v>
      </c>
    </row>
    <row r="153" spans="3:5" x14ac:dyDescent="0.2">
      <c r="D153" s="131" t="str">
        <f>+I10</f>
        <v>Land videre til semifinale</v>
      </c>
    </row>
    <row r="154" spans="3:5" x14ac:dyDescent="0.2">
      <c r="D154" s="132">
        <v>1</v>
      </c>
      <c r="E154" s="134" t="str">
        <f>+'2026 World Cup'!CG23</f>
        <v>Frankrike</v>
      </c>
    </row>
    <row r="155" spans="3:5" x14ac:dyDescent="0.2">
      <c r="D155" s="132">
        <f>+D154+1</f>
        <v>2</v>
      </c>
      <c r="E155" s="134" t="str">
        <f>+'2026 World Cup'!CG24</f>
        <v>Spania</v>
      </c>
    </row>
    <row r="156" spans="3:5" x14ac:dyDescent="0.2">
      <c r="D156" s="132">
        <f>+D155+1</f>
        <v>3</v>
      </c>
      <c r="E156" s="134" t="str">
        <f>+'2026 World Cup'!CG55</f>
        <v>England</v>
      </c>
    </row>
    <row r="157" spans="3:5" x14ac:dyDescent="0.2">
      <c r="D157" s="132">
        <f>+D156+1</f>
        <v>4</v>
      </c>
      <c r="E157" s="134" t="str">
        <f>+'2026 World Cup'!CG56</f>
        <v>Argentina</v>
      </c>
    </row>
    <row r="159" spans="3:5" x14ac:dyDescent="0.2">
      <c r="D159" s="131" t="s">
        <v>3713</v>
      </c>
    </row>
    <row r="160" spans="3:5" x14ac:dyDescent="0.2">
      <c r="D160" s="132">
        <v>1</v>
      </c>
      <c r="E160" s="134" t="str">
        <f>+'2026 World Cup'!CN48</f>
        <v>Frankrike</v>
      </c>
    </row>
    <row r="161" spans="4:5" x14ac:dyDescent="0.2">
      <c r="D161" s="132">
        <f>+D160+1</f>
        <v>2</v>
      </c>
      <c r="E161" s="134" t="str">
        <f>+'2026 World Cup'!CN49</f>
        <v>England</v>
      </c>
    </row>
    <row r="162" spans="4:5" x14ac:dyDescent="0.2">
      <c r="D162" s="132" t="s">
        <v>3735</v>
      </c>
      <c r="E162" s="134" t="str">
        <f>+IF('2026 World Cup'!CO48&gt;'2026 World Cup'!CO49,'2026 World Cup'!CN48,IF('2026 World Cup'!CO48&lt;'2026 World Cup'!CP49,'2026 World Cup'!CN49))</f>
        <v>Frankrike</v>
      </c>
    </row>
    <row r="164" spans="4:5" x14ac:dyDescent="0.2">
      <c r="D164" s="131" t="str">
        <f>+I13</f>
        <v>Land i finalen</v>
      </c>
    </row>
    <row r="165" spans="4:5" x14ac:dyDescent="0.2">
      <c r="D165" s="132">
        <v>1</v>
      </c>
      <c r="E165" s="134" t="str">
        <f>+'2026 World Cup'!CN37</f>
        <v>Spania</v>
      </c>
    </row>
    <row r="166" spans="4:5" x14ac:dyDescent="0.2">
      <c r="D166" s="132">
        <f>+D165+1</f>
        <v>2</v>
      </c>
      <c r="E166" s="134" t="str">
        <f>+'2026 World Cup'!CN38</f>
        <v>Argentina</v>
      </c>
    </row>
    <row r="167" spans="4:5" x14ac:dyDescent="0.2">
      <c r="D167" s="132" t="s">
        <v>3736</v>
      </c>
      <c r="E167" s="134" t="str">
        <f>+'2026 World Cup'!CK68</f>
        <v>Spania</v>
      </c>
    </row>
  </sheetData>
  <pageMargins left="0.7" right="0.7" top="0.75" bottom="0.75" header="0.3" footer="0.3"/>
  <pageSetup paperSize="9" scale="54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9</vt:i4>
      </vt:variant>
    </vt:vector>
  </HeadingPairs>
  <TitlesOfParts>
    <vt:vector size="16" baseType="lpstr">
      <vt:lpstr>T</vt:lpstr>
      <vt:lpstr>Settings</vt:lpstr>
      <vt:lpstr>INPUT-&gt;</vt:lpstr>
      <vt:lpstr>2026 World Cup</vt:lpstr>
      <vt:lpstr>3rd places</vt:lpstr>
      <vt:lpstr>OUTPUT-&gt;</vt:lpstr>
      <vt:lpstr>Resultater</vt:lpstr>
      <vt:lpstr>db_fifarank</vt:lpstr>
      <vt:lpstr>gmt_delta</vt:lpstr>
      <vt:lpstr>group_round_completed</vt:lpstr>
      <vt:lpstr>lang</vt:lpstr>
      <vt:lpstr>lang_list</vt:lpstr>
      <vt:lpstr>my_team</vt:lpstr>
      <vt:lpstr>Resultater!Print_Area</vt:lpstr>
      <vt:lpstr>T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creator>Denys Kozyr</dc:creator>
  <cp:keywords>fifa;world cup;schedule;spreadsheet</cp:keywords>
  <cp:lastModifiedBy>Simon Sikkeland</cp:lastModifiedBy>
  <dcterms:created xsi:type="dcterms:W3CDTF">2017-12-27T19:32:51Z</dcterms:created>
  <dcterms:modified xsi:type="dcterms:W3CDTF">2026-06-07T18:27:30Z</dcterms:modified>
  <cp:category>Sports</cp:category>
</cp:coreProperties>
</file>