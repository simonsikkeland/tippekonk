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ontmgt-my.sharepoint.com/personal/marius_furuly_sflcorp_com/Documents/Documents/"/>
    </mc:Choice>
  </mc:AlternateContent>
  <xr:revisionPtr revIDLastSave="17" documentId="8_{0495CCFC-7B37-4FAC-9F59-C414993E2312}" xr6:coauthVersionLast="47" xr6:coauthVersionMax="47" xr10:uidLastSave="{F0977A1C-3652-4553-8883-8DA75A38FA6B}"/>
  <bookViews>
    <workbookView xWindow="-120" yWindow="-120" windowWidth="29040" windowHeight="15720" firstSheet="2" activeTab="7" xr2:uid="{00000000-000D-0000-FFFF-FFFF00000000}"/>
  </bookViews>
  <sheets>
    <sheet name="T" sheetId="1" state="hidden" r:id="rId1"/>
    <sheet name="Settings" sheetId="2" state="hidden" r:id="rId2"/>
    <sheet name="INPUT-&gt;" sheetId="6" r:id="rId3"/>
    <sheet name="2026 World Cup" sheetId="3" r:id="rId4"/>
    <sheet name="3rd places" sheetId="4" state="hidden" r:id="rId5"/>
    <sheet name="OUTPUT-&gt;" sheetId="7" r:id="rId6"/>
    <sheet name="Resultater" sheetId="5" r:id="rId7"/>
    <sheet name="MASTER" sheetId="8" r:id="rId8"/>
  </sheets>
  <externalReferences>
    <externalReference r:id="rId9"/>
    <externalReference r:id="rId10"/>
    <externalReference r:id="rId11"/>
    <externalReference r:id="rId12"/>
  </externalReferences>
  <definedNames>
    <definedName name="db_fifarank" localSheetId="7">[1]Settings!$B$15:$C$46</definedName>
    <definedName name="db_fifarank" localSheetId="6">[2]Settings!$B$15:$C$46</definedName>
    <definedName name="db_fifarank">Settings!$B$19:$C$66</definedName>
    <definedName name="gmt_delta" localSheetId="7">[1]Settings!$G$14</definedName>
    <definedName name="gmt_delta" localSheetId="6">[2]Settings!$G$14</definedName>
    <definedName name="gmt_delta">Settings!$G$16</definedName>
    <definedName name="group_round_completed">'2026 World Cup'!$AS$92</definedName>
    <definedName name="lang" localSheetId="7">[1]Settings!$G$13</definedName>
    <definedName name="lang" localSheetId="6">[2]Settings!$G$13</definedName>
    <definedName name="lang">Settings!$G$15</definedName>
    <definedName name="lang_list" localSheetId="7">[1]T!$1:$1</definedName>
    <definedName name="lang_list" localSheetId="6">[2]T!$1:$1</definedName>
    <definedName name="lang_list">T!$1:$1</definedName>
    <definedName name="lookup_3rd" localSheetId="7">[1]Turneringsskjema!$BB$50</definedName>
    <definedName name="lookup_3rd">[2]Turneringsskjema!$BB$50</definedName>
    <definedName name="my_team" localSheetId="7">[3]Settings!$I$15</definedName>
    <definedName name="my_team" localSheetId="6">[4]Settings!$I$15</definedName>
    <definedName name="my_team">Settings!$I$15</definedName>
    <definedName name="_xlnm.Print_Area" localSheetId="7">MASTER!$A$1:$AC$166</definedName>
    <definedName name="_xlnm.Print_Area" localSheetId="6">Resultater!$A$1:$N$168</definedName>
    <definedName name="T" localSheetId="7">[1]T!$1:$1048576</definedName>
    <definedName name="T" localSheetId="6">[2]T!$1:$1048576</definedName>
    <definedName name="T">T!$1:$1048576</definedName>
    <definedName name="tbl_lookup_3rd" localSheetId="7">[1]Turneringsskjema!$BD$53:$BH$67</definedName>
    <definedName name="tbl_lookup_3rd">[2]Turneringsskjema!$BD$53:$BH$67</definedName>
    <definedName name="teams" localSheetId="7">[3]Settings!$I$17:$I$48</definedName>
    <definedName name="teams" localSheetId="6">[4]Settings!$I$17:$I$48</definedName>
    <definedName name="teams">Settings!$I$17:$I$64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8" l="1"/>
  <c r="C186" i="8"/>
  <c r="E186" i="8" s="1"/>
  <c r="F186" i="8" s="1"/>
  <c r="G186" i="8" s="1"/>
  <c r="I80" i="5"/>
  <c r="E191" i="8"/>
  <c r="C196" i="8"/>
  <c r="B196" i="8"/>
  <c r="B195" i="8"/>
  <c r="C189" i="8"/>
  <c r="B189" i="8"/>
  <c r="E187" i="8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AI7" i="8"/>
  <c r="AC3" i="8"/>
  <c r="AN30" i="8" s="1"/>
  <c r="AB3" i="8"/>
  <c r="AN34" i="8" s="1"/>
  <c r="AA3" i="8"/>
  <c r="AN35" i="8" s="1"/>
  <c r="Z3" i="8"/>
  <c r="AN29" i="8" s="1"/>
  <c r="Y3" i="8"/>
  <c r="AN26" i="8" s="1"/>
  <c r="X3" i="8"/>
  <c r="AN33" i="8" s="1"/>
  <c r="W3" i="8"/>
  <c r="AN32" i="8" s="1"/>
  <c r="V3" i="8"/>
  <c r="AN28" i="8" s="1"/>
  <c r="U3" i="8"/>
  <c r="AN27" i="8" s="1"/>
  <c r="T3" i="8"/>
  <c r="AN31" i="8" s="1"/>
  <c r="S3" i="8"/>
  <c r="AN25" i="8" s="1"/>
  <c r="AJ75" i="8" l="1"/>
  <c r="AI75" i="8"/>
  <c r="AH75" i="8"/>
  <c r="AJ74" i="8"/>
  <c r="AI74" i="8"/>
  <c r="AH74" i="8"/>
  <c r="AJ73" i="8"/>
  <c r="AI73" i="8"/>
  <c r="AH73" i="8"/>
  <c r="AJ72" i="8"/>
  <c r="AI72" i="8"/>
  <c r="AH72" i="8"/>
  <c r="AJ71" i="8"/>
  <c r="AI71" i="8"/>
  <c r="AH71" i="8"/>
  <c r="AJ70" i="8"/>
  <c r="AI70" i="8"/>
  <c r="AH70" i="8"/>
  <c r="AJ69" i="8"/>
  <c r="AI69" i="8"/>
  <c r="AH69" i="8"/>
  <c r="AJ68" i="8"/>
  <c r="AI68" i="8"/>
  <c r="AH68" i="8"/>
  <c r="AJ67" i="8"/>
  <c r="AI67" i="8"/>
  <c r="AH67" i="8"/>
  <c r="AJ66" i="8"/>
  <c r="AI66" i="8"/>
  <c r="AH66" i="8"/>
  <c r="AJ65" i="8"/>
  <c r="AI65" i="8"/>
  <c r="AH65" i="8"/>
  <c r="AJ64" i="8"/>
  <c r="AI64" i="8"/>
  <c r="AH64" i="8"/>
  <c r="AJ63" i="8"/>
  <c r="AI63" i="8"/>
  <c r="AH63" i="8"/>
  <c r="AJ62" i="8"/>
  <c r="AI62" i="8"/>
  <c r="AH62" i="8"/>
  <c r="AJ61" i="8"/>
  <c r="AI61" i="8"/>
  <c r="AH61" i="8"/>
  <c r="AJ60" i="8"/>
  <c r="AI60" i="8"/>
  <c r="AH60" i="8"/>
  <c r="AJ59" i="8"/>
  <c r="AI59" i="8"/>
  <c r="AH59" i="8"/>
  <c r="AJ58" i="8"/>
  <c r="AI58" i="8"/>
  <c r="AH58" i="8"/>
  <c r="AJ57" i="8"/>
  <c r="AI57" i="8"/>
  <c r="AH57" i="8"/>
  <c r="AJ56" i="8"/>
  <c r="AI56" i="8"/>
  <c r="AH56" i="8"/>
  <c r="AJ55" i="8"/>
  <c r="AI55" i="8"/>
  <c r="AH55" i="8"/>
  <c r="AJ54" i="8"/>
  <c r="AI54" i="8"/>
  <c r="AH54" i="8"/>
  <c r="AJ53" i="8"/>
  <c r="AI53" i="8"/>
  <c r="AH53" i="8"/>
  <c r="AJ52" i="8"/>
  <c r="AI52" i="8"/>
  <c r="AH52" i="8"/>
  <c r="C88" i="8"/>
  <c r="C87" i="8"/>
  <c r="C86" i="8"/>
  <c r="C85" i="8"/>
  <c r="C84" i="8"/>
  <c r="C83" i="8"/>
  <c r="C82" i="8"/>
  <c r="C81" i="8"/>
  <c r="C80" i="8"/>
  <c r="C78" i="8"/>
  <c r="C79" i="8"/>
  <c r="C77" i="8"/>
  <c r="AH4" i="8"/>
  <c r="D75" i="8"/>
  <c r="AG75" i="8" s="1"/>
  <c r="C75" i="8"/>
  <c r="AF75" i="8" s="1"/>
  <c r="B75" i="8"/>
  <c r="D74" i="8"/>
  <c r="AG74" i="8" s="1"/>
  <c r="C74" i="8"/>
  <c r="AF74" i="8" s="1"/>
  <c r="B74" i="8"/>
  <c r="D73" i="8"/>
  <c r="AG73" i="8" s="1"/>
  <c r="C73" i="8"/>
  <c r="AF73" i="8" s="1"/>
  <c r="B73" i="8"/>
  <c r="D72" i="8"/>
  <c r="AG72" i="8" s="1"/>
  <c r="C72" i="8"/>
  <c r="AF72" i="8" s="1"/>
  <c r="B72" i="8"/>
  <c r="D71" i="8"/>
  <c r="AG71" i="8" s="1"/>
  <c r="C71" i="8"/>
  <c r="AF71" i="8" s="1"/>
  <c r="B71" i="8"/>
  <c r="D70" i="8"/>
  <c r="AG70" i="8" s="1"/>
  <c r="C70" i="8"/>
  <c r="AF70" i="8" s="1"/>
  <c r="B70" i="8"/>
  <c r="D69" i="8"/>
  <c r="AG69" i="8" s="1"/>
  <c r="C69" i="8"/>
  <c r="AF69" i="8" s="1"/>
  <c r="B69" i="8"/>
  <c r="D68" i="8"/>
  <c r="AG68" i="8" s="1"/>
  <c r="C68" i="8"/>
  <c r="AF68" i="8" s="1"/>
  <c r="B68" i="8"/>
  <c r="D67" i="8"/>
  <c r="AG67" i="8" s="1"/>
  <c r="C67" i="8"/>
  <c r="AF67" i="8" s="1"/>
  <c r="B67" i="8"/>
  <c r="D66" i="8"/>
  <c r="AG66" i="8" s="1"/>
  <c r="C66" i="8"/>
  <c r="AF66" i="8" s="1"/>
  <c r="B66" i="8"/>
  <c r="D65" i="8"/>
  <c r="AG65" i="8" s="1"/>
  <c r="C65" i="8"/>
  <c r="AF65" i="8" s="1"/>
  <c r="B65" i="8"/>
  <c r="D64" i="8"/>
  <c r="AG64" i="8" s="1"/>
  <c r="C64" i="8"/>
  <c r="AF64" i="8" s="1"/>
  <c r="B64" i="8"/>
  <c r="D63" i="8"/>
  <c r="AG63" i="8" s="1"/>
  <c r="C63" i="8"/>
  <c r="AF63" i="8" s="1"/>
  <c r="B63" i="8"/>
  <c r="D62" i="8"/>
  <c r="AG62" i="8" s="1"/>
  <c r="C62" i="8"/>
  <c r="AF62" i="8" s="1"/>
  <c r="B62" i="8"/>
  <c r="D61" i="8"/>
  <c r="AG61" i="8" s="1"/>
  <c r="C61" i="8"/>
  <c r="AF61" i="8" s="1"/>
  <c r="B61" i="8"/>
  <c r="D60" i="8"/>
  <c r="AG60" i="8" s="1"/>
  <c r="C60" i="8"/>
  <c r="AF60" i="8" s="1"/>
  <c r="B60" i="8"/>
  <c r="D59" i="8"/>
  <c r="AG59" i="8" s="1"/>
  <c r="C59" i="8"/>
  <c r="AF59" i="8" s="1"/>
  <c r="B59" i="8"/>
  <c r="D58" i="8"/>
  <c r="AG58" i="8" s="1"/>
  <c r="C58" i="8"/>
  <c r="AF58" i="8" s="1"/>
  <c r="B58" i="8"/>
  <c r="D57" i="8"/>
  <c r="AG57" i="8" s="1"/>
  <c r="C57" i="8"/>
  <c r="AF57" i="8" s="1"/>
  <c r="B57" i="8"/>
  <c r="D56" i="8"/>
  <c r="AG56" i="8" s="1"/>
  <c r="C56" i="8"/>
  <c r="AF56" i="8" s="1"/>
  <c r="B56" i="8"/>
  <c r="D55" i="8"/>
  <c r="AG55" i="8" s="1"/>
  <c r="C55" i="8"/>
  <c r="AF55" i="8" s="1"/>
  <c r="B55" i="8"/>
  <c r="D54" i="8"/>
  <c r="AG54" i="8" s="1"/>
  <c r="C54" i="8"/>
  <c r="AF54" i="8" s="1"/>
  <c r="B54" i="8"/>
  <c r="D53" i="8"/>
  <c r="AG53" i="8" s="1"/>
  <c r="C53" i="8"/>
  <c r="AF53" i="8" s="1"/>
  <c r="B53" i="8"/>
  <c r="D52" i="8"/>
  <c r="AG52" i="8" s="1"/>
  <c r="C52" i="8"/>
  <c r="AF52" i="8" s="1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D51" i="8"/>
  <c r="AG51" i="8" s="1"/>
  <c r="C51" i="8"/>
  <c r="AF51" i="8" s="1"/>
  <c r="D50" i="8"/>
  <c r="AG50" i="8" s="1"/>
  <c r="C50" i="8"/>
  <c r="AF50" i="8" s="1"/>
  <c r="D49" i="8"/>
  <c r="AG49" i="8" s="1"/>
  <c r="C49" i="8"/>
  <c r="AF49" i="8" s="1"/>
  <c r="D48" i="8"/>
  <c r="AG48" i="8" s="1"/>
  <c r="C48" i="8"/>
  <c r="AF48" i="8" s="1"/>
  <c r="D47" i="8"/>
  <c r="AG47" i="8" s="1"/>
  <c r="C47" i="8"/>
  <c r="AF47" i="8" s="1"/>
  <c r="D46" i="8"/>
  <c r="AG46" i="8" s="1"/>
  <c r="C46" i="8"/>
  <c r="AF46" i="8" s="1"/>
  <c r="D45" i="8"/>
  <c r="AG45" i="8" s="1"/>
  <c r="C45" i="8"/>
  <c r="AF45" i="8" s="1"/>
  <c r="D44" i="8"/>
  <c r="AG44" i="8" s="1"/>
  <c r="C44" i="8"/>
  <c r="AF44" i="8" s="1"/>
  <c r="D43" i="8"/>
  <c r="AG43" i="8" s="1"/>
  <c r="C43" i="8"/>
  <c r="AF43" i="8" s="1"/>
  <c r="D42" i="8"/>
  <c r="AG42" i="8" s="1"/>
  <c r="C42" i="8"/>
  <c r="AF42" i="8" s="1"/>
  <c r="D41" i="8"/>
  <c r="AG41" i="8" s="1"/>
  <c r="C41" i="8"/>
  <c r="AF41" i="8" s="1"/>
  <c r="D40" i="8"/>
  <c r="AG40" i="8" s="1"/>
  <c r="C40" i="8"/>
  <c r="AF40" i="8" s="1"/>
  <c r="D39" i="8"/>
  <c r="AG39" i="8" s="1"/>
  <c r="C39" i="8"/>
  <c r="AF39" i="8" s="1"/>
  <c r="D38" i="8"/>
  <c r="AG38" i="8" s="1"/>
  <c r="C38" i="8"/>
  <c r="AF38" i="8" s="1"/>
  <c r="D37" i="8"/>
  <c r="AG37" i="8" s="1"/>
  <c r="C37" i="8"/>
  <c r="AF37" i="8" s="1"/>
  <c r="D36" i="8"/>
  <c r="AG36" i="8" s="1"/>
  <c r="C36" i="8"/>
  <c r="AF36" i="8" s="1"/>
  <c r="D35" i="8"/>
  <c r="AG35" i="8" s="1"/>
  <c r="C35" i="8"/>
  <c r="AF35" i="8" s="1"/>
  <c r="D34" i="8"/>
  <c r="AG34" i="8" s="1"/>
  <c r="C34" i="8"/>
  <c r="AF34" i="8" s="1"/>
  <c r="D33" i="8"/>
  <c r="AG33" i="8" s="1"/>
  <c r="C33" i="8"/>
  <c r="AF33" i="8" s="1"/>
  <c r="D32" i="8"/>
  <c r="AG32" i="8" s="1"/>
  <c r="C32" i="8"/>
  <c r="AF32" i="8" s="1"/>
  <c r="D31" i="8"/>
  <c r="AG31" i="8" s="1"/>
  <c r="C31" i="8"/>
  <c r="AF31" i="8" s="1"/>
  <c r="D30" i="8"/>
  <c r="AG30" i="8" s="1"/>
  <c r="C30" i="8"/>
  <c r="AF30" i="8" s="1"/>
  <c r="D29" i="8"/>
  <c r="AG29" i="8" s="1"/>
  <c r="C29" i="8"/>
  <c r="AF29" i="8" s="1"/>
  <c r="D28" i="8"/>
  <c r="AG28" i="8" s="1"/>
  <c r="C28" i="8"/>
  <c r="AF28" i="8" s="1"/>
  <c r="D27" i="8"/>
  <c r="AG27" i="8" s="1"/>
  <c r="C27" i="8"/>
  <c r="AF27" i="8" s="1"/>
  <c r="D26" i="8"/>
  <c r="AG26" i="8" s="1"/>
  <c r="C26" i="8"/>
  <c r="AF26" i="8" s="1"/>
  <c r="D25" i="8"/>
  <c r="AG25" i="8" s="1"/>
  <c r="C25" i="8"/>
  <c r="AF25" i="8" s="1"/>
  <c r="D24" i="8"/>
  <c r="AG24" i="8" s="1"/>
  <c r="C24" i="8"/>
  <c r="AF24" i="8" s="1"/>
  <c r="D23" i="8"/>
  <c r="AG23" i="8" s="1"/>
  <c r="C23" i="8"/>
  <c r="AF23" i="8" s="1"/>
  <c r="D22" i="8"/>
  <c r="AG22" i="8" s="1"/>
  <c r="C22" i="8"/>
  <c r="AF22" i="8" s="1"/>
  <c r="D21" i="8"/>
  <c r="AG21" i="8" s="1"/>
  <c r="C21" i="8"/>
  <c r="AF21" i="8" s="1"/>
  <c r="D20" i="8"/>
  <c r="AG20" i="8" s="1"/>
  <c r="C20" i="8"/>
  <c r="AF20" i="8" s="1"/>
  <c r="D19" i="8"/>
  <c r="AG19" i="8" s="1"/>
  <c r="C19" i="8"/>
  <c r="AF19" i="8" s="1"/>
  <c r="D18" i="8"/>
  <c r="AG18" i="8" s="1"/>
  <c r="C18" i="8"/>
  <c r="AF18" i="8" s="1"/>
  <c r="D17" i="8"/>
  <c r="AG17" i="8" s="1"/>
  <c r="C17" i="8"/>
  <c r="AF17" i="8" s="1"/>
  <c r="D16" i="8"/>
  <c r="AG16" i="8" s="1"/>
  <c r="C16" i="8"/>
  <c r="AF16" i="8" s="1"/>
  <c r="D15" i="8"/>
  <c r="AG15" i="8" s="1"/>
  <c r="C15" i="8"/>
  <c r="AF15" i="8" s="1"/>
  <c r="D14" i="8"/>
  <c r="AG14" i="8" s="1"/>
  <c r="C14" i="8"/>
  <c r="AF14" i="8" s="1"/>
  <c r="D13" i="8"/>
  <c r="AG13" i="8" s="1"/>
  <c r="C13" i="8"/>
  <c r="AF13" i="8" s="1"/>
  <c r="D12" i="8"/>
  <c r="AG12" i="8" s="1"/>
  <c r="C12" i="8"/>
  <c r="AF12" i="8" s="1"/>
  <c r="D11" i="8"/>
  <c r="AG11" i="8" s="1"/>
  <c r="C11" i="8"/>
  <c r="AF11" i="8" s="1"/>
  <c r="D10" i="8"/>
  <c r="AG10" i="8" s="1"/>
  <c r="C10" i="8"/>
  <c r="AF10" i="8" s="1"/>
  <c r="D9" i="8"/>
  <c r="AG9" i="8" s="1"/>
  <c r="C9" i="8"/>
  <c r="AF9" i="8" s="1"/>
  <c r="D8" i="8"/>
  <c r="AG8" i="8" s="1"/>
  <c r="C8" i="8"/>
  <c r="AF8" i="8" s="1"/>
  <c r="D7" i="8"/>
  <c r="AG7" i="8" s="1"/>
  <c r="C7" i="8"/>
  <c r="AF7" i="8" s="1"/>
  <c r="D6" i="8"/>
  <c r="AG6" i="8" s="1"/>
  <c r="C6" i="8"/>
  <c r="AF6" i="8" s="1"/>
  <c r="D5" i="8"/>
  <c r="AG5" i="8" s="1"/>
  <c r="C5" i="8"/>
  <c r="AF5" i="8" s="1"/>
  <c r="D4" i="8"/>
  <c r="AG4" i="8" s="1"/>
  <c r="C4" i="8"/>
  <c r="AF4" i="8" s="1"/>
  <c r="C4" i="5"/>
  <c r="H186" i="8"/>
  <c r="I186" i="8" s="1"/>
  <c r="J186" i="8" s="1"/>
  <c r="K186" i="8" s="1"/>
  <c r="L186" i="8" s="1"/>
  <c r="R161" i="8"/>
  <c r="B158" i="8"/>
  <c r="R157" i="8"/>
  <c r="R156" i="8"/>
  <c r="V156" i="8"/>
  <c r="R153" i="8"/>
  <c r="B148" i="8"/>
  <c r="R148" i="8" s="1"/>
  <c r="R139" i="8"/>
  <c r="AJ51" i="8"/>
  <c r="AI51" i="8"/>
  <c r="AH51" i="8"/>
  <c r="AJ50" i="8"/>
  <c r="AI50" i="8"/>
  <c r="AH50" i="8"/>
  <c r="AJ49" i="8"/>
  <c r="AI49" i="8"/>
  <c r="AH49" i="8"/>
  <c r="AJ48" i="8"/>
  <c r="AI48" i="8"/>
  <c r="AH48" i="8"/>
  <c r="AJ47" i="8"/>
  <c r="AI47" i="8"/>
  <c r="AH47" i="8"/>
  <c r="AJ46" i="8"/>
  <c r="AI46" i="8"/>
  <c r="AH46" i="8"/>
  <c r="AJ45" i="8"/>
  <c r="AI45" i="8"/>
  <c r="AH45" i="8"/>
  <c r="AJ44" i="8"/>
  <c r="AI44" i="8"/>
  <c r="AH44" i="8"/>
  <c r="AJ43" i="8"/>
  <c r="AI43" i="8"/>
  <c r="AH43" i="8"/>
  <c r="AJ42" i="8"/>
  <c r="AI42" i="8"/>
  <c r="AH42" i="8"/>
  <c r="AJ41" i="8"/>
  <c r="AI41" i="8"/>
  <c r="AH41" i="8"/>
  <c r="AJ40" i="8"/>
  <c r="AI40" i="8"/>
  <c r="AH40" i="8"/>
  <c r="AJ39" i="8"/>
  <c r="AI39" i="8"/>
  <c r="AH39" i="8"/>
  <c r="AJ38" i="8"/>
  <c r="AI38" i="8"/>
  <c r="AH38" i="8"/>
  <c r="AJ37" i="8"/>
  <c r="AI37" i="8"/>
  <c r="AH37" i="8"/>
  <c r="AJ36" i="8"/>
  <c r="AI36" i="8"/>
  <c r="AH36" i="8"/>
  <c r="AJ35" i="8"/>
  <c r="AI35" i="8"/>
  <c r="AH35" i="8"/>
  <c r="AJ34" i="8"/>
  <c r="AI34" i="8"/>
  <c r="AH34" i="8"/>
  <c r="AJ33" i="8"/>
  <c r="AI33" i="8"/>
  <c r="AH33" i="8"/>
  <c r="AJ32" i="8"/>
  <c r="AI32" i="8"/>
  <c r="AH32" i="8"/>
  <c r="AJ31" i="8"/>
  <c r="AI31" i="8"/>
  <c r="AH31" i="8"/>
  <c r="AJ30" i="8"/>
  <c r="AI30" i="8"/>
  <c r="AH30" i="8"/>
  <c r="AJ29" i="8"/>
  <c r="AI29" i="8"/>
  <c r="AH29" i="8"/>
  <c r="AJ28" i="8"/>
  <c r="AI28" i="8"/>
  <c r="AH28" i="8"/>
  <c r="AJ27" i="8"/>
  <c r="AI27" i="8"/>
  <c r="AH27" i="8"/>
  <c r="AJ26" i="8"/>
  <c r="AI26" i="8"/>
  <c r="AH26" i="8"/>
  <c r="AJ25" i="8"/>
  <c r="AI25" i="8"/>
  <c r="AH25" i="8"/>
  <c r="AJ24" i="8"/>
  <c r="AI24" i="8"/>
  <c r="AH24" i="8"/>
  <c r="AJ23" i="8"/>
  <c r="AI23" i="8"/>
  <c r="AH23" i="8"/>
  <c r="AJ22" i="8"/>
  <c r="AI22" i="8"/>
  <c r="AH22" i="8"/>
  <c r="AJ21" i="8"/>
  <c r="AI21" i="8"/>
  <c r="AH21" i="8"/>
  <c r="AJ20" i="8"/>
  <c r="AI20" i="8"/>
  <c r="AH20" i="8"/>
  <c r="AJ19" i="8"/>
  <c r="AI19" i="8"/>
  <c r="AH19" i="8"/>
  <c r="AJ18" i="8"/>
  <c r="AI18" i="8"/>
  <c r="AH18" i="8"/>
  <c r="AJ17" i="8"/>
  <c r="AI17" i="8"/>
  <c r="AH17" i="8"/>
  <c r="AJ16" i="8"/>
  <c r="AI16" i="8"/>
  <c r="AH16" i="8"/>
  <c r="AJ15" i="8"/>
  <c r="AI15" i="8"/>
  <c r="AH15" i="8"/>
  <c r="AJ14" i="8"/>
  <c r="AI14" i="8"/>
  <c r="AH14" i="8"/>
  <c r="AJ13" i="8"/>
  <c r="AI13" i="8"/>
  <c r="AH13" i="8"/>
  <c r="AJ12" i="8"/>
  <c r="AI12" i="8"/>
  <c r="AH12" i="8"/>
  <c r="AJ11" i="8"/>
  <c r="AI11" i="8"/>
  <c r="AH11" i="8"/>
  <c r="AJ10" i="8"/>
  <c r="AI10" i="8"/>
  <c r="AH10" i="8"/>
  <c r="AJ9" i="8"/>
  <c r="AI9" i="8"/>
  <c r="AH9" i="8"/>
  <c r="AJ8" i="8"/>
  <c r="AI8" i="8"/>
  <c r="AH8" i="8"/>
  <c r="AJ7" i="8"/>
  <c r="AH7" i="8"/>
  <c r="AJ6" i="8"/>
  <c r="AI6" i="8"/>
  <c r="AH6" i="8"/>
  <c r="AJ5" i="8"/>
  <c r="AI5" i="8"/>
  <c r="AH5" i="8"/>
  <c r="AJ4" i="8"/>
  <c r="AI4" i="8"/>
  <c r="V25" i="8" l="1"/>
  <c r="AA25" i="8"/>
  <c r="Z25" i="8"/>
  <c r="W25" i="8"/>
  <c r="U25" i="8"/>
  <c r="AC25" i="8"/>
  <c r="X25" i="8"/>
  <c r="T25" i="8"/>
  <c r="S25" i="8"/>
  <c r="AB25" i="8"/>
  <c r="Y25" i="8"/>
  <c r="V41" i="8"/>
  <c r="AB41" i="8"/>
  <c r="T41" i="8"/>
  <c r="X41" i="8"/>
  <c r="W41" i="8"/>
  <c r="AC41" i="8"/>
  <c r="Y41" i="8"/>
  <c r="U41" i="8"/>
  <c r="AA41" i="8"/>
  <c r="Z41" i="8"/>
  <c r="S41" i="8"/>
  <c r="AA26" i="8"/>
  <c r="S26" i="8"/>
  <c r="Y26" i="8"/>
  <c r="X26" i="8"/>
  <c r="U26" i="8"/>
  <c r="T26" i="8"/>
  <c r="W26" i="8"/>
  <c r="V26" i="8"/>
  <c r="Z26" i="8"/>
  <c r="AC26" i="8"/>
  <c r="AB26" i="8"/>
  <c r="AA42" i="8"/>
  <c r="S42" i="8"/>
  <c r="Y42" i="8"/>
  <c r="W42" i="8"/>
  <c r="V42" i="8"/>
  <c r="AC42" i="8"/>
  <c r="U42" i="8"/>
  <c r="AB42" i="8"/>
  <c r="T42" i="8"/>
  <c r="Z42" i="8"/>
  <c r="X42" i="8"/>
  <c r="AA50" i="8"/>
  <c r="S50" i="8"/>
  <c r="Y50" i="8"/>
  <c r="U50" i="8"/>
  <c r="T50" i="8"/>
  <c r="Z50" i="8"/>
  <c r="AB50" i="8"/>
  <c r="X50" i="8"/>
  <c r="W50" i="8"/>
  <c r="AC50" i="8"/>
  <c r="V50" i="8"/>
  <c r="W54" i="8"/>
  <c r="AC54" i="8"/>
  <c r="U54" i="8"/>
  <c r="S54" i="8"/>
  <c r="AB54" i="8"/>
  <c r="Y54" i="8"/>
  <c r="V54" i="8"/>
  <c r="T54" i="8"/>
  <c r="Z54" i="8"/>
  <c r="AA54" i="8"/>
  <c r="X54" i="8"/>
  <c r="X62" i="8"/>
  <c r="W62" i="8"/>
  <c r="V62" i="8"/>
  <c r="AC62" i="8"/>
  <c r="U62" i="8"/>
  <c r="S62" i="8"/>
  <c r="AA62" i="8"/>
  <c r="AB62" i="8"/>
  <c r="Z62" i="8"/>
  <c r="Y62" i="8"/>
  <c r="T62" i="8"/>
  <c r="Y11" i="8"/>
  <c r="Z11" i="8"/>
  <c r="X19" i="8"/>
  <c r="AC19" i="8"/>
  <c r="T19" i="8"/>
  <c r="AB19" i="8"/>
  <c r="S19" i="8"/>
  <c r="Y19" i="8"/>
  <c r="W19" i="8"/>
  <c r="Z19" i="8"/>
  <c r="V19" i="8"/>
  <c r="U19" i="8"/>
  <c r="AA19" i="8"/>
  <c r="X27" i="8"/>
  <c r="W27" i="8"/>
  <c r="V27" i="8"/>
  <c r="AB27" i="8"/>
  <c r="S27" i="8"/>
  <c r="Y27" i="8"/>
  <c r="AC27" i="8"/>
  <c r="Z27" i="8"/>
  <c r="U27" i="8"/>
  <c r="AA27" i="8"/>
  <c r="T27" i="8"/>
  <c r="X35" i="8"/>
  <c r="AA35" i="8"/>
  <c r="Z35" i="8"/>
  <c r="V35" i="8"/>
  <c r="W35" i="8"/>
  <c r="AC35" i="8"/>
  <c r="AB35" i="8"/>
  <c r="Y35" i="8"/>
  <c r="U35" i="8"/>
  <c r="T35" i="8"/>
  <c r="S35" i="8"/>
  <c r="X43" i="8"/>
  <c r="V43" i="8"/>
  <c r="W43" i="8"/>
  <c r="U43" i="8"/>
  <c r="AB43" i="8"/>
  <c r="S43" i="8"/>
  <c r="Y43" i="8"/>
  <c r="T43" i="8"/>
  <c r="AA43" i="8"/>
  <c r="Z43" i="8"/>
  <c r="AC43" i="8"/>
  <c r="X51" i="8"/>
  <c r="V51" i="8"/>
  <c r="T51" i="8"/>
  <c r="AC51" i="8"/>
  <c r="S51" i="8"/>
  <c r="Z51" i="8"/>
  <c r="W51" i="8"/>
  <c r="U51" i="8"/>
  <c r="AB51" i="8"/>
  <c r="AA51" i="8"/>
  <c r="Y51" i="8"/>
  <c r="V57" i="8"/>
  <c r="AB57" i="8"/>
  <c r="T57" i="8"/>
  <c r="AC57" i="8"/>
  <c r="AA57" i="8"/>
  <c r="Z57" i="8"/>
  <c r="X57" i="8"/>
  <c r="S57" i="8"/>
  <c r="W57" i="8"/>
  <c r="U57" i="8"/>
  <c r="Y57" i="8"/>
  <c r="W65" i="8"/>
  <c r="V65" i="8"/>
  <c r="AC65" i="8"/>
  <c r="U65" i="8"/>
  <c r="AB65" i="8"/>
  <c r="T65" i="8"/>
  <c r="Z65" i="8"/>
  <c r="AA65" i="8"/>
  <c r="Y65" i="8"/>
  <c r="X65" i="8"/>
  <c r="S65" i="8"/>
  <c r="W73" i="8"/>
  <c r="V73" i="8"/>
  <c r="AC73" i="8"/>
  <c r="U73" i="8"/>
  <c r="AB73" i="8"/>
  <c r="T73" i="8"/>
  <c r="Z73" i="8"/>
  <c r="X73" i="8"/>
  <c r="Y73" i="8"/>
  <c r="S73" i="8"/>
  <c r="AA73" i="8"/>
  <c r="V12" i="8"/>
  <c r="AC12" i="8"/>
  <c r="U12" i="8"/>
  <c r="X12" i="8"/>
  <c r="AA12" i="8"/>
  <c r="Y12" i="8"/>
  <c r="W12" i="8"/>
  <c r="T12" i="8"/>
  <c r="S12" i="8"/>
  <c r="AB12" i="8"/>
  <c r="Z12" i="8"/>
  <c r="AC20" i="8"/>
  <c r="U20" i="8"/>
  <c r="AA20" i="8"/>
  <c r="Z20" i="8"/>
  <c r="W20" i="8"/>
  <c r="AB20" i="8"/>
  <c r="Y20" i="8"/>
  <c r="S20" i="8"/>
  <c r="X20" i="8"/>
  <c r="T20" i="8"/>
  <c r="V20" i="8"/>
  <c r="AC28" i="8"/>
  <c r="U28" i="8"/>
  <c r="V28" i="8"/>
  <c r="T28" i="8"/>
  <c r="Z28" i="8"/>
  <c r="AA28" i="8"/>
  <c r="Y28" i="8"/>
  <c r="AB28" i="8"/>
  <c r="X28" i="8"/>
  <c r="W28" i="8"/>
  <c r="S28" i="8"/>
  <c r="AC36" i="8"/>
  <c r="U36" i="8"/>
  <c r="AA36" i="8"/>
  <c r="Y36" i="8"/>
  <c r="X36" i="8"/>
  <c r="T36" i="8"/>
  <c r="AB36" i="8"/>
  <c r="S36" i="8"/>
  <c r="Z36" i="8"/>
  <c r="W36" i="8"/>
  <c r="V36" i="8"/>
  <c r="AC44" i="8"/>
  <c r="U44" i="8"/>
  <c r="AA44" i="8"/>
  <c r="S44" i="8"/>
  <c r="W44" i="8"/>
  <c r="V44" i="8"/>
  <c r="AB44" i="8"/>
  <c r="Y44" i="8"/>
  <c r="X44" i="8"/>
  <c r="Z44" i="8"/>
  <c r="T44" i="8"/>
  <c r="AC52" i="8"/>
  <c r="U52" i="8"/>
  <c r="AA52" i="8"/>
  <c r="S52" i="8"/>
  <c r="T52" i="8"/>
  <c r="Y52" i="8"/>
  <c r="W52" i="8"/>
  <c r="Z52" i="8"/>
  <c r="X52" i="8"/>
  <c r="V52" i="8"/>
  <c r="AB52" i="8"/>
  <c r="AC60" i="8"/>
  <c r="U60" i="8"/>
  <c r="AA60" i="8"/>
  <c r="S60" i="8"/>
  <c r="AB60" i="8"/>
  <c r="Y60" i="8"/>
  <c r="Z60" i="8"/>
  <c r="W60" i="8"/>
  <c r="X60" i="8"/>
  <c r="V60" i="8"/>
  <c r="T60" i="8"/>
  <c r="V68" i="8"/>
  <c r="AC68" i="8"/>
  <c r="U68" i="8"/>
  <c r="AB68" i="8"/>
  <c r="T68" i="8"/>
  <c r="AA68" i="8"/>
  <c r="S68" i="8"/>
  <c r="Y68" i="8"/>
  <c r="Z68" i="8"/>
  <c r="X68" i="8"/>
  <c r="W68" i="8"/>
  <c r="AC71" i="8"/>
  <c r="U71" i="8"/>
  <c r="AB71" i="8"/>
  <c r="T71" i="8"/>
  <c r="AA71" i="8"/>
  <c r="S71" i="8"/>
  <c r="Z71" i="8"/>
  <c r="X71" i="8"/>
  <c r="Y71" i="8"/>
  <c r="W71" i="8"/>
  <c r="V71" i="8"/>
  <c r="X59" i="8"/>
  <c r="V59" i="8"/>
  <c r="AB59" i="8"/>
  <c r="AA59" i="8"/>
  <c r="Z59" i="8"/>
  <c r="W59" i="8"/>
  <c r="U59" i="8"/>
  <c r="T59" i="8"/>
  <c r="S59" i="8"/>
  <c r="Y59" i="8"/>
  <c r="AC59" i="8"/>
  <c r="AA13" i="8"/>
  <c r="S13" i="8"/>
  <c r="Z13" i="8"/>
  <c r="W13" i="8"/>
  <c r="Y13" i="8"/>
  <c r="V13" i="8"/>
  <c r="AB13" i="8"/>
  <c r="X13" i="8"/>
  <c r="U13" i="8"/>
  <c r="T13" i="8"/>
  <c r="AC13" i="8"/>
  <c r="Z21" i="8"/>
  <c r="Y21" i="8"/>
  <c r="X21" i="8"/>
  <c r="U21" i="8"/>
  <c r="S21" i="8"/>
  <c r="AC21" i="8"/>
  <c r="W21" i="8"/>
  <c r="T21" i="8"/>
  <c r="AB21" i="8"/>
  <c r="AA21" i="8"/>
  <c r="V21" i="8"/>
  <c r="Z29" i="8"/>
  <c r="AC29" i="8"/>
  <c r="T29" i="8"/>
  <c r="AB29" i="8"/>
  <c r="S29" i="8"/>
  <c r="X29" i="8"/>
  <c r="W29" i="8"/>
  <c r="U29" i="8"/>
  <c r="AA29" i="8"/>
  <c r="Y29" i="8"/>
  <c r="V29" i="8"/>
  <c r="Z37" i="8"/>
  <c r="X37" i="8"/>
  <c r="Y37" i="8"/>
  <c r="W37" i="8"/>
  <c r="T37" i="8"/>
  <c r="S37" i="8"/>
  <c r="AC37" i="8"/>
  <c r="AB37" i="8"/>
  <c r="AA37" i="8"/>
  <c r="V37" i="8"/>
  <c r="U37" i="8"/>
  <c r="Z45" i="8"/>
  <c r="X45" i="8"/>
  <c r="V45" i="8"/>
  <c r="U45" i="8"/>
  <c r="AB45" i="8"/>
  <c r="T45" i="8"/>
  <c r="AC45" i="8"/>
  <c r="S45" i="8"/>
  <c r="AA45" i="8"/>
  <c r="Y45" i="8"/>
  <c r="W45" i="8"/>
  <c r="AB55" i="8"/>
  <c r="T55" i="8"/>
  <c r="Z55" i="8"/>
  <c r="S55" i="8"/>
  <c r="AC55" i="8"/>
  <c r="X55" i="8"/>
  <c r="W55" i="8"/>
  <c r="AA55" i="8"/>
  <c r="V55" i="8"/>
  <c r="U55" i="8"/>
  <c r="Y55" i="8"/>
  <c r="AC63" i="8"/>
  <c r="U63" i="8"/>
  <c r="AB63" i="8"/>
  <c r="T63" i="8"/>
  <c r="AA63" i="8"/>
  <c r="S63" i="8"/>
  <c r="Z63" i="8"/>
  <c r="X63" i="8"/>
  <c r="V63" i="8"/>
  <c r="W63" i="8"/>
  <c r="Y63" i="8"/>
  <c r="X14" i="8"/>
  <c r="W14" i="8"/>
  <c r="V14" i="8"/>
  <c r="U14" i="8"/>
  <c r="AB14" i="8"/>
  <c r="T14" i="8"/>
  <c r="AC14" i="8"/>
  <c r="Z14" i="8"/>
  <c r="Y14" i="8"/>
  <c r="S14" i="8"/>
  <c r="AA14" i="8"/>
  <c r="W22" i="8"/>
  <c r="X22" i="8"/>
  <c r="V22" i="8"/>
  <c r="AB22" i="8"/>
  <c r="S22" i="8"/>
  <c r="T22" i="8"/>
  <c r="AA22" i="8"/>
  <c r="Y22" i="8"/>
  <c r="U22" i="8"/>
  <c r="AC22" i="8"/>
  <c r="Z22" i="8"/>
  <c r="W30" i="8"/>
  <c r="AA30" i="8"/>
  <c r="Z30" i="8"/>
  <c r="V30" i="8"/>
  <c r="T30" i="8"/>
  <c r="S30" i="8"/>
  <c r="AB30" i="8"/>
  <c r="X30" i="8"/>
  <c r="AC30" i="8"/>
  <c r="U30" i="8"/>
  <c r="Y30" i="8"/>
  <c r="W38" i="8"/>
  <c r="AC38" i="8"/>
  <c r="U38" i="8"/>
  <c r="Y38" i="8"/>
  <c r="X38" i="8"/>
  <c r="S38" i="8"/>
  <c r="V38" i="8"/>
  <c r="Z38" i="8"/>
  <c r="T38" i="8"/>
  <c r="AA38" i="8"/>
  <c r="AB38" i="8"/>
  <c r="W46" i="8"/>
  <c r="AC46" i="8"/>
  <c r="U46" i="8"/>
  <c r="V46" i="8"/>
  <c r="T46" i="8"/>
  <c r="AA46" i="8"/>
  <c r="S46" i="8"/>
  <c r="Y46" i="8"/>
  <c r="AB46" i="8"/>
  <c r="X46" i="8"/>
  <c r="Z46" i="8"/>
  <c r="AA58" i="8"/>
  <c r="S58" i="8"/>
  <c r="Y58" i="8"/>
  <c r="AC58" i="8"/>
  <c r="AB58" i="8"/>
  <c r="W58" i="8"/>
  <c r="Z58" i="8"/>
  <c r="X58" i="8"/>
  <c r="V58" i="8"/>
  <c r="T58" i="8"/>
  <c r="U58" i="8"/>
  <c r="AB66" i="8"/>
  <c r="T66" i="8"/>
  <c r="AA66" i="8"/>
  <c r="S66" i="8"/>
  <c r="Z66" i="8"/>
  <c r="Y66" i="8"/>
  <c r="W66" i="8"/>
  <c r="U66" i="8"/>
  <c r="V66" i="8"/>
  <c r="X66" i="8"/>
  <c r="AC66" i="8"/>
  <c r="AB74" i="8"/>
  <c r="T74" i="8"/>
  <c r="AA74" i="8"/>
  <c r="S74" i="8"/>
  <c r="Z74" i="8"/>
  <c r="Y74" i="8"/>
  <c r="AC74" i="8"/>
  <c r="W74" i="8"/>
  <c r="X74" i="8"/>
  <c r="V74" i="8"/>
  <c r="U74" i="8"/>
  <c r="AC15" i="8"/>
  <c r="U15" i="8"/>
  <c r="AB15" i="8"/>
  <c r="T15" i="8"/>
  <c r="W15" i="8"/>
  <c r="AA15" i="8"/>
  <c r="Z15" i="8"/>
  <c r="X15" i="8"/>
  <c r="V15" i="8"/>
  <c r="Y15" i="8"/>
  <c r="S15" i="8"/>
  <c r="AB23" i="8"/>
  <c r="T23" i="8"/>
  <c r="V23" i="8"/>
  <c r="U23" i="8"/>
  <c r="Z23" i="8"/>
  <c r="X23" i="8"/>
  <c r="W23" i="8"/>
  <c r="AC23" i="8"/>
  <c r="S23" i="8"/>
  <c r="AA23" i="8"/>
  <c r="Y23" i="8"/>
  <c r="AB31" i="8"/>
  <c r="T31" i="8"/>
  <c r="Y31" i="8"/>
  <c r="X31" i="8"/>
  <c r="U31" i="8"/>
  <c r="W31" i="8"/>
  <c r="AA31" i="8"/>
  <c r="Z31" i="8"/>
  <c r="V31" i="8"/>
  <c r="AC31" i="8"/>
  <c r="S31" i="8"/>
  <c r="AB39" i="8"/>
  <c r="T39" i="8"/>
  <c r="Z39" i="8"/>
  <c r="X39" i="8"/>
  <c r="W39" i="8"/>
  <c r="S39" i="8"/>
  <c r="AC39" i="8"/>
  <c r="AA39" i="8"/>
  <c r="Y39" i="8"/>
  <c r="V39" i="8"/>
  <c r="U39" i="8"/>
  <c r="AB47" i="8"/>
  <c r="T47" i="8"/>
  <c r="Z47" i="8"/>
  <c r="V47" i="8"/>
  <c r="U47" i="8"/>
  <c r="AA47" i="8"/>
  <c r="Y47" i="8"/>
  <c r="AC47" i="8"/>
  <c r="X47" i="8"/>
  <c r="W47" i="8"/>
  <c r="S47" i="8"/>
  <c r="Z53" i="8"/>
  <c r="X53" i="8"/>
  <c r="T53" i="8"/>
  <c r="AC53" i="8"/>
  <c r="S53" i="8"/>
  <c r="Y53" i="8"/>
  <c r="AB53" i="8"/>
  <c r="AA53" i="8"/>
  <c r="W53" i="8"/>
  <c r="U53" i="8"/>
  <c r="V53" i="8"/>
  <c r="AA61" i="8"/>
  <c r="Z61" i="8"/>
  <c r="Y61" i="8"/>
  <c r="X61" i="8"/>
  <c r="AC61" i="8"/>
  <c r="AB61" i="8"/>
  <c r="V61" i="8"/>
  <c r="T61" i="8"/>
  <c r="U61" i="8"/>
  <c r="S61" i="8"/>
  <c r="W61" i="8"/>
  <c r="AA69" i="8"/>
  <c r="S69" i="8"/>
  <c r="Z69" i="8"/>
  <c r="Y69" i="8"/>
  <c r="X69" i="8"/>
  <c r="V69" i="8"/>
  <c r="T69" i="8"/>
  <c r="U69" i="8"/>
  <c r="AB69" i="8"/>
  <c r="AC69" i="8"/>
  <c r="W69" i="8"/>
  <c r="V17" i="8"/>
  <c r="X17" i="8"/>
  <c r="W17" i="8"/>
  <c r="U17" i="8"/>
  <c r="AB17" i="8"/>
  <c r="Y17" i="8"/>
  <c r="T17" i="8"/>
  <c r="AA17" i="8"/>
  <c r="Z17" i="8"/>
  <c r="S17" i="8"/>
  <c r="AC17" i="8"/>
  <c r="V33" i="8"/>
  <c r="U33" i="8"/>
  <c r="AC33" i="8"/>
  <c r="T33" i="8"/>
  <c r="Z33" i="8"/>
  <c r="W33" i="8"/>
  <c r="AB33" i="8"/>
  <c r="AA33" i="8"/>
  <c r="Y33" i="8"/>
  <c r="X33" i="8"/>
  <c r="S33" i="8"/>
  <c r="V49" i="8"/>
  <c r="AB49" i="8"/>
  <c r="T49" i="8"/>
  <c r="U49" i="8"/>
  <c r="S49" i="8"/>
  <c r="Z49" i="8"/>
  <c r="W49" i="8"/>
  <c r="Y49" i="8"/>
  <c r="X49" i="8"/>
  <c r="AC49" i="8"/>
  <c r="AA49" i="8"/>
  <c r="Y67" i="8"/>
  <c r="X67" i="8"/>
  <c r="W67" i="8"/>
  <c r="V67" i="8"/>
  <c r="AB67" i="8"/>
  <c r="AA67" i="8"/>
  <c r="Z67" i="8"/>
  <c r="T67" i="8"/>
  <c r="S67" i="8"/>
  <c r="U67" i="8"/>
  <c r="AC67" i="8"/>
  <c r="Y75" i="8"/>
  <c r="X75" i="8"/>
  <c r="W75" i="8"/>
  <c r="V75" i="8"/>
  <c r="T75" i="8"/>
  <c r="S75" i="8"/>
  <c r="AB75" i="8"/>
  <c r="Z75" i="8"/>
  <c r="U75" i="8"/>
  <c r="AC75" i="8"/>
  <c r="AA75" i="8"/>
  <c r="AA18" i="8"/>
  <c r="S18" i="8"/>
  <c r="V18" i="8"/>
  <c r="U18" i="8"/>
  <c r="X18" i="8"/>
  <c r="AB18" i="8"/>
  <c r="Z18" i="8"/>
  <c r="W18" i="8"/>
  <c r="T18" i="8"/>
  <c r="Y18" i="8"/>
  <c r="AC18" i="8"/>
  <c r="AA34" i="8"/>
  <c r="S34" i="8"/>
  <c r="AC34" i="8"/>
  <c r="T34" i="8"/>
  <c r="AB34" i="8"/>
  <c r="X34" i="8"/>
  <c r="U34" i="8"/>
  <c r="Z34" i="8"/>
  <c r="Y34" i="8"/>
  <c r="W34" i="8"/>
  <c r="V34" i="8"/>
  <c r="X70" i="8"/>
  <c r="W70" i="8"/>
  <c r="V70" i="8"/>
  <c r="AC70" i="8"/>
  <c r="U70" i="8"/>
  <c r="AA70" i="8"/>
  <c r="Z70" i="8"/>
  <c r="Y70" i="8"/>
  <c r="S70" i="8"/>
  <c r="T70" i="8"/>
  <c r="AB70" i="8"/>
  <c r="Z16" i="8"/>
  <c r="Y16" i="8"/>
  <c r="V16" i="8"/>
  <c r="X16" i="8"/>
  <c r="U16" i="8"/>
  <c r="AB16" i="8"/>
  <c r="W16" i="8"/>
  <c r="T16" i="8"/>
  <c r="AC16" i="8"/>
  <c r="S16" i="8"/>
  <c r="AA16" i="8"/>
  <c r="Y24" i="8"/>
  <c r="AC24" i="8"/>
  <c r="T24" i="8"/>
  <c r="AB24" i="8"/>
  <c r="S24" i="8"/>
  <c r="X24" i="8"/>
  <c r="AA24" i="8"/>
  <c r="U24" i="8"/>
  <c r="Z24" i="8"/>
  <c r="W24" i="8"/>
  <c r="V24" i="8"/>
  <c r="Y32" i="8"/>
  <c r="W32" i="8"/>
  <c r="V32" i="8"/>
  <c r="AB32" i="8"/>
  <c r="S32" i="8"/>
  <c r="AA32" i="8"/>
  <c r="Z32" i="8"/>
  <c r="AC32" i="8"/>
  <c r="X32" i="8"/>
  <c r="U32" i="8"/>
  <c r="T32" i="8"/>
  <c r="Y40" i="8"/>
  <c r="W40" i="8"/>
  <c r="X40" i="8"/>
  <c r="V40" i="8"/>
  <c r="AC40" i="8"/>
  <c r="S40" i="8"/>
  <c r="Z40" i="8"/>
  <c r="U40" i="8"/>
  <c r="AA40" i="8"/>
  <c r="T40" i="8"/>
  <c r="AB40" i="8"/>
  <c r="Y48" i="8"/>
  <c r="W48" i="8"/>
  <c r="U48" i="8"/>
  <c r="T48" i="8"/>
  <c r="AA48" i="8"/>
  <c r="X48" i="8"/>
  <c r="AC48" i="8"/>
  <c r="V48" i="8"/>
  <c r="S48" i="8"/>
  <c r="AB48" i="8"/>
  <c r="Z48" i="8"/>
  <c r="Y56" i="8"/>
  <c r="W56" i="8"/>
  <c r="AC56" i="8"/>
  <c r="S56" i="8"/>
  <c r="AB56" i="8"/>
  <c r="X56" i="8"/>
  <c r="AA56" i="8"/>
  <c r="Z56" i="8"/>
  <c r="V56" i="8"/>
  <c r="T56" i="8"/>
  <c r="U56" i="8"/>
  <c r="Z64" i="8"/>
  <c r="Y64" i="8"/>
  <c r="X64" i="8"/>
  <c r="W64" i="8"/>
  <c r="AC64" i="8"/>
  <c r="AB64" i="8"/>
  <c r="AA64" i="8"/>
  <c r="U64" i="8"/>
  <c r="S64" i="8"/>
  <c r="V64" i="8"/>
  <c r="T64" i="8"/>
  <c r="Z72" i="8"/>
  <c r="Y72" i="8"/>
  <c r="X72" i="8"/>
  <c r="W72" i="8"/>
  <c r="U72" i="8"/>
  <c r="T72" i="8"/>
  <c r="S72" i="8"/>
  <c r="AC72" i="8"/>
  <c r="AB72" i="8"/>
  <c r="AA72" i="8"/>
  <c r="V72" i="8"/>
  <c r="N186" i="8"/>
  <c r="O186" i="8" s="1"/>
  <c r="M186" i="8"/>
  <c r="R59" i="8"/>
  <c r="R67" i="8"/>
  <c r="R75" i="8"/>
  <c r="R57" i="8"/>
  <c r="R65" i="8"/>
  <c r="R73" i="8"/>
  <c r="R62" i="8"/>
  <c r="R70" i="8"/>
  <c r="R58" i="8"/>
  <c r="R66" i="8"/>
  <c r="R74" i="8"/>
  <c r="R54" i="8"/>
  <c r="R53" i="8"/>
  <c r="R61" i="8"/>
  <c r="R69" i="8"/>
  <c r="R56" i="8"/>
  <c r="R64" i="8"/>
  <c r="R72" i="8"/>
  <c r="R52" i="8"/>
  <c r="R68" i="8"/>
  <c r="R55" i="8"/>
  <c r="R71" i="8"/>
  <c r="R60" i="8"/>
  <c r="R63" i="8"/>
  <c r="R34" i="8"/>
  <c r="R30" i="8"/>
  <c r="B77" i="8"/>
  <c r="R77" i="8" s="1"/>
  <c r="R47" i="8"/>
  <c r="R6" i="8"/>
  <c r="R22" i="8"/>
  <c r="R14" i="8"/>
  <c r="R5" i="8"/>
  <c r="R13" i="8"/>
  <c r="R21" i="8"/>
  <c r="R36" i="8"/>
  <c r="R38" i="8"/>
  <c r="S156" i="8"/>
  <c r="W156" i="8"/>
  <c r="R18" i="8"/>
  <c r="R26" i="8"/>
  <c r="R49" i="8"/>
  <c r="R10" i="8"/>
  <c r="R43" i="8"/>
  <c r="R9" i="8"/>
  <c r="R17" i="8"/>
  <c r="R25" i="8"/>
  <c r="R33" i="8"/>
  <c r="R41" i="8"/>
  <c r="R42" i="8"/>
  <c r="R4" i="8"/>
  <c r="R12" i="8"/>
  <c r="R20" i="8"/>
  <c r="R28" i="8"/>
  <c r="R23" i="8"/>
  <c r="R31" i="8"/>
  <c r="R39" i="8"/>
  <c r="R29" i="8"/>
  <c r="R37" i="8"/>
  <c r="R44" i="8"/>
  <c r="R7" i="8"/>
  <c r="R8" i="8"/>
  <c r="R16" i="8"/>
  <c r="R24" i="8"/>
  <c r="R32" i="8"/>
  <c r="R40" i="8"/>
  <c r="R15" i="8"/>
  <c r="R11" i="8"/>
  <c r="R19" i="8"/>
  <c r="R27" i="8"/>
  <c r="R35" i="8"/>
  <c r="R45" i="8"/>
  <c r="U158" i="8"/>
  <c r="R48" i="8"/>
  <c r="X156" i="8"/>
  <c r="V158" i="8"/>
  <c r="R51" i="8"/>
  <c r="Y156" i="8"/>
  <c r="W158" i="8"/>
  <c r="R46" i="8"/>
  <c r="Z156" i="8"/>
  <c r="X158" i="8"/>
  <c r="B159" i="8"/>
  <c r="AA156" i="8"/>
  <c r="Y158" i="8"/>
  <c r="Z158" i="8"/>
  <c r="U156" i="8"/>
  <c r="R158" i="8"/>
  <c r="AA158" i="8"/>
  <c r="R50" i="8"/>
  <c r="S158" i="8"/>
  <c r="I8" i="5"/>
  <c r="D130" i="5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5" i="5"/>
  <c r="D146" i="5" s="1"/>
  <c r="D147" i="5" s="1"/>
  <c r="D148" i="5" s="1"/>
  <c r="D149" i="5" s="1"/>
  <c r="D150" i="5" s="1"/>
  <c r="D151" i="5" s="1"/>
  <c r="E75" i="5"/>
  <c r="P75" i="8" s="1"/>
  <c r="E74" i="5"/>
  <c r="P74" i="8" s="1"/>
  <c r="E73" i="5"/>
  <c r="P73" i="8" s="1"/>
  <c r="E72" i="5"/>
  <c r="P72" i="8" s="1"/>
  <c r="E71" i="5"/>
  <c r="P71" i="8" s="1"/>
  <c r="E70" i="5"/>
  <c r="P70" i="8" s="1"/>
  <c r="E69" i="5"/>
  <c r="P69" i="8" s="1"/>
  <c r="E68" i="5"/>
  <c r="P68" i="8" s="1"/>
  <c r="E67" i="5"/>
  <c r="P67" i="8" s="1"/>
  <c r="E66" i="5"/>
  <c r="P66" i="8" s="1"/>
  <c r="E65" i="5"/>
  <c r="P65" i="8" s="1"/>
  <c r="E64" i="5"/>
  <c r="P64" i="8" s="1"/>
  <c r="E63" i="5"/>
  <c r="P63" i="8" s="1"/>
  <c r="E62" i="5"/>
  <c r="P62" i="8" s="1"/>
  <c r="E61" i="5"/>
  <c r="P61" i="8" s="1"/>
  <c r="E60" i="5"/>
  <c r="P60" i="8" s="1"/>
  <c r="E59" i="5"/>
  <c r="P59" i="8" s="1"/>
  <c r="E58" i="5"/>
  <c r="P58" i="8" s="1"/>
  <c r="E57" i="5"/>
  <c r="P57" i="8" s="1"/>
  <c r="E56" i="5"/>
  <c r="P56" i="8" s="1"/>
  <c r="E55" i="5"/>
  <c r="P55" i="8" s="1"/>
  <c r="E54" i="5"/>
  <c r="P54" i="8" s="1"/>
  <c r="E53" i="5"/>
  <c r="P53" i="8" s="1"/>
  <c r="E52" i="5"/>
  <c r="P52" i="8" s="1"/>
  <c r="E51" i="5"/>
  <c r="P51" i="8" s="1"/>
  <c r="E50" i="5"/>
  <c r="P50" i="8" s="1"/>
  <c r="E49" i="5"/>
  <c r="P49" i="8" s="1"/>
  <c r="E48" i="5"/>
  <c r="P48" i="8" s="1"/>
  <c r="E47" i="5"/>
  <c r="P47" i="8" s="1"/>
  <c r="E46" i="5"/>
  <c r="P46" i="8" s="1"/>
  <c r="E45" i="5"/>
  <c r="P45" i="8" s="1"/>
  <c r="E44" i="5"/>
  <c r="P44" i="8" s="1"/>
  <c r="E43" i="5"/>
  <c r="P43" i="8" s="1"/>
  <c r="E42" i="5"/>
  <c r="P42" i="8" s="1"/>
  <c r="E41" i="5"/>
  <c r="P41" i="8" s="1"/>
  <c r="E40" i="5"/>
  <c r="P40" i="8" s="1"/>
  <c r="E39" i="5"/>
  <c r="P39" i="8" s="1"/>
  <c r="E38" i="5"/>
  <c r="P38" i="8" s="1"/>
  <c r="E37" i="5"/>
  <c r="P37" i="8" s="1"/>
  <c r="E36" i="5"/>
  <c r="P36" i="8" s="1"/>
  <c r="E35" i="5"/>
  <c r="P35" i="8" s="1"/>
  <c r="E34" i="5"/>
  <c r="P34" i="8" s="1"/>
  <c r="E33" i="5"/>
  <c r="P33" i="8" s="1"/>
  <c r="E32" i="5"/>
  <c r="P32" i="8" s="1"/>
  <c r="E31" i="5"/>
  <c r="E30" i="5"/>
  <c r="P30" i="8" s="1"/>
  <c r="E29" i="5"/>
  <c r="P29" i="8" s="1"/>
  <c r="E28" i="5"/>
  <c r="P28" i="8" s="1"/>
  <c r="E27" i="5"/>
  <c r="P27" i="8" s="1"/>
  <c r="E26" i="5"/>
  <c r="P26" i="8" s="1"/>
  <c r="E25" i="5"/>
  <c r="P25" i="8" s="1"/>
  <c r="E24" i="5"/>
  <c r="P24" i="8" s="1"/>
  <c r="E23" i="5"/>
  <c r="P23" i="8" s="1"/>
  <c r="E22" i="5"/>
  <c r="P22" i="8" s="1"/>
  <c r="E21" i="5"/>
  <c r="P21" i="8" s="1"/>
  <c r="E20" i="5"/>
  <c r="P20" i="8" s="1"/>
  <c r="E19" i="5"/>
  <c r="P19" i="8" s="1"/>
  <c r="E18" i="5"/>
  <c r="P18" i="8" s="1"/>
  <c r="E17" i="5"/>
  <c r="P17" i="8" s="1"/>
  <c r="E16" i="5"/>
  <c r="P16" i="8" s="1"/>
  <c r="E15" i="5"/>
  <c r="P15" i="8" s="1"/>
  <c r="E14" i="5"/>
  <c r="P14" i="8" s="1"/>
  <c r="E13" i="5"/>
  <c r="P13" i="8" s="1"/>
  <c r="E12" i="5"/>
  <c r="P12" i="8" s="1"/>
  <c r="E11" i="5"/>
  <c r="P11" i="8" s="1"/>
  <c r="X11" i="8" s="1"/>
  <c r="E10" i="5"/>
  <c r="P10" i="8" s="1"/>
  <c r="AA10" i="8" s="1"/>
  <c r="E9" i="5"/>
  <c r="P9" i="8" s="1"/>
  <c r="W9" i="8" s="1"/>
  <c r="E8" i="5"/>
  <c r="P8" i="8" s="1"/>
  <c r="Z8" i="8" s="1"/>
  <c r="E7" i="5"/>
  <c r="E6" i="5"/>
  <c r="P6" i="8" s="1"/>
  <c r="X6" i="8" s="1"/>
  <c r="E5" i="5"/>
  <c r="P5" i="8" s="1"/>
  <c r="Z5" i="8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E4" i="5"/>
  <c r="P4" i="8" s="1"/>
  <c r="U4" i="8" s="1"/>
  <c r="D166" i="5"/>
  <c r="D164" i="5"/>
  <c r="D161" i="5"/>
  <c r="D155" i="5"/>
  <c r="D156" i="5" s="1"/>
  <c r="D157" i="5" s="1"/>
  <c r="D153" i="5"/>
  <c r="D96" i="5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I6" i="5"/>
  <c r="I5" i="5"/>
  <c r="W4" i="8" l="1"/>
  <c r="V11" i="8"/>
  <c r="AC4" i="8"/>
  <c r="AC11" i="8"/>
  <c r="W10" i="8"/>
  <c r="AA11" i="8"/>
  <c r="AB11" i="8"/>
  <c r="T11" i="8"/>
  <c r="W11" i="8"/>
  <c r="T10" i="8"/>
  <c r="S11" i="8"/>
  <c r="U11" i="8"/>
  <c r="Y10" i="8"/>
  <c r="V10" i="8"/>
  <c r="AC10" i="8"/>
  <c r="AB10" i="8"/>
  <c r="Z10" i="8"/>
  <c r="X10" i="8"/>
  <c r="S10" i="8"/>
  <c r="U10" i="8"/>
  <c r="V8" i="8"/>
  <c r="S8" i="8"/>
  <c r="W8" i="8"/>
  <c r="AC8" i="8"/>
  <c r="X8" i="8"/>
  <c r="AB8" i="8"/>
  <c r="T8" i="8"/>
  <c r="Y8" i="8"/>
  <c r="AA8" i="8"/>
  <c r="U8" i="8"/>
  <c r="X9" i="8"/>
  <c r="Z9" i="8"/>
  <c r="AB9" i="8"/>
  <c r="AC9" i="8"/>
  <c r="T9" i="8"/>
  <c r="Y9" i="8"/>
  <c r="S9" i="8"/>
  <c r="U9" i="8"/>
  <c r="V9" i="8"/>
  <c r="AA9" i="8"/>
  <c r="S5" i="8"/>
  <c r="S6" i="8"/>
  <c r="V6" i="8"/>
  <c r="AA5" i="8"/>
  <c r="AB6" i="8"/>
  <c r="Y6" i="8"/>
  <c r="AC6" i="8"/>
  <c r="T6" i="8"/>
  <c r="Z6" i="8"/>
  <c r="V5" i="8"/>
  <c r="U6" i="8"/>
  <c r="W6" i="8"/>
  <c r="W5" i="8"/>
  <c r="AA6" i="8"/>
  <c r="U5" i="8"/>
  <c r="X4" i="8"/>
  <c r="AB5" i="8"/>
  <c r="Y4" i="8"/>
  <c r="V4" i="8"/>
  <c r="T5" i="8"/>
  <c r="AA4" i="8"/>
  <c r="X5" i="8"/>
  <c r="T4" i="8"/>
  <c r="AB4" i="8"/>
  <c r="Y5" i="8"/>
  <c r="Z4" i="8"/>
  <c r="AC5" i="8"/>
  <c r="S4" i="8"/>
  <c r="P31" i="8"/>
  <c r="P7" i="8"/>
  <c r="B78" i="8"/>
  <c r="R78" i="8" s="1"/>
  <c r="V159" i="8"/>
  <c r="U159" i="8"/>
  <c r="S159" i="8"/>
  <c r="AA159" i="8"/>
  <c r="R159" i="8"/>
  <c r="Z159" i="8"/>
  <c r="Y159" i="8"/>
  <c r="B160" i="8"/>
  <c r="X159" i="8"/>
  <c r="W159" i="8"/>
  <c r="S7" i="8" l="1"/>
  <c r="T7" i="8"/>
  <c r="Z7" i="8"/>
  <c r="X7" i="8"/>
  <c r="Y7" i="8"/>
  <c r="AC7" i="8"/>
  <c r="AC2" i="8" s="1"/>
  <c r="AO30" i="8" s="1"/>
  <c r="W7" i="8"/>
  <c r="U7" i="8"/>
  <c r="V7" i="8"/>
  <c r="AB7" i="8"/>
  <c r="AA7" i="8"/>
  <c r="AB2" i="8"/>
  <c r="AO34" i="8" s="1"/>
  <c r="T2" i="8"/>
  <c r="AO31" i="8" s="1"/>
  <c r="X160" i="8"/>
  <c r="W160" i="8"/>
  <c r="V160" i="8"/>
  <c r="U160" i="8"/>
  <c r="B162" i="8"/>
  <c r="S160" i="8"/>
  <c r="AA160" i="8"/>
  <c r="R160" i="8"/>
  <c r="Z160" i="8"/>
  <c r="Y160" i="8"/>
  <c r="B79" i="8"/>
  <c r="R79" i="8" s="1"/>
  <c r="B80" i="8" l="1"/>
  <c r="R80" i="8" s="1"/>
  <c r="V162" i="8"/>
  <c r="U162" i="8"/>
  <c r="S162" i="8"/>
  <c r="AA162" i="8"/>
  <c r="R162" i="8"/>
  <c r="Z162" i="8"/>
  <c r="Y162" i="8"/>
  <c r="B163" i="8"/>
  <c r="X162" i="8"/>
  <c r="W162" i="8"/>
  <c r="B164" i="8" l="1"/>
  <c r="X163" i="8"/>
  <c r="W163" i="8"/>
  <c r="V163" i="8"/>
  <c r="U163" i="8"/>
  <c r="S163" i="8"/>
  <c r="AA163" i="8"/>
  <c r="R163" i="8"/>
  <c r="Z163" i="8"/>
  <c r="Y163" i="8"/>
  <c r="B81" i="8"/>
  <c r="R81" i="8" s="1"/>
  <c r="Y164" i="8" l="1"/>
  <c r="X164" i="8"/>
  <c r="W164" i="8"/>
  <c r="B165" i="8"/>
  <c r="V164" i="8"/>
  <c r="U164" i="8"/>
  <c r="S164" i="8"/>
  <c r="AA164" i="8"/>
  <c r="R164" i="8"/>
  <c r="Z164" i="8"/>
  <c r="B82" i="8"/>
  <c r="R82" i="8" s="1"/>
  <c r="B83" i="8" l="1"/>
  <c r="R83" i="8" s="1"/>
  <c r="S165" i="8"/>
  <c r="AA165" i="8"/>
  <c r="R165" i="8"/>
  <c r="Z165" i="8"/>
  <c r="Y165" i="8"/>
  <c r="X165" i="8"/>
  <c r="W165" i="8"/>
  <c r="V165" i="8"/>
  <c r="U165" i="8"/>
  <c r="B84" i="8" l="1"/>
  <c r="R84" i="8" l="1"/>
  <c r="B85" i="8"/>
  <c r="B86" i="8" l="1"/>
  <c r="R85" i="8"/>
  <c r="B87" i="8" l="1"/>
  <c r="R86" i="8"/>
  <c r="B88" i="8" l="1"/>
  <c r="R87" i="8"/>
  <c r="B90" i="8" l="1"/>
  <c r="R88" i="8"/>
  <c r="B91" i="8" l="1"/>
  <c r="R90" i="8"/>
  <c r="B92" i="8" l="1"/>
  <c r="R91" i="8"/>
  <c r="B93" i="8" l="1"/>
  <c r="R92" i="8"/>
  <c r="B94" i="8" l="1"/>
  <c r="R93" i="8"/>
  <c r="B95" i="8" l="1"/>
  <c r="R94" i="8"/>
  <c r="B96" i="8" l="1"/>
  <c r="R95" i="8"/>
  <c r="B97" i="8" l="1"/>
  <c r="R96" i="8"/>
  <c r="R97" i="8" l="1"/>
  <c r="B98" i="8"/>
  <c r="R98" i="8" s="1"/>
  <c r="B99" i="8"/>
  <c r="R99" i="8" s="1"/>
  <c r="B101" i="8" l="1"/>
  <c r="R101" i="8" s="1"/>
  <c r="B100" i="8"/>
  <c r="R100" i="8" s="1"/>
  <c r="B102" i="8" l="1"/>
  <c r="B103" i="8"/>
  <c r="R103" i="8" s="1"/>
  <c r="BP10" i="3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104" i="8" l="1"/>
  <c r="R104" i="8" s="1"/>
  <c r="R102" i="8"/>
  <c r="B105" i="8"/>
  <c r="R105" i="8" s="1"/>
  <c r="BW37" i="3"/>
  <c r="CR38" i="3"/>
  <c r="O3" i="3"/>
  <c r="G65" i="2"/>
  <c r="G16" i="2"/>
  <c r="CD31" i="3" s="1"/>
  <c r="G15" i="2"/>
  <c r="CE68" i="3" s="1"/>
  <c r="B106" i="8" l="1"/>
  <c r="R106" i="8" s="1"/>
  <c r="B107" i="8"/>
  <c r="R107" i="8" s="1"/>
  <c r="BW19" i="3"/>
  <c r="BW59" i="3"/>
  <c r="BP53" i="3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D89" i="5" s="1"/>
  <c r="J68" i="3" a="1"/>
  <c r="J68" i="3" s="1"/>
  <c r="D88" i="5" s="1"/>
  <c r="J62" i="3" a="1"/>
  <c r="J62" i="3" s="1"/>
  <c r="D87" i="5" s="1"/>
  <c r="J56" i="3" a="1"/>
  <c r="J56" i="3" s="1"/>
  <c r="D86" i="5" s="1"/>
  <c r="J50" i="3" a="1"/>
  <c r="J50" i="3" s="1"/>
  <c r="D85" i="5" s="1"/>
  <c r="J44" i="3" a="1"/>
  <c r="J44" i="3" s="1"/>
  <c r="D84" i="5" s="1"/>
  <c r="J38" i="3" a="1"/>
  <c r="J38" i="3" s="1"/>
  <c r="D83" i="5" s="1"/>
  <c r="J32" i="3" a="1"/>
  <c r="J32" i="3" s="1"/>
  <c r="D82" i="5" s="1"/>
  <c r="J26" i="3" a="1"/>
  <c r="J26" i="3" s="1"/>
  <c r="D81" i="5" s="1"/>
  <c r="J20" i="3" a="1"/>
  <c r="J20" i="3" s="1"/>
  <c r="D80" i="5" s="1"/>
  <c r="J14" i="3" a="1"/>
  <c r="J14" i="3" s="1"/>
  <c r="D79" i="5" s="1"/>
  <c r="J8" i="3" a="1"/>
  <c r="J8" i="3" s="1"/>
  <c r="D78" i="5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B108" i="8" l="1"/>
  <c r="R108" i="8" s="1"/>
  <c r="B109" i="8"/>
  <c r="R109" i="8" s="1"/>
  <c r="B110" i="8"/>
  <c r="R110" i="8" s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AE4" i="8" s="1"/>
  <c r="B7" i="3" a="1"/>
  <c r="B7" i="3" s="1"/>
  <c r="D8" i="3"/>
  <c r="C8" i="3" a="1"/>
  <c r="C8" i="3" s="1"/>
  <c r="AE5" i="8" s="1"/>
  <c r="B8" i="3" a="1"/>
  <c r="B8" i="3" s="1"/>
  <c r="D10" i="3"/>
  <c r="C10" i="3" a="1"/>
  <c r="C10" i="3" s="1"/>
  <c r="AE7" i="8" s="1"/>
  <c r="B10" i="3" a="1"/>
  <c r="B10" i="3" s="1"/>
  <c r="D18" i="3"/>
  <c r="C18" i="3" a="1"/>
  <c r="C18" i="3" s="1"/>
  <c r="AE15" i="8" s="1"/>
  <c r="B18" i="3" a="1"/>
  <c r="B18" i="3" s="1"/>
  <c r="D30" i="3"/>
  <c r="C30" i="3" a="1"/>
  <c r="C30" i="3" s="1"/>
  <c r="AE27" i="8" s="1"/>
  <c r="B30" i="3" a="1"/>
  <c r="B30" i="3" s="1"/>
  <c r="D54" i="3"/>
  <c r="C54" i="3" a="1"/>
  <c r="C54" i="3" s="1"/>
  <c r="AE51" i="8" s="1"/>
  <c r="B54" i="3" a="1"/>
  <c r="B54" i="3" s="1"/>
  <c r="D65" i="3"/>
  <c r="C65" i="3" a="1"/>
  <c r="C65" i="3" s="1"/>
  <c r="AE62" i="8" s="1"/>
  <c r="B65" i="3" a="1"/>
  <c r="B65" i="3" s="1"/>
  <c r="D66" i="3"/>
  <c r="C66" i="3" a="1"/>
  <c r="C66" i="3" s="1"/>
  <c r="AE63" i="8" s="1"/>
  <c r="B66" i="3" a="1"/>
  <c r="B66" i="3" s="1"/>
  <c r="D75" i="3"/>
  <c r="C75" i="3" a="1"/>
  <c r="C75" i="3" s="1"/>
  <c r="AE72" i="8" s="1"/>
  <c r="B75" i="3" a="1"/>
  <c r="B75" i="3" s="1"/>
  <c r="D76" i="3"/>
  <c r="C76" i="3" a="1"/>
  <c r="C76" i="3" s="1"/>
  <c r="AE73" i="8" s="1"/>
  <c r="B76" i="3" a="1"/>
  <c r="B76" i="3" s="1"/>
  <c r="D34" i="3"/>
  <c r="C34" i="3" a="1"/>
  <c r="C34" i="3" s="1"/>
  <c r="AE31" i="8" s="1"/>
  <c r="B34" i="3" a="1"/>
  <c r="B34" i="3" s="1"/>
  <c r="D59" i="3"/>
  <c r="C59" i="3" a="1"/>
  <c r="C59" i="3" s="1"/>
  <c r="AE56" i="8" s="1"/>
  <c r="B59" i="3" a="1"/>
  <c r="B59" i="3" s="1"/>
  <c r="D60" i="3"/>
  <c r="C60" i="3" a="1"/>
  <c r="C60" i="3" s="1"/>
  <c r="AE57" i="8" s="1"/>
  <c r="B60" i="3" a="1"/>
  <c r="B60" i="3" s="1"/>
  <c r="D42" i="3"/>
  <c r="C42" i="3" a="1"/>
  <c r="C42" i="3" s="1"/>
  <c r="AE39" i="8" s="1"/>
  <c r="B42" i="3" a="1"/>
  <c r="B42" i="3" s="1"/>
  <c r="D72" i="3"/>
  <c r="C72" i="3" a="1"/>
  <c r="C72" i="3" s="1"/>
  <c r="AE69" i="8" s="1"/>
  <c r="B72" i="3" a="1"/>
  <c r="B72" i="3" s="1"/>
  <c r="D31" i="3"/>
  <c r="C31" i="3" a="1"/>
  <c r="C31" i="3" s="1"/>
  <c r="AE28" i="8" s="1"/>
  <c r="B31" i="3" a="1"/>
  <c r="B31" i="3" s="1"/>
  <c r="D9" i="3"/>
  <c r="C9" i="3" a="1"/>
  <c r="C9" i="3" s="1"/>
  <c r="AE6" i="8" s="1"/>
  <c r="B9" i="3" a="1"/>
  <c r="B9" i="3" s="1"/>
  <c r="D13" i="3"/>
  <c r="C13" i="3" a="1"/>
  <c r="C13" i="3" s="1"/>
  <c r="AE10" i="8" s="1"/>
  <c r="B13" i="3" a="1"/>
  <c r="B13" i="3" s="1"/>
  <c r="D11" i="3"/>
  <c r="C11" i="3" a="1"/>
  <c r="C11" i="3" s="1"/>
  <c r="AE8" i="8" s="1"/>
  <c r="B11" i="3" a="1"/>
  <c r="B11" i="3" s="1"/>
  <c r="D35" i="3"/>
  <c r="C35" i="3" a="1"/>
  <c r="C35" i="3" s="1"/>
  <c r="AE32" i="8" s="1"/>
  <c r="B35" i="3" a="1"/>
  <c r="B35" i="3" s="1"/>
  <c r="D36" i="3"/>
  <c r="C36" i="3" a="1"/>
  <c r="C36" i="3" s="1"/>
  <c r="AE33" i="8" s="1"/>
  <c r="B36" i="3" a="1"/>
  <c r="B36" i="3" s="1"/>
  <c r="D55" i="3"/>
  <c r="C55" i="3" a="1"/>
  <c r="C55" i="3" s="1"/>
  <c r="AE52" i="8" s="1"/>
  <c r="B55" i="3" a="1"/>
  <c r="B55" i="3" s="1"/>
  <c r="D56" i="3"/>
  <c r="C56" i="3" a="1"/>
  <c r="C56" i="3" s="1"/>
  <c r="AE53" i="8" s="1"/>
  <c r="B56" i="3" a="1"/>
  <c r="B56" i="3" s="1"/>
  <c r="D15" i="3"/>
  <c r="C15" i="3" a="1"/>
  <c r="C15" i="3" s="1"/>
  <c r="AE12" i="8" s="1"/>
  <c r="B15" i="3" a="1"/>
  <c r="B15" i="3" s="1"/>
  <c r="D39" i="3"/>
  <c r="C39" i="3" a="1"/>
  <c r="C39" i="3" s="1"/>
  <c r="AE36" i="8" s="1"/>
  <c r="B39" i="3" a="1"/>
  <c r="B39" i="3" s="1"/>
  <c r="D61" i="3"/>
  <c r="C61" i="3" a="1"/>
  <c r="C61" i="3" s="1"/>
  <c r="AE58" i="8" s="1"/>
  <c r="B61" i="3" a="1"/>
  <c r="B61" i="3" s="1"/>
  <c r="D62" i="3"/>
  <c r="C62" i="3" a="1"/>
  <c r="C62" i="3" s="1"/>
  <c r="AE59" i="8" s="1"/>
  <c r="B62" i="3" a="1"/>
  <c r="B62" i="3" s="1"/>
  <c r="D20" i="3"/>
  <c r="C20" i="3" a="1"/>
  <c r="C20" i="3" s="1"/>
  <c r="AE17" i="8" s="1"/>
  <c r="B20" i="3" a="1"/>
  <c r="B20" i="3" s="1"/>
  <c r="D19" i="3"/>
  <c r="C19" i="3" a="1"/>
  <c r="C19" i="3" s="1"/>
  <c r="AE16" i="8" s="1"/>
  <c r="B19" i="3" a="1"/>
  <c r="B19" i="3" s="1"/>
  <c r="D43" i="3"/>
  <c r="C43" i="3" a="1"/>
  <c r="C43" i="3" s="1"/>
  <c r="AE40" i="8" s="1"/>
  <c r="B43" i="3" a="1"/>
  <c r="B43" i="3" s="1"/>
  <c r="D44" i="3"/>
  <c r="C44" i="3" a="1"/>
  <c r="C44" i="3" s="1"/>
  <c r="AE41" i="8" s="1"/>
  <c r="B44" i="3" a="1"/>
  <c r="B44" i="3" s="1"/>
  <c r="D23" i="3"/>
  <c r="C23" i="3" a="1"/>
  <c r="C23" i="3" s="1"/>
  <c r="AE20" i="8" s="1"/>
  <c r="B23" i="3" a="1"/>
  <c r="B23" i="3" s="1"/>
  <c r="D24" i="3"/>
  <c r="C24" i="3" a="1"/>
  <c r="C24" i="3" s="1"/>
  <c r="AE21" i="8" s="1"/>
  <c r="B24" i="3" a="1"/>
  <c r="B24" i="3" s="1"/>
  <c r="D48" i="3"/>
  <c r="C48" i="3" a="1"/>
  <c r="C48" i="3" s="1"/>
  <c r="AE45" i="8" s="1"/>
  <c r="B48" i="3" a="1"/>
  <c r="B48" i="3" s="1"/>
  <c r="D47" i="3"/>
  <c r="C47" i="3" a="1"/>
  <c r="C47" i="3" s="1"/>
  <c r="AE44" i="8" s="1"/>
  <c r="B47" i="3" a="1"/>
  <c r="B47" i="3" s="1"/>
  <c r="D67" i="3"/>
  <c r="C67" i="3" a="1"/>
  <c r="C67" i="3" s="1"/>
  <c r="AE64" i="8" s="1"/>
  <c r="B67" i="3" a="1"/>
  <c r="B67" i="3" s="1"/>
  <c r="D68" i="3"/>
  <c r="C68" i="3" a="1"/>
  <c r="C68" i="3" s="1"/>
  <c r="AE65" i="8" s="1"/>
  <c r="B68" i="3" a="1"/>
  <c r="B68" i="3" s="1"/>
  <c r="D77" i="3"/>
  <c r="C77" i="3" a="1"/>
  <c r="C77" i="3" s="1"/>
  <c r="AE74" i="8" s="1"/>
  <c r="B77" i="3" a="1"/>
  <c r="B77" i="3" s="1"/>
  <c r="D78" i="3"/>
  <c r="C78" i="3" a="1"/>
  <c r="C78" i="3" s="1"/>
  <c r="AE75" i="8" s="1"/>
  <c r="B78" i="3" a="1"/>
  <c r="B78" i="3" s="1"/>
  <c r="D27" i="3"/>
  <c r="C27" i="3" a="1"/>
  <c r="C27" i="3" s="1"/>
  <c r="AE24" i="8" s="1"/>
  <c r="B27" i="3" a="1"/>
  <c r="B27" i="3" s="1"/>
  <c r="D51" i="3"/>
  <c r="C51" i="3" a="1"/>
  <c r="C51" i="3" s="1"/>
  <c r="AE48" i="8" s="1"/>
  <c r="B51" i="3" a="1"/>
  <c r="B51" i="3" s="1"/>
  <c r="D52" i="3"/>
  <c r="C52" i="3" a="1"/>
  <c r="C52" i="3" s="1"/>
  <c r="AE49" i="8" s="1"/>
  <c r="B52" i="3" a="1"/>
  <c r="B52" i="3" s="1"/>
  <c r="D73" i="3"/>
  <c r="C73" i="3" a="1"/>
  <c r="C73" i="3" s="1"/>
  <c r="AE70" i="8" s="1"/>
  <c r="B73" i="3" a="1"/>
  <c r="B73" i="3" s="1"/>
  <c r="D74" i="3"/>
  <c r="C74" i="3" a="1"/>
  <c r="C74" i="3" s="1"/>
  <c r="AE71" i="8" s="1"/>
  <c r="B74" i="3" a="1"/>
  <c r="B74" i="3" s="1"/>
  <c r="D14" i="3"/>
  <c r="C14" i="3" a="1"/>
  <c r="C14" i="3" s="1"/>
  <c r="AE11" i="8" s="1"/>
  <c r="B14" i="3" a="1"/>
  <c r="B14" i="3" s="1"/>
  <c r="D32" i="3"/>
  <c r="C32" i="3" a="1"/>
  <c r="C32" i="3" s="1"/>
  <c r="AE29" i="8" s="1"/>
  <c r="B32" i="3" a="1"/>
  <c r="B32" i="3" s="1"/>
  <c r="D33" i="3"/>
  <c r="C33" i="3" a="1"/>
  <c r="C33" i="3" s="1"/>
  <c r="AE30" i="8" s="1"/>
  <c r="B33" i="3" a="1"/>
  <c r="B33" i="3" s="1"/>
  <c r="D57" i="3"/>
  <c r="C57" i="3" a="1"/>
  <c r="C57" i="3" s="1"/>
  <c r="AE54" i="8" s="1"/>
  <c r="B57" i="3" a="1"/>
  <c r="B57" i="3" s="1"/>
  <c r="D58" i="3"/>
  <c r="C58" i="3" a="1"/>
  <c r="C58" i="3" s="1"/>
  <c r="AE55" i="8" s="1"/>
  <c r="B58" i="3" a="1"/>
  <c r="B58" i="3" s="1"/>
  <c r="D12" i="3"/>
  <c r="C12" i="3" a="1"/>
  <c r="C12" i="3" s="1"/>
  <c r="AE9" i="8" s="1"/>
  <c r="B12" i="3" a="1"/>
  <c r="B12" i="3" s="1"/>
  <c r="D38" i="3"/>
  <c r="C38" i="3" a="1"/>
  <c r="C38" i="3" s="1"/>
  <c r="AE35" i="8" s="1"/>
  <c r="B38" i="3" a="1"/>
  <c r="B38" i="3" s="1"/>
  <c r="D37" i="3"/>
  <c r="C37" i="3" a="1"/>
  <c r="C37" i="3" s="1"/>
  <c r="AE34" i="8" s="1"/>
  <c r="B37" i="3" a="1"/>
  <c r="B37" i="3" s="1"/>
  <c r="D22" i="3"/>
  <c r="C22" i="3" a="1"/>
  <c r="C22" i="3" s="1"/>
  <c r="AE19" i="8" s="1"/>
  <c r="B22" i="3" a="1"/>
  <c r="B22" i="3" s="1"/>
  <c r="D21" i="3"/>
  <c r="C21" i="3" a="1"/>
  <c r="C21" i="3" s="1"/>
  <c r="AE18" i="8" s="1"/>
  <c r="B21" i="3" a="1"/>
  <c r="B21" i="3" s="1"/>
  <c r="D45" i="3"/>
  <c r="C45" i="3" a="1"/>
  <c r="C45" i="3" s="1"/>
  <c r="AE42" i="8" s="1"/>
  <c r="B45" i="3" a="1"/>
  <c r="B45" i="3" s="1"/>
  <c r="D46" i="3"/>
  <c r="C46" i="3" a="1"/>
  <c r="C46" i="3" s="1"/>
  <c r="AE43" i="8" s="1"/>
  <c r="B46" i="3" a="1"/>
  <c r="B46" i="3" s="1"/>
  <c r="D69" i="3"/>
  <c r="C69" i="3" a="1"/>
  <c r="C69" i="3" s="1"/>
  <c r="AE66" i="8" s="1"/>
  <c r="B69" i="3" a="1"/>
  <c r="B69" i="3" s="1"/>
  <c r="D70" i="3"/>
  <c r="C70" i="3" a="1"/>
  <c r="C70" i="3" s="1"/>
  <c r="AE67" i="8" s="1"/>
  <c r="B70" i="3" a="1"/>
  <c r="B70" i="3" s="1"/>
  <c r="D26" i="3"/>
  <c r="C26" i="3" a="1"/>
  <c r="C26" i="3" s="1"/>
  <c r="AE23" i="8" s="1"/>
  <c r="B26" i="3" a="1"/>
  <c r="B26" i="3" s="1"/>
  <c r="D50" i="3"/>
  <c r="C50" i="3" a="1"/>
  <c r="C50" i="3" s="1"/>
  <c r="AE47" i="8" s="1"/>
  <c r="B50" i="3" a="1"/>
  <c r="B50" i="3" s="1"/>
  <c r="D16" i="3"/>
  <c r="C16" i="3" a="1"/>
  <c r="C16" i="3" s="1"/>
  <c r="AE13" i="8" s="1"/>
  <c r="B16" i="3" a="1"/>
  <c r="B16" i="3" s="1"/>
  <c r="D40" i="3"/>
  <c r="C40" i="3" a="1"/>
  <c r="C40" i="3" s="1"/>
  <c r="AE37" i="8" s="1"/>
  <c r="B40" i="3" a="1"/>
  <c r="B40" i="3" s="1"/>
  <c r="D17" i="3"/>
  <c r="C17" i="3" a="1"/>
  <c r="C17" i="3" s="1"/>
  <c r="AE14" i="8" s="1"/>
  <c r="B17" i="3" a="1"/>
  <c r="B17" i="3" s="1"/>
  <c r="D41" i="3"/>
  <c r="C41" i="3" a="1"/>
  <c r="C41" i="3" s="1"/>
  <c r="AE38" i="8" s="1"/>
  <c r="B41" i="3" a="1"/>
  <c r="B41" i="3" s="1"/>
  <c r="D63" i="3"/>
  <c r="C63" i="3" a="1"/>
  <c r="C63" i="3" s="1"/>
  <c r="AE60" i="8" s="1"/>
  <c r="B63" i="3" a="1"/>
  <c r="B63" i="3" s="1"/>
  <c r="D64" i="3"/>
  <c r="C64" i="3" a="1"/>
  <c r="C64" i="3" s="1"/>
  <c r="AE61" i="8" s="1"/>
  <c r="B64" i="3" a="1"/>
  <c r="B64" i="3" s="1"/>
  <c r="D71" i="3"/>
  <c r="C71" i="3" a="1"/>
  <c r="C71" i="3" s="1"/>
  <c r="AE68" i="8" s="1"/>
  <c r="B71" i="3" a="1"/>
  <c r="B71" i="3" s="1"/>
  <c r="D25" i="3"/>
  <c r="C25" i="3" a="1"/>
  <c r="C25" i="3" s="1"/>
  <c r="AE22" i="8" s="1"/>
  <c r="B25" i="3" a="1"/>
  <c r="B25" i="3" s="1"/>
  <c r="D49" i="3"/>
  <c r="C49" i="3" a="1"/>
  <c r="C49" i="3" s="1"/>
  <c r="AE46" i="8" s="1"/>
  <c r="B49" i="3" a="1"/>
  <c r="B49" i="3" s="1"/>
  <c r="D29" i="3"/>
  <c r="C29" i="3" a="1"/>
  <c r="C29" i="3" s="1"/>
  <c r="AE26" i="8" s="1"/>
  <c r="B29" i="3" a="1"/>
  <c r="B29" i="3" s="1"/>
  <c r="D53" i="3"/>
  <c r="C53" i="3" a="1"/>
  <c r="C53" i="3" s="1"/>
  <c r="AE50" i="8" s="1"/>
  <c r="B53" i="3" a="1"/>
  <c r="B53" i="3" s="1"/>
  <c r="D28" i="3"/>
  <c r="C28" i="3" a="1"/>
  <c r="C28" i="3" s="1"/>
  <c r="AE25" i="8" s="1"/>
  <c r="B28" i="3" a="1"/>
  <c r="B28" i="3" s="1"/>
  <c r="E35" i="3"/>
  <c r="H36" i="3"/>
  <c r="D33" i="5" s="1"/>
  <c r="H35" i="3"/>
  <c r="D32" i="5" s="1"/>
  <c r="E36" i="3"/>
  <c r="H77" i="3"/>
  <c r="D74" i="5" s="1"/>
  <c r="E53" i="3"/>
  <c r="C50" i="5" s="1"/>
  <c r="E29" i="3"/>
  <c r="H59" i="3"/>
  <c r="D56" i="5" s="1"/>
  <c r="E34" i="3"/>
  <c r="E7" i="3"/>
  <c r="E60" i="3"/>
  <c r="C57" i="5" s="1"/>
  <c r="H31" i="3"/>
  <c r="D28" i="5" s="1"/>
  <c r="H7" i="3"/>
  <c r="D4" i="5" s="1"/>
  <c r="H57" i="3"/>
  <c r="D54" i="5" s="1"/>
  <c r="E33" i="3"/>
  <c r="E9" i="3"/>
  <c r="C6" i="5" s="1"/>
  <c r="H60" i="3"/>
  <c r="D57" i="5" s="1"/>
  <c r="H34" i="3"/>
  <c r="D31" i="5" s="1"/>
  <c r="E8" i="3"/>
  <c r="C5" i="5" s="1"/>
  <c r="H58" i="3"/>
  <c r="D55" i="5" s="1"/>
  <c r="H33" i="3"/>
  <c r="D30" i="5" s="1"/>
  <c r="E14" i="3"/>
  <c r="C11" i="5" s="1"/>
  <c r="E57" i="3"/>
  <c r="E32" i="3"/>
  <c r="H14" i="3"/>
  <c r="D11" i="5" s="1"/>
  <c r="H55" i="3"/>
  <c r="D52" i="5" s="1"/>
  <c r="E13" i="3"/>
  <c r="E56" i="3"/>
  <c r="C53" i="5" s="1"/>
  <c r="H13" i="3"/>
  <c r="D10" i="5" s="1"/>
  <c r="H56" i="3"/>
  <c r="D53" i="5" s="1"/>
  <c r="E11" i="3"/>
  <c r="E55" i="3"/>
  <c r="H11" i="3"/>
  <c r="D8" i="5" s="1"/>
  <c r="H65" i="3"/>
  <c r="D62" i="5" s="1"/>
  <c r="E37" i="3"/>
  <c r="C34" i="5" s="1"/>
  <c r="E10" i="3"/>
  <c r="C7" i="5" s="1"/>
  <c r="E66" i="3"/>
  <c r="C63" i="5" s="1"/>
  <c r="H38" i="3"/>
  <c r="D35" i="5" s="1"/>
  <c r="H10" i="3"/>
  <c r="D7" i="5" s="1"/>
  <c r="H66" i="3"/>
  <c r="D63" i="5" s="1"/>
  <c r="H37" i="3"/>
  <c r="D34" i="5" s="1"/>
  <c r="E65" i="3"/>
  <c r="E38" i="3"/>
  <c r="H62" i="3"/>
  <c r="D59" i="5" s="1"/>
  <c r="E39" i="3"/>
  <c r="C36" i="5" s="1"/>
  <c r="E16" i="3"/>
  <c r="C13" i="5" s="1"/>
  <c r="E61" i="3"/>
  <c r="H40" i="3"/>
  <c r="D37" i="5" s="1"/>
  <c r="H16" i="3"/>
  <c r="D13" i="5" s="1"/>
  <c r="H61" i="3"/>
  <c r="D58" i="5" s="1"/>
  <c r="H39" i="3"/>
  <c r="D36" i="5" s="1"/>
  <c r="E15" i="3"/>
  <c r="C12" i="5" s="1"/>
  <c r="E62" i="3"/>
  <c r="C59" i="5" s="1"/>
  <c r="E40" i="3"/>
  <c r="C37" i="5" s="1"/>
  <c r="H15" i="3"/>
  <c r="D12" i="5" s="1"/>
  <c r="H64" i="3"/>
  <c r="D61" i="5" s="1"/>
  <c r="E41" i="3"/>
  <c r="C38" i="5" s="1"/>
  <c r="E17" i="3"/>
  <c r="E63" i="3"/>
  <c r="H42" i="3"/>
  <c r="D39" i="5" s="1"/>
  <c r="H17" i="3"/>
  <c r="D14" i="5" s="1"/>
  <c r="H63" i="3"/>
  <c r="D60" i="5" s="1"/>
  <c r="H41" i="3"/>
  <c r="D38" i="5" s="1"/>
  <c r="E18" i="3"/>
  <c r="E64" i="3"/>
  <c r="C61" i="5" s="1"/>
  <c r="E42" i="3"/>
  <c r="H18" i="3"/>
  <c r="D15" i="5" s="1"/>
  <c r="H70" i="3"/>
  <c r="D67" i="5" s="1"/>
  <c r="E45" i="3"/>
  <c r="C42" i="5" s="1"/>
  <c r="H69" i="3"/>
  <c r="D66" i="5" s="1"/>
  <c r="H45" i="3"/>
  <c r="D42" i="5" s="1"/>
  <c r="E21" i="3"/>
  <c r="E70" i="3"/>
  <c r="E46" i="3"/>
  <c r="C43" i="5" s="1"/>
  <c r="H21" i="3"/>
  <c r="D18" i="5" s="1"/>
  <c r="H72" i="3"/>
  <c r="D69" i="5" s="1"/>
  <c r="E44" i="3"/>
  <c r="C41" i="5" s="1"/>
  <c r="E20" i="3"/>
  <c r="C17" i="5" s="1"/>
  <c r="H71" i="3"/>
  <c r="D68" i="5" s="1"/>
  <c r="H44" i="3"/>
  <c r="D41" i="5" s="1"/>
  <c r="E19" i="3"/>
  <c r="E72" i="3"/>
  <c r="E43" i="3"/>
  <c r="C40" i="5" s="1"/>
  <c r="H19" i="3"/>
  <c r="D16" i="5" s="1"/>
  <c r="H67" i="3"/>
  <c r="D64" i="5" s="1"/>
  <c r="E48" i="3"/>
  <c r="C45" i="5" s="1"/>
  <c r="E23" i="3"/>
  <c r="E68" i="3"/>
  <c r="C65" i="5" s="1"/>
  <c r="H47" i="3"/>
  <c r="D44" i="5" s="1"/>
  <c r="H23" i="3"/>
  <c r="D20" i="5" s="1"/>
  <c r="E67" i="3"/>
  <c r="E47" i="3"/>
  <c r="C44" i="5" s="1"/>
  <c r="H24" i="3"/>
  <c r="D21" i="5" s="1"/>
  <c r="H76" i="3"/>
  <c r="D73" i="5" s="1"/>
  <c r="E49" i="3"/>
  <c r="E25" i="3"/>
  <c r="E75" i="3"/>
  <c r="H50" i="3"/>
  <c r="D47" i="5" s="1"/>
  <c r="H25" i="3"/>
  <c r="D22" i="5" s="1"/>
  <c r="H75" i="3"/>
  <c r="D72" i="5" s="1"/>
  <c r="H49" i="3"/>
  <c r="D46" i="5" s="1"/>
  <c r="E26" i="3"/>
  <c r="C23" i="5" s="1"/>
  <c r="E76" i="3"/>
  <c r="E50" i="3"/>
  <c r="H26" i="3"/>
  <c r="D23" i="5" s="1"/>
  <c r="E78" i="3"/>
  <c r="H54" i="3"/>
  <c r="D51" i="5" s="1"/>
  <c r="H29" i="3"/>
  <c r="D26" i="5" s="1"/>
  <c r="H78" i="3"/>
  <c r="D75" i="5" s="1"/>
  <c r="H53" i="3"/>
  <c r="D50" i="5" s="1"/>
  <c r="E30" i="3"/>
  <c r="E77" i="3"/>
  <c r="E54" i="3"/>
  <c r="H30" i="3"/>
  <c r="D27" i="5" s="1"/>
  <c r="H73" i="3"/>
  <c r="D70" i="5" s="1"/>
  <c r="E51" i="3"/>
  <c r="C48" i="5" s="1"/>
  <c r="E28" i="3"/>
  <c r="C25" i="5" s="1"/>
  <c r="E74" i="3"/>
  <c r="C71" i="5" s="1"/>
  <c r="H52" i="3"/>
  <c r="D49" i="5" s="1"/>
  <c r="H28" i="3"/>
  <c r="D25" i="5" s="1"/>
  <c r="H74" i="3"/>
  <c r="D71" i="5" s="1"/>
  <c r="H51" i="3"/>
  <c r="D48" i="5" s="1"/>
  <c r="E27" i="3"/>
  <c r="E73" i="3"/>
  <c r="C70" i="5" s="1"/>
  <c r="E52" i="3"/>
  <c r="C49" i="5" s="1"/>
  <c r="H27" i="3"/>
  <c r="D24" i="5" s="1"/>
  <c r="E71" i="3"/>
  <c r="H43" i="3"/>
  <c r="D40" i="5" s="1"/>
  <c r="H20" i="3"/>
  <c r="D17" i="5" s="1"/>
  <c r="E59" i="3"/>
  <c r="C56" i="5" s="1"/>
  <c r="E31" i="3"/>
  <c r="E58" i="3"/>
  <c r="H32" i="3"/>
  <c r="D29" i="5" s="1"/>
  <c r="E69" i="3"/>
  <c r="H46" i="3"/>
  <c r="D43" i="5" s="1"/>
  <c r="H68" i="3"/>
  <c r="D65" i="5" s="1"/>
  <c r="H48" i="3"/>
  <c r="D45" i="5" s="1"/>
  <c r="E24" i="3"/>
  <c r="E12" i="3"/>
  <c r="H8" i="3"/>
  <c r="D5" i="5" s="1"/>
  <c r="H22" i="3"/>
  <c r="D19" i="5" s="1"/>
  <c r="H12" i="3"/>
  <c r="D9" i="5" s="1"/>
  <c r="E22" i="3"/>
  <c r="H9" i="3"/>
  <c r="D6" i="5" s="1"/>
  <c r="D7" i="3"/>
  <c r="B112" i="8" l="1"/>
  <c r="R112" i="8" s="1"/>
  <c r="B111" i="8"/>
  <c r="R111" i="8" s="1"/>
  <c r="AA23" i="3"/>
  <c r="C20" i="5"/>
  <c r="AA57" i="3"/>
  <c r="C54" i="5"/>
  <c r="AA54" i="3"/>
  <c r="C51" i="5"/>
  <c r="AA75" i="3"/>
  <c r="C72" i="5"/>
  <c r="AA19" i="3"/>
  <c r="C16" i="5"/>
  <c r="AA70" i="3"/>
  <c r="C67" i="5"/>
  <c r="AA34" i="3"/>
  <c r="C31" i="5"/>
  <c r="AA35" i="3"/>
  <c r="C32" i="5"/>
  <c r="AA77" i="3"/>
  <c r="C74" i="5"/>
  <c r="AA50" i="3"/>
  <c r="C47" i="5"/>
  <c r="AA25" i="3"/>
  <c r="C22" i="5"/>
  <c r="AA21" i="3"/>
  <c r="C18" i="5"/>
  <c r="AA18" i="3"/>
  <c r="C15" i="5"/>
  <c r="AA55" i="3"/>
  <c r="C52" i="5"/>
  <c r="AA32" i="3"/>
  <c r="C29" i="5"/>
  <c r="AA71" i="3"/>
  <c r="C68" i="5"/>
  <c r="AA61" i="3"/>
  <c r="C58" i="5"/>
  <c r="AA69" i="3"/>
  <c r="C66" i="5"/>
  <c r="AA58" i="3"/>
  <c r="C55" i="5"/>
  <c r="AA36" i="3"/>
  <c r="C33" i="5"/>
  <c r="AA49" i="3"/>
  <c r="C46" i="5"/>
  <c r="AA11" i="3"/>
  <c r="C8" i="5"/>
  <c r="AA29" i="3"/>
  <c r="C26" i="5"/>
  <c r="AA12" i="3"/>
  <c r="C9" i="5"/>
  <c r="AA31" i="3"/>
  <c r="C28" i="5"/>
  <c r="AA27" i="3"/>
  <c r="C24" i="5"/>
  <c r="AA67" i="3"/>
  <c r="C64" i="5"/>
  <c r="AA63" i="3"/>
  <c r="C60" i="5"/>
  <c r="AA38" i="3"/>
  <c r="C35" i="5"/>
  <c r="AA13" i="3"/>
  <c r="C10" i="5"/>
  <c r="AA30" i="3"/>
  <c r="C27" i="5"/>
  <c r="AA76" i="3"/>
  <c r="C73" i="5"/>
  <c r="AA24" i="3"/>
  <c r="C21" i="5"/>
  <c r="AA78" i="3"/>
  <c r="C75" i="5"/>
  <c r="AA72" i="3"/>
  <c r="C69" i="5"/>
  <c r="AA42" i="3"/>
  <c r="C39" i="5"/>
  <c r="AA17" i="3"/>
  <c r="C14" i="5"/>
  <c r="AA65" i="3"/>
  <c r="C62" i="5"/>
  <c r="AA22" i="3"/>
  <c r="C19" i="5"/>
  <c r="AA33" i="3"/>
  <c r="C30" i="5"/>
  <c r="AA74" i="3"/>
  <c r="AA26" i="3"/>
  <c r="AA48" i="3"/>
  <c r="AA20" i="3"/>
  <c r="AA40" i="3"/>
  <c r="AA16" i="3"/>
  <c r="AA14" i="3"/>
  <c r="AA53" i="3"/>
  <c r="AA52" i="3"/>
  <c r="AA28" i="3"/>
  <c r="AA44" i="3"/>
  <c r="AA45" i="3"/>
  <c r="AA62" i="3"/>
  <c r="AA39" i="3"/>
  <c r="AA66" i="3"/>
  <c r="AA73" i="3"/>
  <c r="AA51" i="3"/>
  <c r="AA47" i="3"/>
  <c r="AA15" i="3"/>
  <c r="AA10" i="3"/>
  <c r="AA56" i="3"/>
  <c r="AA9" i="3"/>
  <c r="AA43" i="3"/>
  <c r="AA37" i="3"/>
  <c r="AA8" i="3"/>
  <c r="AA60" i="3"/>
  <c r="AA68" i="3"/>
  <c r="AA59" i="3"/>
  <c r="AA46" i="3"/>
  <c r="AA7" i="3"/>
  <c r="AA64" i="3"/>
  <c r="AA41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41" i="3"/>
  <c r="S40" i="3"/>
  <c r="S62" i="3"/>
  <c r="T16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113" i="8" l="1"/>
  <c r="R113" i="8" s="1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X113" i="8" l="1"/>
  <c r="W113" i="8"/>
  <c r="B114" i="8"/>
  <c r="R114" i="8" s="1"/>
  <c r="S113" i="8"/>
  <c r="V113" i="8"/>
  <c r="U113" i="8"/>
  <c r="Z113" i="8"/>
  <c r="Y113" i="8"/>
  <c r="AA113" i="8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S114" i="8" l="1"/>
  <c r="AA114" i="8"/>
  <c r="X114" i="8"/>
  <c r="W114" i="8"/>
  <c r="Z114" i="8"/>
  <c r="B115" i="8"/>
  <c r="R115" i="8" s="1"/>
  <c r="Y114" i="8"/>
  <c r="V114" i="8"/>
  <c r="U114" i="8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Z115" i="8" l="1"/>
  <c r="Y115" i="8"/>
  <c r="X115" i="8"/>
  <c r="W115" i="8"/>
  <c r="V115" i="8"/>
  <c r="S115" i="8"/>
  <c r="B116" i="8"/>
  <c r="R116" i="8" s="1"/>
  <c r="AA115" i="8"/>
  <c r="U115" i="8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117" i="8" l="1"/>
  <c r="R117" i="8" s="1"/>
  <c r="U116" i="8"/>
  <c r="Z116" i="8"/>
  <c r="W116" i="8"/>
  <c r="S116" i="8"/>
  <c r="V116" i="8"/>
  <c r="Y116" i="8"/>
  <c r="AA116" i="8"/>
  <c r="X116" i="8"/>
  <c r="V34" i="3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U117" i="8" l="1"/>
  <c r="W117" i="8"/>
  <c r="S117" i="8"/>
  <c r="B118" i="8"/>
  <c r="Y117" i="8"/>
  <c r="Z117" i="8"/>
  <c r="X117" i="8"/>
  <c r="AA117" i="8"/>
  <c r="V117" i="8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B119" i="8" l="1"/>
  <c r="R118" i="8"/>
  <c r="X118" i="8"/>
  <c r="W118" i="8"/>
  <c r="V118" i="8"/>
  <c r="U118" i="8"/>
  <c r="S118" i="8"/>
  <c r="Z118" i="8"/>
  <c r="AA118" i="8"/>
  <c r="Y118" i="8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B120" i="8" l="1"/>
  <c r="R119" i="8"/>
  <c r="AY78" i="3"/>
  <c r="AY72" i="3"/>
  <c r="AY66" i="3"/>
  <c r="AY60" i="3"/>
  <c r="AY54" i="3"/>
  <c r="AY48" i="3"/>
  <c r="AY42" i="3"/>
  <c r="AY36" i="3"/>
  <c r="AY30" i="3"/>
  <c r="AY24" i="3"/>
  <c r="AY18" i="3"/>
  <c r="AY12" i="3"/>
  <c r="B121" i="8" l="1"/>
  <c r="R120" i="8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B123" i="8" l="1"/>
  <c r="R121" i="8"/>
  <c r="AZ78" i="3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124" i="8" l="1"/>
  <c r="R123" i="8"/>
  <c r="BA9" i="3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B125" i="8" l="1"/>
  <c r="R124" i="8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126" i="8" l="1"/>
  <c r="R125" i="8"/>
  <c r="BE77" i="3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127" i="8" l="1"/>
  <c r="R126" i="8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128" i="8" l="1"/>
  <c r="R127" i="8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129" i="8" l="1"/>
  <c r="R128" i="8"/>
  <c r="BG78" i="3"/>
  <c r="BH74" i="3" s="1"/>
  <c r="BG66" i="3"/>
  <c r="BH62" i="3" s="1"/>
  <c r="BG48" i="3"/>
  <c r="BH44" i="3" s="1"/>
  <c r="BG60" i="3"/>
  <c r="BH57" i="3" s="1"/>
  <c r="BG24" i="3"/>
  <c r="BH20" i="3" s="1"/>
  <c r="BG12" i="3"/>
  <c r="BG36" i="3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130" i="8" l="1"/>
  <c r="R129" i="8"/>
  <c r="BH23" i="3"/>
  <c r="BH32" i="3"/>
  <c r="BH8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131" i="8" l="1"/>
  <c r="R130" i="8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132" i="8" l="1"/>
  <c r="R131" i="8"/>
  <c r="BI20" i="3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B133" i="8" l="1"/>
  <c r="R132" i="8"/>
  <c r="AP72" i="3"/>
  <c r="AR68" i="3" s="1"/>
  <c r="AP12" i="3"/>
  <c r="AR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D58" i="3"/>
  <c r="B134" i="8"/>
  <c r="R133" i="8"/>
  <c r="AR29" i="3"/>
  <c r="AR34" i="3"/>
  <c r="AR33" i="3"/>
  <c r="AR9" i="3"/>
  <c r="AR69" i="3"/>
  <c r="AR70" i="3"/>
  <c r="AR71" i="3"/>
  <c r="AR35" i="3"/>
  <c r="AR75" i="3"/>
  <c r="AR76" i="3"/>
  <c r="AR27" i="3"/>
  <c r="AR77" i="3"/>
  <c r="AR28" i="3"/>
  <c r="AR11" i="3"/>
  <c r="AR10" i="3"/>
  <c r="AR22" i="3"/>
  <c r="AR41" i="3"/>
  <c r="AR21" i="3"/>
  <c r="AR65" i="3"/>
  <c r="AR40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B135" i="8" l="1"/>
  <c r="R134" i="8"/>
  <c r="M58" i="3"/>
  <c r="AD33" i="3"/>
  <c r="AD70" i="3"/>
  <c r="AD26" i="3"/>
  <c r="AD68" i="3"/>
  <c r="AD69" i="3"/>
  <c r="AD35" i="3"/>
  <c r="AD34" i="3"/>
  <c r="AD32" i="3"/>
  <c r="AD71" i="3"/>
  <c r="AD63" i="3"/>
  <c r="AD29" i="3"/>
  <c r="AD74" i="3"/>
  <c r="AD76" i="3"/>
  <c r="AD41" i="3"/>
  <c r="AD20" i="3"/>
  <c r="AD77" i="3"/>
  <c r="AD10" i="3"/>
  <c r="AD27" i="3"/>
  <c r="AD11" i="3"/>
  <c r="AD75" i="3"/>
  <c r="AD28" i="3"/>
  <c r="AD21" i="3"/>
  <c r="AD9" i="3"/>
  <c r="AD62" i="3"/>
  <c r="AD15" i="3"/>
  <c r="AD22" i="3"/>
  <c r="AD8" i="3"/>
  <c r="AD53" i="3"/>
  <c r="AD39" i="3"/>
  <c r="N58" i="3"/>
  <c r="L59" i="3"/>
  <c r="O60" i="3"/>
  <c r="L58" i="3"/>
  <c r="M59" i="3"/>
  <c r="AD47" i="3"/>
  <c r="AD14" i="3"/>
  <c r="AD44" i="3"/>
  <c r="L57" i="3"/>
  <c r="AD64" i="3"/>
  <c r="AD16" i="3"/>
  <c r="L60" i="3"/>
  <c r="J57" i="3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M69" i="3" l="1"/>
  <c r="N33" i="3"/>
  <c r="J75" i="3"/>
  <c r="E89" i="5" s="1"/>
  <c r="B136" i="8"/>
  <c r="R135" i="8"/>
  <c r="P58" i="3"/>
  <c r="M9" i="3"/>
  <c r="N76" i="3"/>
  <c r="N75" i="3"/>
  <c r="J45" i="3"/>
  <c r="E84" i="5" s="1"/>
  <c r="J36" i="3"/>
  <c r="N72" i="3"/>
  <c r="N69" i="3"/>
  <c r="L69" i="3"/>
  <c r="L72" i="3"/>
  <c r="M27" i="3"/>
  <c r="J35" i="3"/>
  <c r="AE84" i="3" s="1"/>
  <c r="AQ84" i="3" s="1"/>
  <c r="O71" i="3"/>
  <c r="M70" i="3"/>
  <c r="L75" i="3"/>
  <c r="M71" i="3"/>
  <c r="J69" i="3"/>
  <c r="E88" i="5" s="1"/>
  <c r="J71" i="3"/>
  <c r="AE90" i="3" s="1"/>
  <c r="AQ90" i="3" s="1"/>
  <c r="J72" i="3"/>
  <c r="L71" i="3"/>
  <c r="O75" i="3"/>
  <c r="N71" i="3"/>
  <c r="M75" i="3"/>
  <c r="O72" i="3"/>
  <c r="O69" i="3"/>
  <c r="M72" i="3"/>
  <c r="O36" i="3"/>
  <c r="N51" i="3"/>
  <c r="M39" i="3"/>
  <c r="M36" i="3"/>
  <c r="L35" i="3"/>
  <c r="N70" i="3"/>
  <c r="J33" i="3"/>
  <c r="E82" i="5" s="1"/>
  <c r="M33" i="3"/>
  <c r="L36" i="3"/>
  <c r="N34" i="3"/>
  <c r="O33" i="3"/>
  <c r="N36" i="3"/>
  <c r="L33" i="3"/>
  <c r="M34" i="3"/>
  <c r="L70" i="3"/>
  <c r="J34" i="3"/>
  <c r="AS33" i="3" s="1"/>
  <c r="BL46" i="3" s="1"/>
  <c r="E110" i="5" s="1"/>
  <c r="J70" i="3"/>
  <c r="AS69" i="3" s="1"/>
  <c r="BL26" i="3" s="1"/>
  <c r="E100" i="5" s="1"/>
  <c r="O70" i="3"/>
  <c r="N35" i="3"/>
  <c r="M35" i="3"/>
  <c r="O27" i="3"/>
  <c r="L34" i="3"/>
  <c r="J27" i="3"/>
  <c r="E81" i="5" s="1"/>
  <c r="O35" i="3"/>
  <c r="O34" i="3"/>
  <c r="L27" i="3"/>
  <c r="N77" i="3"/>
  <c r="J21" i="3"/>
  <c r="E80" i="5" s="1"/>
  <c r="N27" i="3"/>
  <c r="O22" i="3"/>
  <c r="M21" i="3"/>
  <c r="J22" i="3"/>
  <c r="AS21" i="3" s="1"/>
  <c r="BL23" i="3" s="1"/>
  <c r="P57" i="3"/>
  <c r="N21" i="3"/>
  <c r="L22" i="3"/>
  <c r="O21" i="3"/>
  <c r="M22" i="3"/>
  <c r="L21" i="3"/>
  <c r="N22" i="3"/>
  <c r="L30" i="3"/>
  <c r="M10" i="3"/>
  <c r="M64" i="3"/>
  <c r="O29" i="3"/>
  <c r="L77" i="3"/>
  <c r="L78" i="3"/>
  <c r="O78" i="3"/>
  <c r="L76" i="3"/>
  <c r="M76" i="3"/>
  <c r="O77" i="3"/>
  <c r="M77" i="3"/>
  <c r="O40" i="3"/>
  <c r="J29" i="3"/>
  <c r="AE83" i="3" s="1"/>
  <c r="AQ83" i="3" s="1"/>
  <c r="M78" i="3"/>
  <c r="J77" i="3"/>
  <c r="AE91" i="3" s="1"/>
  <c r="AQ91" i="3" s="1"/>
  <c r="N78" i="3"/>
  <c r="N39" i="3"/>
  <c r="O28" i="3"/>
  <c r="L28" i="3"/>
  <c r="M45" i="3"/>
  <c r="N28" i="3"/>
  <c r="J76" i="3"/>
  <c r="AS75" i="3" s="1"/>
  <c r="BL27" i="3" s="1"/>
  <c r="J78" i="3"/>
  <c r="O76" i="3"/>
  <c r="M18" i="3"/>
  <c r="O24" i="3"/>
  <c r="J28" i="3"/>
  <c r="AS27" i="3" s="1"/>
  <c r="BL62" i="3" s="1"/>
  <c r="E118" i="5" s="1"/>
  <c r="L29" i="3"/>
  <c r="J30" i="3"/>
  <c r="J23" i="3"/>
  <c r="AE82" i="3" s="1"/>
  <c r="AQ82" i="3" s="1"/>
  <c r="O30" i="3"/>
  <c r="N29" i="3"/>
  <c r="O23" i="3"/>
  <c r="N24" i="3"/>
  <c r="J24" i="3"/>
  <c r="N9" i="3"/>
  <c r="M28" i="3"/>
  <c r="M24" i="3"/>
  <c r="M11" i="3"/>
  <c r="M30" i="3"/>
  <c r="M29" i="3"/>
  <c r="L24" i="3"/>
  <c r="J11" i="3"/>
  <c r="AE80" i="3" s="1"/>
  <c r="AQ80" i="3" s="1"/>
  <c r="L11" i="3"/>
  <c r="N30" i="3"/>
  <c r="J65" i="3"/>
  <c r="AE89" i="3" s="1"/>
  <c r="AQ89" i="3" s="1"/>
  <c r="O65" i="3"/>
  <c r="M65" i="3"/>
  <c r="L64" i="3"/>
  <c r="L48" i="3"/>
  <c r="O63" i="3"/>
  <c r="L12" i="3"/>
  <c r="M63" i="3"/>
  <c r="L18" i="3"/>
  <c r="O11" i="3"/>
  <c r="O9" i="3"/>
  <c r="N18" i="3"/>
  <c r="AI88" i="3"/>
  <c r="L16" i="3"/>
  <c r="AH88" i="3"/>
  <c r="O17" i="3"/>
  <c r="J18" i="3"/>
  <c r="L9" i="3"/>
  <c r="M12" i="3"/>
  <c r="L40" i="3"/>
  <c r="J16" i="3"/>
  <c r="AS15" i="3" s="1"/>
  <c r="BL19" i="3" s="1"/>
  <c r="E97" i="5" s="1"/>
  <c r="J9" i="3"/>
  <c r="E78" i="5" s="1"/>
  <c r="J10" i="3"/>
  <c r="AS9" i="3" s="1"/>
  <c r="BL18" i="3" s="1"/>
  <c r="M40" i="3"/>
  <c r="O45" i="3"/>
  <c r="M16" i="3"/>
  <c r="N65" i="3"/>
  <c r="N63" i="3"/>
  <c r="N45" i="3"/>
  <c r="L39" i="3"/>
  <c r="O18" i="3"/>
  <c r="J17" i="3"/>
  <c r="AE81" i="3" s="1"/>
  <c r="AQ81" i="3" s="1"/>
  <c r="N10" i="3"/>
  <c r="O12" i="3"/>
  <c r="L65" i="3"/>
  <c r="O64" i="3"/>
  <c r="O16" i="3"/>
  <c r="N11" i="3"/>
  <c r="N12" i="3"/>
  <c r="O51" i="3"/>
  <c r="J39" i="3"/>
  <c r="E83" i="5" s="1"/>
  <c r="J63" i="3"/>
  <c r="E87" i="5" s="1"/>
  <c r="N64" i="3"/>
  <c r="J51" i="3"/>
  <c r="E85" i="5" s="1"/>
  <c r="O39" i="3"/>
  <c r="J40" i="3"/>
  <c r="AS39" i="3" s="1"/>
  <c r="BL43" i="3" s="1"/>
  <c r="E109" i="5" s="1"/>
  <c r="N16" i="3"/>
  <c r="O10" i="3"/>
  <c r="J12" i="3"/>
  <c r="L63" i="3"/>
  <c r="N40" i="3"/>
  <c r="J64" i="3"/>
  <c r="AS63" i="3" s="1"/>
  <c r="BL31" i="3" s="1"/>
  <c r="E103" i="5" s="1"/>
  <c r="L10" i="3"/>
  <c r="J48" i="3"/>
  <c r="L23" i="3"/>
  <c r="N15" i="3"/>
  <c r="N23" i="3"/>
  <c r="M54" i="3"/>
  <c r="K57" i="3"/>
  <c r="N47" i="3"/>
  <c r="L17" i="3"/>
  <c r="K58" i="3"/>
  <c r="M17" i="3"/>
  <c r="J42" i="3"/>
  <c r="M66" i="3"/>
  <c r="P59" i="3"/>
  <c r="AS68" i="3"/>
  <c r="BL70" i="3" s="1"/>
  <c r="E122" i="5" s="1"/>
  <c r="J54" i="3"/>
  <c r="M52" i="3"/>
  <c r="M48" i="3"/>
  <c r="O48" i="3"/>
  <c r="J46" i="3"/>
  <c r="AS45" i="3" s="1"/>
  <c r="BL63" i="3" s="1"/>
  <c r="E119" i="5" s="1"/>
  <c r="AT88" i="3"/>
  <c r="N54" i="3"/>
  <c r="N53" i="3"/>
  <c r="M47" i="3"/>
  <c r="O46" i="3"/>
  <c r="J47" i="3"/>
  <c r="AE86" i="3" s="1"/>
  <c r="AQ86" i="3" s="1"/>
  <c r="L53" i="3"/>
  <c r="AS74" i="3"/>
  <c r="BL54" i="3" s="1"/>
  <c r="E114" i="5" s="1"/>
  <c r="L52" i="3"/>
  <c r="J53" i="3"/>
  <c r="AE87" i="3" s="1"/>
  <c r="AQ87" i="3" s="1"/>
  <c r="L51" i="3"/>
  <c r="L45" i="3"/>
  <c r="L46" i="3"/>
  <c r="AG88" i="3"/>
  <c r="L54" i="3"/>
  <c r="J52" i="3"/>
  <c r="AS51" i="3" s="1"/>
  <c r="BL59" i="3" s="1"/>
  <c r="E117" i="5" s="1"/>
  <c r="O54" i="3"/>
  <c r="N48" i="3"/>
  <c r="N46" i="3"/>
  <c r="K59" i="3"/>
  <c r="AF88" i="3"/>
  <c r="N17" i="3"/>
  <c r="M53" i="3"/>
  <c r="O53" i="3"/>
  <c r="M51" i="3"/>
  <c r="O47" i="3"/>
  <c r="L47" i="3"/>
  <c r="BS45" i="3"/>
  <c r="E135" i="5" s="1"/>
  <c r="E111" i="5"/>
  <c r="AS56" i="3"/>
  <c r="BL14" i="3" s="1"/>
  <c r="E94" i="5" s="1"/>
  <c r="E86" i="5"/>
  <c r="L66" i="3"/>
  <c r="N52" i="3"/>
  <c r="O52" i="3"/>
  <c r="M46" i="3"/>
  <c r="N41" i="3"/>
  <c r="L15" i="3"/>
  <c r="O42" i="3"/>
  <c r="L41" i="3"/>
  <c r="O41" i="3"/>
  <c r="O66" i="3"/>
  <c r="M42" i="3"/>
  <c r="M23" i="3"/>
  <c r="AN88" i="3"/>
  <c r="J66" i="3"/>
  <c r="N66" i="3"/>
  <c r="L42" i="3"/>
  <c r="J41" i="3"/>
  <c r="AE85" i="3" s="1"/>
  <c r="AQ85" i="3" s="1"/>
  <c r="AL88" i="3"/>
  <c r="M41" i="3"/>
  <c r="AJ88" i="3"/>
  <c r="N42" i="3"/>
  <c r="P60" i="3"/>
  <c r="K60" i="3"/>
  <c r="M15" i="3"/>
  <c r="O15" i="3"/>
  <c r="J15" i="3"/>
  <c r="P69" i="3" l="1"/>
  <c r="AS62" i="3"/>
  <c r="BL58" i="3" s="1"/>
  <c r="BS60" i="3" s="1"/>
  <c r="AI90" i="3"/>
  <c r="B137" i="8"/>
  <c r="R136" i="8"/>
  <c r="BS61" i="3"/>
  <c r="E139" i="5" s="1"/>
  <c r="E101" i="5"/>
  <c r="S86" i="3"/>
  <c r="T86" i="3" s="1" a="1"/>
  <c r="T86" i="3" s="1"/>
  <c r="BS28" i="3"/>
  <c r="E130" i="5" s="1"/>
  <c r="E99" i="5"/>
  <c r="S89" i="3"/>
  <c r="T89" i="3" s="1" a="1"/>
  <c r="T89" i="3" s="1"/>
  <c r="BS21" i="3"/>
  <c r="E129" i="5" s="1"/>
  <c r="E96" i="5"/>
  <c r="S88" i="3"/>
  <c r="T88" i="3" s="1" a="1"/>
  <c r="T88" i="3" s="1"/>
  <c r="BS20" i="3"/>
  <c r="E128" i="5" s="1"/>
  <c r="AS44" i="3"/>
  <c r="BL38" i="3" s="1"/>
  <c r="AS8" i="3"/>
  <c r="BL50" i="3" s="1"/>
  <c r="E112" i="5" s="1"/>
  <c r="AS50" i="3"/>
  <c r="BL30" i="3" s="1"/>
  <c r="AS26" i="3"/>
  <c r="BL34" i="3" s="1"/>
  <c r="AS38" i="3"/>
  <c r="BL22" i="3" s="1"/>
  <c r="E98" i="5" s="1"/>
  <c r="AS20" i="3"/>
  <c r="BL42" i="3" s="1"/>
  <c r="E108" i="5" s="1"/>
  <c r="AS32" i="3"/>
  <c r="BL10" i="3" s="1"/>
  <c r="E92" i="5" s="1"/>
  <c r="P9" i="3"/>
  <c r="K65" i="3"/>
  <c r="AJ90" i="3"/>
  <c r="K69" i="3"/>
  <c r="P71" i="3"/>
  <c r="AJ84" i="3"/>
  <c r="AL84" i="3"/>
  <c r="AI84" i="3"/>
  <c r="AH84" i="3"/>
  <c r="K33" i="3"/>
  <c r="P72" i="3"/>
  <c r="AG84" i="3"/>
  <c r="K70" i="3"/>
  <c r="AF84" i="3"/>
  <c r="K71" i="3"/>
  <c r="AT84" i="3"/>
  <c r="P75" i="3"/>
  <c r="AN84" i="3"/>
  <c r="AG90" i="3"/>
  <c r="K72" i="3"/>
  <c r="AT90" i="3"/>
  <c r="K75" i="3"/>
  <c r="AF90" i="3"/>
  <c r="AN90" i="3"/>
  <c r="AH90" i="3"/>
  <c r="AL90" i="3"/>
  <c r="P39" i="3"/>
  <c r="P36" i="3"/>
  <c r="P70" i="3"/>
  <c r="P34" i="3"/>
  <c r="P33" i="3"/>
  <c r="K35" i="3"/>
  <c r="K36" i="3"/>
  <c r="P35" i="3"/>
  <c r="AI83" i="3"/>
  <c r="AH83" i="3"/>
  <c r="K34" i="3"/>
  <c r="K27" i="3"/>
  <c r="P27" i="3"/>
  <c r="P21" i="3"/>
  <c r="AF83" i="3"/>
  <c r="AI81" i="3"/>
  <c r="AT83" i="3"/>
  <c r="AN83" i="3"/>
  <c r="AL83" i="3"/>
  <c r="AG83" i="3"/>
  <c r="AJ83" i="3"/>
  <c r="P22" i="3"/>
  <c r="K21" i="3"/>
  <c r="K22" i="3"/>
  <c r="AF91" i="3"/>
  <c r="AT91" i="3"/>
  <c r="AL91" i="3"/>
  <c r="P64" i="3"/>
  <c r="P78" i="3"/>
  <c r="AN80" i="3"/>
  <c r="AL80" i="3"/>
  <c r="P65" i="3"/>
  <c r="K30" i="3"/>
  <c r="K78" i="3"/>
  <c r="K76" i="3"/>
  <c r="P63" i="3"/>
  <c r="AI82" i="3"/>
  <c r="P77" i="3"/>
  <c r="P76" i="3"/>
  <c r="K12" i="3"/>
  <c r="P12" i="3"/>
  <c r="P11" i="3"/>
  <c r="K29" i="3"/>
  <c r="P30" i="3"/>
  <c r="P23" i="3"/>
  <c r="AG85" i="3"/>
  <c r="K39" i="3"/>
  <c r="AI80" i="3"/>
  <c r="AH80" i="3"/>
  <c r="AF85" i="3"/>
  <c r="P16" i="3"/>
  <c r="K11" i="3"/>
  <c r="AG80" i="3"/>
  <c r="P29" i="3"/>
  <c r="AF80" i="3"/>
  <c r="AH86" i="3"/>
  <c r="K77" i="3"/>
  <c r="P15" i="3"/>
  <c r="AJ80" i="3"/>
  <c r="AT80" i="3"/>
  <c r="P28" i="3"/>
  <c r="AN91" i="3"/>
  <c r="AJ91" i="3"/>
  <c r="K52" i="3"/>
  <c r="K47" i="3"/>
  <c r="K18" i="3"/>
  <c r="AI91" i="3"/>
  <c r="AL85" i="3"/>
  <c r="K64" i="3"/>
  <c r="AH91" i="3"/>
  <c r="K16" i="3"/>
  <c r="K9" i="3"/>
  <c r="AI85" i="3"/>
  <c r="AG91" i="3"/>
  <c r="AT82" i="3"/>
  <c r="P66" i="3"/>
  <c r="K40" i="3"/>
  <c r="AH82" i="3"/>
  <c r="AJ89" i="3"/>
  <c r="AI89" i="3"/>
  <c r="K10" i="3"/>
  <c r="K24" i="3"/>
  <c r="AJ85" i="3"/>
  <c r="AF89" i="3"/>
  <c r="P41" i="3"/>
  <c r="P18" i="3"/>
  <c r="AF82" i="3"/>
  <c r="AG89" i="3"/>
  <c r="AN82" i="3"/>
  <c r="AL87" i="3"/>
  <c r="AT89" i="3"/>
  <c r="P46" i="3"/>
  <c r="P10" i="3"/>
  <c r="AL82" i="3"/>
  <c r="P24" i="3"/>
  <c r="K28" i="3"/>
  <c r="AJ87" i="3"/>
  <c r="AN89" i="3"/>
  <c r="AJ82" i="3"/>
  <c r="AL89" i="3"/>
  <c r="P54" i="3"/>
  <c r="K63" i="3"/>
  <c r="AG82" i="3"/>
  <c r="P40" i="3"/>
  <c r="AH89" i="3"/>
  <c r="K45" i="3"/>
  <c r="K48" i="3"/>
  <c r="P17" i="3"/>
  <c r="K15" i="3"/>
  <c r="K54" i="3"/>
  <c r="K53" i="3"/>
  <c r="AG81" i="3"/>
  <c r="AH85" i="3"/>
  <c r="AI86" i="3"/>
  <c r="P52" i="3"/>
  <c r="AF81" i="3"/>
  <c r="AH81" i="3"/>
  <c r="AT81" i="3"/>
  <c r="AN81" i="3"/>
  <c r="AT85" i="3"/>
  <c r="P47" i="3"/>
  <c r="AL81" i="3"/>
  <c r="AN85" i="3"/>
  <c r="P45" i="3"/>
  <c r="AJ81" i="3"/>
  <c r="P53" i="3"/>
  <c r="K42" i="3"/>
  <c r="K17" i="3"/>
  <c r="K41" i="3"/>
  <c r="AN86" i="3"/>
  <c r="P48" i="3"/>
  <c r="AL86" i="3"/>
  <c r="AJ86" i="3"/>
  <c r="AI87" i="3"/>
  <c r="P42" i="3"/>
  <c r="AH87" i="3"/>
  <c r="AG87" i="3"/>
  <c r="K23" i="3"/>
  <c r="AG86" i="3"/>
  <c r="AF87" i="3"/>
  <c r="AF86" i="3"/>
  <c r="AT87" i="3"/>
  <c r="K51" i="3"/>
  <c r="K46" i="3"/>
  <c r="AT86" i="3"/>
  <c r="AN87" i="3"/>
  <c r="K66" i="3"/>
  <c r="P51" i="3"/>
  <c r="AS14" i="3"/>
  <c r="BL66" i="3" s="1"/>
  <c r="E120" i="5" s="1"/>
  <c r="E79" i="5"/>
  <c r="E116" i="5" l="1"/>
  <c r="BS44" i="3"/>
  <c r="E134" i="5" s="1"/>
  <c r="R137" i="8"/>
  <c r="B138" i="8"/>
  <c r="BZ48" i="3"/>
  <c r="E148" i="5" s="1"/>
  <c r="BZ64" i="3"/>
  <c r="E150" i="5" s="1"/>
  <c r="E138" i="5"/>
  <c r="BZ17" i="3"/>
  <c r="S96" i="3"/>
  <c r="T96" i="3" s="1" a="1"/>
  <c r="T96" i="3" s="1"/>
  <c r="E106" i="5"/>
  <c r="S91" i="3"/>
  <c r="T91" i="3" s="1" a="1"/>
  <c r="T91" i="3" s="1"/>
  <c r="BS37" i="3"/>
  <c r="E133" i="5" s="1"/>
  <c r="E104" i="5"/>
  <c r="S90" i="3"/>
  <c r="T90" i="3" s="1" a="1"/>
  <c r="T90" i="3" s="1"/>
  <c r="BS36" i="3"/>
  <c r="E132" i="5" s="1"/>
  <c r="E102" i="5"/>
  <c r="S87" i="3"/>
  <c r="T87" i="3" s="1" a="1"/>
  <c r="T87" i="3" s="1"/>
  <c r="BS29" i="3"/>
  <c r="E131" i="5" s="1"/>
  <c r="AH92" i="3"/>
  <c r="AL92" i="3"/>
  <c r="AM88" i="3" s="1"/>
  <c r="AG92" i="3"/>
  <c r="AI92" i="3"/>
  <c r="AN92" i="3"/>
  <c r="AJ92" i="3"/>
  <c r="AF92" i="3"/>
  <c r="AS92" i="3"/>
  <c r="B140" i="8" l="1"/>
  <c r="R138" i="8"/>
  <c r="U102" i="3"/>
  <c r="AC102" i="3" s="1" a="1"/>
  <c r="AC102" i="3" s="1"/>
  <c r="E145" i="5"/>
  <c r="S97" i="3"/>
  <c r="T97" i="3" s="1" a="1"/>
  <c r="T97" i="3" s="1"/>
  <c r="BZ32" i="3"/>
  <c r="E146" i="5" s="1"/>
  <c r="S98" i="3"/>
  <c r="T98" i="3" s="1" a="1"/>
  <c r="T98" i="3" s="1"/>
  <c r="BZ33" i="3"/>
  <c r="AM81" i="3"/>
  <c r="AM80" i="3"/>
  <c r="AM85" i="3"/>
  <c r="AM87" i="3"/>
  <c r="AM89" i="3"/>
  <c r="AM91" i="3"/>
  <c r="AM90" i="3"/>
  <c r="AM84" i="3"/>
  <c r="AM82" i="3"/>
  <c r="AM86" i="3"/>
  <c r="AM83" i="3"/>
  <c r="S85" i="3"/>
  <c r="T85" i="3" s="1" a="1"/>
  <c r="T85" i="3" s="1"/>
  <c r="BS13" i="3"/>
  <c r="E127" i="5" s="1"/>
  <c r="S84" i="3"/>
  <c r="T84" i="3" s="1" a="1"/>
  <c r="T84" i="3" s="1"/>
  <c r="BS12" i="3"/>
  <c r="E126" i="5" s="1"/>
  <c r="AA140" i="8" l="1"/>
  <c r="R140" i="8"/>
  <c r="Y140" i="8"/>
  <c r="W140" i="8"/>
  <c r="B141" i="8"/>
  <c r="Z140" i="8"/>
  <c r="X140" i="8"/>
  <c r="V140" i="8"/>
  <c r="S140" i="8"/>
  <c r="U140" i="8"/>
  <c r="U103" i="3"/>
  <c r="AC103" i="3" s="1" a="1"/>
  <c r="AC103" i="3" s="1"/>
  <c r="E147" i="5"/>
  <c r="S103" i="3"/>
  <c r="T103" i="3" s="1" a="1"/>
  <c r="T103" i="3" s="1"/>
  <c r="CG24" i="3"/>
  <c r="AM92" i="3"/>
  <c r="AP87" i="3" s="1"/>
  <c r="BZ16" i="3"/>
  <c r="E144" i="5" s="1"/>
  <c r="S95" i="3"/>
  <c r="T95" i="3" s="1" a="1"/>
  <c r="T95" i="3" s="1"/>
  <c r="W141" i="8" l="1"/>
  <c r="Y141" i="8"/>
  <c r="R141" i="8"/>
  <c r="AA141" i="8"/>
  <c r="X141" i="8"/>
  <c r="S141" i="8"/>
  <c r="U141" i="8"/>
  <c r="Z141" i="8"/>
  <c r="V141" i="8"/>
  <c r="B142" i="8"/>
  <c r="E155" i="5"/>
  <c r="S102" i="3"/>
  <c r="T102" i="3" s="1" a="1"/>
  <c r="T102" i="3" s="1"/>
  <c r="CG23" i="3"/>
  <c r="E154" i="5" s="1"/>
  <c r="AP91" i="3"/>
  <c r="AP85" i="3"/>
  <c r="AP82" i="3"/>
  <c r="AP89" i="3"/>
  <c r="AP83" i="3"/>
  <c r="AP88" i="3"/>
  <c r="AP90" i="3"/>
  <c r="AP80" i="3"/>
  <c r="AP86" i="3"/>
  <c r="AP84" i="3"/>
  <c r="AP81" i="3"/>
  <c r="S111" i="3" l="1"/>
  <c r="T111" i="3" s="1"/>
  <c r="AD80" i="3"/>
  <c r="AR80" i="3" s="1"/>
  <c r="W142" i="8"/>
  <c r="U142" i="8"/>
  <c r="Z142" i="8"/>
  <c r="AA142" i="8"/>
  <c r="B143" i="8"/>
  <c r="X142" i="8"/>
  <c r="R142" i="8"/>
  <c r="S142" i="8"/>
  <c r="V142" i="8"/>
  <c r="Y142" i="8"/>
  <c r="CN37" i="3"/>
  <c r="CN48" i="3"/>
  <c r="AD90" i="3"/>
  <c r="AS90" i="3" s="1"/>
  <c r="AD88" i="3"/>
  <c r="AS88" i="3" s="1"/>
  <c r="AD85" i="3"/>
  <c r="AS85" i="3" s="1"/>
  <c r="AD84" i="3"/>
  <c r="AS84" i="3" s="1"/>
  <c r="AD89" i="3"/>
  <c r="AS89" i="3" s="1"/>
  <c r="AD82" i="3"/>
  <c r="AS82" i="3" s="1"/>
  <c r="AD91" i="3"/>
  <c r="AS91" i="3" s="1"/>
  <c r="AD83" i="3"/>
  <c r="AS83" i="3" s="1"/>
  <c r="AD81" i="3"/>
  <c r="AS81" i="3" s="1"/>
  <c r="AD86" i="3"/>
  <c r="AS86" i="3" s="1"/>
  <c r="AD87" i="3"/>
  <c r="AS87" i="3" s="1"/>
  <c r="AS80" i="3" l="1"/>
  <c r="B144" i="8"/>
  <c r="X143" i="8"/>
  <c r="W143" i="8"/>
  <c r="Z143" i="8"/>
  <c r="AA143" i="8"/>
  <c r="S143" i="8"/>
  <c r="V143" i="8"/>
  <c r="R143" i="8"/>
  <c r="U143" i="8"/>
  <c r="Y143" i="8"/>
  <c r="E160" i="5"/>
  <c r="E162" i="5"/>
  <c r="E165" i="5"/>
  <c r="M81" i="3"/>
  <c r="O81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E105" i="5" s="1"/>
  <c r="J81" i="3"/>
  <c r="L81" i="3"/>
  <c r="N81" i="3"/>
  <c r="O89" i="3"/>
  <c r="J91" i="3"/>
  <c r="O88" i="3"/>
  <c r="M82" i="3"/>
  <c r="J82" i="3"/>
  <c r="N83" i="3"/>
  <c r="J88" i="3"/>
  <c r="M89" i="3"/>
  <c r="N88" i="3"/>
  <c r="L89" i="3"/>
  <c r="N89" i="3"/>
  <c r="L87" i="3"/>
  <c r="J89" i="3"/>
  <c r="M91" i="3"/>
  <c r="M88" i="3"/>
  <c r="N91" i="3"/>
  <c r="O82" i="3"/>
  <c r="N87" i="3"/>
  <c r="N82" i="3"/>
  <c r="L91" i="3"/>
  <c r="L82" i="3"/>
  <c r="O87" i="3"/>
  <c r="J87" i="3"/>
  <c r="L88" i="3"/>
  <c r="O91" i="3"/>
  <c r="L86" i="3"/>
  <c r="N86" i="3"/>
  <c r="M86" i="3"/>
  <c r="J90" i="3"/>
  <c r="M87" i="3"/>
  <c r="L90" i="3"/>
  <c r="O84" i="3"/>
  <c r="O86" i="3"/>
  <c r="J86" i="3"/>
  <c r="M85" i="3"/>
  <c r="J92" i="3"/>
  <c r="L85" i="3"/>
  <c r="M90" i="3"/>
  <c r="M83" i="3"/>
  <c r="J85" i="3"/>
  <c r="L83" i="3"/>
  <c r="J84" i="3"/>
  <c r="J83" i="3"/>
  <c r="N92" i="3"/>
  <c r="O92" i="3"/>
  <c r="N90" i="3"/>
  <c r="L84" i="3"/>
  <c r="O83" i="3"/>
  <c r="O90" i="3"/>
  <c r="N84" i="3"/>
  <c r="O85" i="3"/>
  <c r="M92" i="3"/>
  <c r="M84" i="3"/>
  <c r="L92" i="3"/>
  <c r="N85" i="3"/>
  <c r="X144" i="8" l="1"/>
  <c r="S144" i="8"/>
  <c r="U144" i="8"/>
  <c r="Z144" i="8"/>
  <c r="W144" i="8"/>
  <c r="B145" i="8"/>
  <c r="V144" i="8"/>
  <c r="AA144" i="8"/>
  <c r="R144" i="8"/>
  <c r="Y144" i="8"/>
  <c r="K81" i="3"/>
  <c r="P85" i="3"/>
  <c r="P81" i="3"/>
  <c r="K82" i="3"/>
  <c r="P87" i="3"/>
  <c r="P91" i="3"/>
  <c r="K88" i="3"/>
  <c r="P88" i="3"/>
  <c r="P89" i="3"/>
  <c r="K91" i="3"/>
  <c r="P82" i="3"/>
  <c r="K89" i="3"/>
  <c r="P83" i="3"/>
  <c r="P86" i="3"/>
  <c r="K86" i="3"/>
  <c r="K87" i="3"/>
  <c r="P84" i="3"/>
  <c r="K92" i="3"/>
  <c r="K90" i="3"/>
  <c r="K83" i="3"/>
  <c r="P90" i="3"/>
  <c r="K85" i="3"/>
  <c r="I3" i="4"/>
  <c r="BL15" i="3" s="1"/>
  <c r="E95" i="5" s="1"/>
  <c r="E3" i="4"/>
  <c r="BL67" i="3" s="1"/>
  <c r="E121" i="5" s="1"/>
  <c r="P92" i="3"/>
  <c r="H3" i="4"/>
  <c r="BL39" i="3" s="1"/>
  <c r="E107" i="5" s="1"/>
  <c r="D3" i="4"/>
  <c r="BL51" i="3" s="1"/>
  <c r="E113" i="5" s="1"/>
  <c r="K3" i="4"/>
  <c r="BL55" i="3" s="1"/>
  <c r="E115" i="5" s="1"/>
  <c r="B3" i="4"/>
  <c r="K84" i="3"/>
  <c r="G3" i="4"/>
  <c r="BL11" i="3" s="1"/>
  <c r="E93" i="5" s="1"/>
  <c r="J3" i="4"/>
  <c r="BL71" i="3" s="1"/>
  <c r="E123" i="5" s="1"/>
  <c r="BS53" i="3"/>
  <c r="E137" i="5" s="1"/>
  <c r="BS52" i="3"/>
  <c r="E136" i="5" s="1"/>
  <c r="BS69" i="3"/>
  <c r="BS68" i="3"/>
  <c r="E140" i="5" s="1"/>
  <c r="AA145" i="8" l="1"/>
  <c r="B146" i="8"/>
  <c r="V145" i="8"/>
  <c r="U145" i="8"/>
  <c r="S145" i="8"/>
  <c r="X145" i="8"/>
  <c r="R145" i="8"/>
  <c r="Y145" i="8"/>
  <c r="W145" i="8"/>
  <c r="Z145" i="8"/>
  <c r="BZ65" i="3"/>
  <c r="E141" i="5"/>
  <c r="BZ49" i="3"/>
  <c r="Z146" i="8" l="1"/>
  <c r="AA146" i="8"/>
  <c r="R146" i="8"/>
  <c r="Y146" i="8"/>
  <c r="W146" i="8"/>
  <c r="B147" i="8"/>
  <c r="V146" i="8"/>
  <c r="U146" i="8"/>
  <c r="X146" i="8"/>
  <c r="S146" i="8"/>
  <c r="CG55" i="3"/>
  <c r="E149" i="5"/>
  <c r="CG56" i="3"/>
  <c r="E151" i="5"/>
  <c r="X147" i="8" l="1"/>
  <c r="Z147" i="8"/>
  <c r="W147" i="8"/>
  <c r="B149" i="8"/>
  <c r="V147" i="8"/>
  <c r="Y147" i="8"/>
  <c r="U147" i="8"/>
  <c r="S147" i="8"/>
  <c r="AA147" i="8"/>
  <c r="R147" i="8"/>
  <c r="CN38" i="3"/>
  <c r="E157" i="5"/>
  <c r="CN49" i="3"/>
  <c r="E161" i="5" s="1"/>
  <c r="E156" i="5"/>
  <c r="E166" i="5" l="1"/>
  <c r="CK68" i="3"/>
  <c r="E167" i="5" s="1"/>
  <c r="Y149" i="8"/>
  <c r="AA149" i="8"/>
  <c r="Z149" i="8"/>
  <c r="B150" i="8"/>
  <c r="V149" i="8"/>
  <c r="X149" i="8"/>
  <c r="R149" i="8"/>
  <c r="W149" i="8"/>
  <c r="U149" i="8"/>
  <c r="S149" i="8"/>
  <c r="Y150" i="8" l="1"/>
  <c r="W150" i="8"/>
  <c r="AA150" i="8"/>
  <c r="R150" i="8"/>
  <c r="B151" i="8"/>
  <c r="X150" i="8"/>
  <c r="U150" i="8"/>
  <c r="V150" i="8"/>
  <c r="S150" i="8"/>
  <c r="Z150" i="8"/>
  <c r="U151" i="8" l="1"/>
  <c r="Z151" i="8"/>
  <c r="S151" i="8"/>
  <c r="Y151" i="8"/>
  <c r="R151" i="8"/>
  <c r="V151" i="8"/>
  <c r="AA151" i="8"/>
  <c r="X151" i="8"/>
  <c r="W151" i="8"/>
  <c r="B152" i="8"/>
  <c r="W152" i="8" l="1"/>
  <c r="Z152" i="8"/>
  <c r="V152" i="8"/>
  <c r="Y152" i="8"/>
  <c r="U152" i="8"/>
  <c r="X152" i="8"/>
  <c r="S152" i="8"/>
  <c r="AA152" i="8"/>
  <c r="R152" i="8"/>
  <c r="B154" i="8"/>
  <c r="AA154" i="8" l="1"/>
  <c r="Z154" i="8"/>
  <c r="B155" i="8"/>
  <c r="V154" i="8"/>
  <c r="U154" i="8"/>
  <c r="S154" i="8"/>
  <c r="R154" i="8"/>
  <c r="W154" i="8"/>
  <c r="Y154" i="8"/>
  <c r="X154" i="8"/>
  <c r="V155" i="8" l="1"/>
  <c r="V2" i="8" s="1"/>
  <c r="AO28" i="8" s="1"/>
  <c r="S155" i="8"/>
  <c r="S2" i="8" s="1"/>
  <c r="AO25" i="8" s="1"/>
  <c r="Y155" i="8"/>
  <c r="Y2" i="8" s="1"/>
  <c r="AO26" i="8" s="1"/>
  <c r="W155" i="8"/>
  <c r="W2" i="8" s="1"/>
  <c r="AO32" i="8" s="1"/>
  <c r="U155" i="8"/>
  <c r="U2" i="8" s="1"/>
  <c r="AO27" i="8" s="1"/>
  <c r="AA155" i="8"/>
  <c r="AA2" i="8" s="1"/>
  <c r="AO35" i="8" s="1"/>
  <c r="R155" i="8"/>
  <c r="Z155" i="8"/>
  <c r="Z2" i="8" s="1"/>
  <c r="AO29" i="8" s="1"/>
  <c r="X155" i="8"/>
  <c r="X2" i="8" s="1"/>
  <c r="AO3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<sst xmlns="http://schemas.openxmlformats.org/spreadsheetml/2006/main" count="11591" uniqueCount="3763">
  <si>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</si>
  <si>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</si>
  <si>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</si>
  <si>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</si>
  <si>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</si>
  <si>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</si>
  <si>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</si>
  <si>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</si>
  <si>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</si>
  <si>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</si>
  <si>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</si>
  <si>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</si>
  <si>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</si>
  <si>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</si>
  <si>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</si>
  <si>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</si>
  <si>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</si>
  <si>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</si>
  <si>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</si>
  <si>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</si>
  <si>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</si>
  <si>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</si>
  <si>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</si>
  <si>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</si>
  <si>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</si>
  <si>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</si>
  <si>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</si>
  <si>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</si>
  <si>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</si>
  <si>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</si>
  <si>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</si>
  <si>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</si>
  <si>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</si>
  <si>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</si>
  <si>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</si>
  <si>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</si>
  <si>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</si>
  <si>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</si>
  <si>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</si>
  <si>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</si>
  <si>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</si>
  <si>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</si>
  <si>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</si>
  <si>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</si>
  <si>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</si>
  <si>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</si>
  <si>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</si>
  <si>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</si>
  <si>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</si>
  <si>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</si>
  <si>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</si>
  <si>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</si>
  <si>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</si>
  <si>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</si>
  <si>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</si>
  <si>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</si>
  <si>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</si>
  <si>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</si>
  <si>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</si>
  <si>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</si>
  <si>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</si>
  <si>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</si>
  <si>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</si>
  <si>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</si>
  <si>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</si>
  <si>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</si>
  <si>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</si>
  <si>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</si>
  <si>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</si>
  <si>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</si>
  <si>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</si>
  <si>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</si>
  <si>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</si>
  <si>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</si>
  <si>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</si>
  <si>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</si>
  <si>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</si>
  <si>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</si>
  <si>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</si>
  <si>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</si>
  <si>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</si>
  <si>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</si>
  <si>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</si>
  <si>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</si>
  <si>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</si>
  <si>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</si>
  <si>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</si>
  <si>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</si>
  <si>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</si>
  <si>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</si>
  <si>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</si>
  <si>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</si>
  <si>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</si>
  <si>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</si>
  <si>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</si>
  <si>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</si>
  <si>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</si>
  <si>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</si>
  <si>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</si>
  <si>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</si>
  <si>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</si>
  <si>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</si>
  <si>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</si>
  <si>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</si>
  <si>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</si>
  <si>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</si>
  <si>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</si>
  <si>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</si>
  <si>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</si>
  <si>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</si>
  <si>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</si>
  <si>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</si>
  <si>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</si>
  <si>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</si>
  <si>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</si>
  <si>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</si>
  <si>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</si>
  <si>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</si>
  <si>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</si>
  <si>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</si>
  <si>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</si>
  <si>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</si>
  <si>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</si>
  <si>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</si>
  <si>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</si>
  <si>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</si>
  <si>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</si>
  <si>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</si>
  <si>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</si>
  <si>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</si>
  <si>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</si>
  <si>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</si>
  <si>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</si>
  <si>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</si>
  <si>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</si>
  <si>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</si>
  <si>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</si>
  <si>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</si>
  <si>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</si>
  <si>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</si>
  <si>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</si>
  <si>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</si>
  <si>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</si>
  <si>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</si>
  <si>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</si>
  <si>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</si>
  <si>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</si>
  <si>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</si>
  <si>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</si>
  <si>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</si>
  <si>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</si>
  <si>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</si>
  <si>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</si>
  <si>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</si>
  <si>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</si>
  <si>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</si>
  <si>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</si>
  <si>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</si>
  <si>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</si>
  <si>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</si>
  <si>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</si>
  <si>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</si>
  <si>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</si>
  <si>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</si>
  <si>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</si>
  <si>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</si>
  <si>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</si>
  <si>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</si>
  <si>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</si>
  <si>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</si>
  <si>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</si>
  <si>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</si>
  <si>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</si>
  <si>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</si>
  <si>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</si>
  <si>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</si>
  <si>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</si>
  <si>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</si>
  <si>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</si>
  <si>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</si>
  <si>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</si>
  <si>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</si>
  <si>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</si>
  <si>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</si>
  <si>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</si>
  <si>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</si>
  <si>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</si>
  <si>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</si>
  <si>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</si>
  <si>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</si>
  <si>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</si>
  <si>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</si>
  <si>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</si>
  <si>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</si>
  <si>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</si>
  <si>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</si>
  <si>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</si>
  <si>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</si>
  <si>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</si>
  <si>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</si>
  <si>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</si>
  <si>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</si>
  <si>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</si>
  <si>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</si>
  <si>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</si>
  <si>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</si>
  <si>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</si>
  <si>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</si>
  <si>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</si>
  <si>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</si>
  <si>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</si>
  <si>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</si>
  <si>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</si>
  <si>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</si>
  <si>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</si>
  <si>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</si>
  <si>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</si>
  <si>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</si>
  <si>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</si>
  <si>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</si>
  <si>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</si>
  <si>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</si>
  <si>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</si>
  <si>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</si>
  <si>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</si>
  <si>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</si>
  <si>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</si>
  <si>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</si>
  <si>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</si>
  <si>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</si>
  <si>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</si>
  <si>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</si>
  <si>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</si>
  <si>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</si>
  <si>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</si>
  <si>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</si>
  <si>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</si>
  <si>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</si>
  <si>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</si>
  <si>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</si>
  <si>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</si>
  <si>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</si>
  <si>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</si>
  <si>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</si>
  <si>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</si>
  <si>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</si>
  <si>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</si>
  <si>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</si>
  <si>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</si>
  <si>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</si>
  <si>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</si>
  <si>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</si>
  <si>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</si>
  <si>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</si>
  <si>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</si>
  <si>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</si>
  <si>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</si>
  <si>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</si>
  <si>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</si>
  <si>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</si>
  <si>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</si>
  <si>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</si>
  <si>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</si>
  <si>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</si>
  <si>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</si>
  <si>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</si>
  <si>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</si>
  <si>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</si>
  <si>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</si>
  <si>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</si>
  <si>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</si>
  <si>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</si>
  <si>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</si>
  <si>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</si>
  <si>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</si>
  <si>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</si>
  <si>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</si>
  <si>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</si>
  <si>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</si>
  <si>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</si>
  <si>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</si>
  <si>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</si>
  <si>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</si>
  <si>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</si>
  <si>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</si>
  <si>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</si>
  <si>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</si>
  <si>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</si>
  <si>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</si>
  <si>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</si>
  <si>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</si>
  <si>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</si>
  <si>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</si>
  <si>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</si>
  <si>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</si>
  <si>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</si>
  <si>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</si>
  <si>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</si>
  <si>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</si>
  <si>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</si>
  <si>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</si>
  <si>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</si>
  <si>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</si>
  <si>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</si>
  <si>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</si>
  <si>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</si>
  <si>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</si>
  <si>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</si>
  <si>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</si>
  <si>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</si>
  <si>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</si>
  <si>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</si>
  <si>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</si>
  <si>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</si>
  <si>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</si>
  <si>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</si>
  <si>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</si>
  <si>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</si>
  <si>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</si>
  <si>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</si>
  <si>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</si>
  <si>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</si>
  <si>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</si>
  <si>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</si>
  <si>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</si>
  <si>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</si>
  <si>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</si>
  <si>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</si>
  <si>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</si>
  <si>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</si>
  <si>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</si>
  <si>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</si>
  <si>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</si>
  <si>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</si>
  <si>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</si>
  <si>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</si>
  <si>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</si>
  <si>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</si>
  <si>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</si>
  <si>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</si>
  <si>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</si>
  <si>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</si>
  <si>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</si>
  <si>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</si>
  <si>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</si>
  <si>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</si>
  <si>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</si>
  <si>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</si>
  <si>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</si>
  <si>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</si>
  <si>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</si>
  <si>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</si>
  <si>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</si>
  <si>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</si>
  <si>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</si>
  <si>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</si>
  <si>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</si>
  <si>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</si>
  <si>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</si>
  <si>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</si>
  <si>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</si>
  <si>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</si>
  <si>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</si>
  <si>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</si>
  <si>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</si>
  <si>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</si>
  <si>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</si>
  <si>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</si>
  <si>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</si>
  <si>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</si>
  <si>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</si>
  <si>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</si>
  <si>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</si>
  <si>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</si>
  <si>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</si>
  <si>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</si>
  <si>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</si>
  <si>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</si>
  <si>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</si>
  <si>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</si>
  <si>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</si>
  <si>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</si>
  <si>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</si>
  <si>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</si>
  <si>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</si>
  <si>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</si>
  <si>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</si>
  <si>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</si>
  <si>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</si>
  <si>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</si>
  <si>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</si>
  <si>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</si>
  <si>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</si>
  <si>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</si>
  <si>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</si>
  <si>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</si>
  <si>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</si>
  <si>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</si>
  <si>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</si>
  <si>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</si>
  <si>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</si>
  <si>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</si>
  <si>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</si>
  <si>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</si>
  <si>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</si>
  <si>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</si>
  <si>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</si>
  <si>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</si>
  <si>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</si>
  <si>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</si>
  <si>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</si>
  <si>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</si>
  <si>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</si>
  <si>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</si>
  <si>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</si>
  <si>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</si>
  <si>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</si>
  <si>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</si>
  <si>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</si>
  <si>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</si>
  <si>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</si>
  <si>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</si>
  <si>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</si>
  <si>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</si>
  <si>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</si>
  <si>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</si>
  <si>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</si>
  <si>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</si>
  <si>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</si>
  <si>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</si>
  <si>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</si>
  <si>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</si>
  <si>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</si>
  <si>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</si>
  <si>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</si>
  <si>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</si>
  <si>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</si>
  <si>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</si>
  <si>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</si>
  <si>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</si>
  <si>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</si>
  <si>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</si>
  <si>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</si>
  <si>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</si>
  <si>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</si>
  <si>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</si>
  <si>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</si>
  <si>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</si>
  <si>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</si>
  <si>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</si>
  <si>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</si>
  <si>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</si>
  <si>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</si>
  <si>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</si>
  <si>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</si>
  <si>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</si>
  <si>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</si>
  <si>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</si>
  <si>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</si>
  <si>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</si>
  <si>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</si>
  <si>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</si>
  <si>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</si>
  <si>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</si>
  <si>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</si>
  <si>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</si>
  <si>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</si>
  <si>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</si>
  <si>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</si>
  <si>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</si>
  <si>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</si>
  <si>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</si>
  <si>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</si>
  <si>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</si>
  <si>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</si>
  <si>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</si>
  <si>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</si>
  <si>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</si>
  <si>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</si>
  <si>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</si>
  <si>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</si>
  <si>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</si>
  <si>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</si>
  <si>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</si>
  <si>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</si>
  <si>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</si>
  <si>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</si>
  <si>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</si>
  <si>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</si>
  <si>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</si>
  <si>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</si>
  <si>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</si>
  <si>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</si>
  <si>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</si>
  <si>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</si>
  <si>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</si>
  <si>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</si>
  <si>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</si>
  <si>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</si>
  <si>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</si>
  <si>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</si>
  <si>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</si>
  <si>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</si>
  <si>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</si>
  <si>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</si>
  <si>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</si>
  <si>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</si>
  <si>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</si>
  <si>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</si>
  <si>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</si>
  <si>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</si>
  <si>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</si>
  <si>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</si>
  <si>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</si>
  <si>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</si>
  <si>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</si>
  <si>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</si>
  <si>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</si>
  <si>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</si>
  <si>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</si>
  <si>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</si>
  <si>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</si>
  <si>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</si>
  <si>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</si>
  <si>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</si>
  <si>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</si>
  <si>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</si>
  <si>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</si>
  <si>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</si>
  <si>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</si>
  <si>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</si>
  <si>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</si>
  <si>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</si>
  <si>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</si>
  <si>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</si>
  <si>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</si>
  <si>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</si>
  <si>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</si>
  <si>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</si>
  <si>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</si>
  <si>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</si>
  <si>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</si>
  <si>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</si>
  <si>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</si>
  <si>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</si>
  <si>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</si>
  <si>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</si>
  <si>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</si>
  <si>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</si>
  <si>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</si>
  <si>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</si>
  <si>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</si>
  <si>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</si>
  <si>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</si>
  <si>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</si>
  <si>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</si>
  <si>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</si>
  <si>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</si>
  <si>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</si>
  <si>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</si>
  <si>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</si>
  <si>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</si>
  <si>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</si>
  <si>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</si>
  <si>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</si>
  <si>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</si>
  <si>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</si>
  <si>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</si>
  <si>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</si>
  <si>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</si>
  <si>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</si>
  <si>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</si>
  <si>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</si>
  <si>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</si>
  <si>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</si>
  <si>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</si>
  <si>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</si>
  <si>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</si>
  <si>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</si>
  <si>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</si>
  <si>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</si>
  <si>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</si>
  <si>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</si>
  <si>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</si>
  <si>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</si>
  <si>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</si>
  <si>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</si>
  <si>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</si>
  <si>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</si>
  <si>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</si>
  <si>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</si>
  <si>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</si>
  <si>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</si>
  <si>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</si>
  <si>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</si>
  <si>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</si>
  <si>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</si>
  <si>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</si>
  <si>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</si>
  <si>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</si>
  <si>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</si>
  <si>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</si>
  <si>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</si>
  <si>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</si>
  <si>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</si>
  <si>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</si>
  <si>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</si>
  <si>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</si>
  <si>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</si>
  <si>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</si>
  <si>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</si>
  <si>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</si>
  <si>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</si>
  <si>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</si>
  <si>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</si>
  <si>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</si>
  <si>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</si>
  <si>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</si>
  <si>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</si>
  <si>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</si>
  <si>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</si>
  <si>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</si>
  <si>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</si>
  <si>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</si>
  <si>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</si>
  <si>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</si>
  <si>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</si>
  <si>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</si>
  <si>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</si>
  <si>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</si>
  <si>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</si>
  <si>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</si>
  <si>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</si>
  <si>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</si>
  <si>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</si>
  <si>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</si>
  <si>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</si>
  <si>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</si>
  <si>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</si>
  <si>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</si>
  <si>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</si>
  <si>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</si>
  <si>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</si>
  <si>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</si>
  <si>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</si>
  <si>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</si>
  <si>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</si>
  <si>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</si>
  <si>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</si>
  <si>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</si>
  <si>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</si>
  <si>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</si>
  <si>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</si>
  <si>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</si>
  <si>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</si>
  <si>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</si>
  <si>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</si>
  <si>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</si>
  <si>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</si>
  <si>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</si>
  <si>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</si>
  <si>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</si>
  <si>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</si>
  <si>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</si>
  <si>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</si>
  <si>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</si>
  <si>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</si>
  <si>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</si>
  <si>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</si>
  <si>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</si>
  <si>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</si>
  <si>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</si>
  <si>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</si>
  <si>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</si>
  <si>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</si>
  <si>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</si>
  <si>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</si>
  <si>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</si>
  <si>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</si>
  <si>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</si>
  <si>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</si>
  <si>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</si>
  <si>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</si>
  <si>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</si>
  <si>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</si>
  <si>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</si>
  <si>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</si>
  <si>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</si>
  <si>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</si>
  <si>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</si>
  <si>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</si>
  <si>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</si>
  <si>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</si>
  <si>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</si>
  <si>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</si>
  <si>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</si>
  <si>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</si>
  <si>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</si>
  <si>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</si>
  <si>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</si>
  <si>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</si>
  <si>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</si>
  <si>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</si>
  <si>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</si>
  <si>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</si>
  <si>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</si>
  <si>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</si>
  <si>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</si>
  <si>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</si>
  <si>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</si>
  <si>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</si>
  <si>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</si>
  <si>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</si>
  <si>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</si>
  <si>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</si>
  <si>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</si>
  <si>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</si>
  <si>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</si>
  <si>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</si>
  <si>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</si>
  <si>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</si>
  <si>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</si>
  <si>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</si>
  <si>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</si>
  <si>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</si>
  <si>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</si>
  <si>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</si>
  <si>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</si>
  <si>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</si>
  <si>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</si>
  <si>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</si>
  <si>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</si>
  <si>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</si>
  <si>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</si>
  <si>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</si>
  <si>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</si>
  <si>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</si>
  <si>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</si>
  <si>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</si>
  <si>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</si>
  <si>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</si>
  <si>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</si>
  <si>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</si>
  <si>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</si>
  <si>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</si>
  <si>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</si>
  <si>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</si>
  <si>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</si>
  <si>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</si>
  <si>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</si>
  <si>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</si>
  <si>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</si>
  <si>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</si>
  <si>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</si>
  <si>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</si>
  <si>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</si>
  <si>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</si>
  <si>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</si>
  <si>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</si>
  <si>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</si>
  <si>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</si>
  <si>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</si>
  <si>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</si>
  <si>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</si>
  <si>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</si>
  <si>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</si>
  <si>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</si>
  <si>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</si>
  <si>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</si>
  <si>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</si>
  <si>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</si>
  <si>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</si>
  <si>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</si>
  <si>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</si>
  <si>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</si>
  <si>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</si>
  <si>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</si>
  <si>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</si>
  <si>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</si>
  <si>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</si>
  <si>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</si>
  <si>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</si>
  <si>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</si>
  <si>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</si>
  <si>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</si>
  <si>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</si>
  <si>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</si>
  <si>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</si>
  <si>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</si>
  <si>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</si>
  <si>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</si>
  <si>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</si>
  <si>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</si>
  <si>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</si>
  <si>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</si>
  <si>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</si>
  <si>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</si>
  <si>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</si>
  <si>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</si>
  <si>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</si>
  <si>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</si>
  <si>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</si>
  <si>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</si>
  <si>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</si>
  <si>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</si>
  <si>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</si>
  <si>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</si>
  <si>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</si>
  <si>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</si>
  <si>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</si>
  <si>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</si>
  <si>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</si>
  <si>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</si>
  <si>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</si>
  <si>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</si>
  <si>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</si>
  <si>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</si>
  <si>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</si>
  <si>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</si>
  <si>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</si>
  <si>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</si>
  <si>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</si>
  <si>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</si>
  <si>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</si>
  <si>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</si>
  <si>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</si>
  <si>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</si>
  <si>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</si>
  <si>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</si>
  <si>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</si>
  <si>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</si>
  <si>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</si>
  <si>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</si>
  <si>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</si>
  <si>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</si>
  <si>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</si>
  <si>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</si>
  <si>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</si>
  <si>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</si>
  <si>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</si>
  <si>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</si>
  <si>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</si>
  <si>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</si>
  <si>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</si>
  <si>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</si>
  <si>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</si>
  <si>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</si>
  <si>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</si>
  <si>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</si>
  <si>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</si>
  <si>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</si>
  <si>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</si>
  <si>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</si>
  <si>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</si>
  <si>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</si>
  <si>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</si>
  <si>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</si>
  <si>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</si>
  <si>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</si>
  <si>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</si>
  <si>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</si>
  <si>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</si>
  <si>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</si>
  <si>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</si>
  <si>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</si>
  <si>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</si>
  <si>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</si>
  <si>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</si>
  <si>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</si>
  <si>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</si>
  <si>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</si>
  <si>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</si>
  <si>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</si>
  <si>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</si>
  <si>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</si>
  <si>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</si>
  <si>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</si>
  <si>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</si>
  <si>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</si>
  <si>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</si>
  <si>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</si>
  <si>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</si>
  <si>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</si>
  <si>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</si>
  <si>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</si>
  <si>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</si>
  <si>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</si>
  <si>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</si>
  <si>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</si>
  <si>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</si>
  <si>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</si>
  <si>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</si>
  <si>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</si>
  <si>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</si>
  <si>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</si>
  <si>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</si>
  <si>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</si>
  <si>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</si>
  <si>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</si>
  <si>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</si>
  <si>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</si>
  <si>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</si>
  <si>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</si>
  <si>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</si>
  <si>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</si>
  <si>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</si>
  <si>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</si>
  <si>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</si>
  <si>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</si>
  <si>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</si>
  <si>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</si>
  <si>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</si>
  <si>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</si>
  <si>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</si>
  <si>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</si>
  <si>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</si>
  <si>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</si>
  <si>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</si>
  <si>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</si>
  <si>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</si>
  <si>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</si>
  <si>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</si>
  <si>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</si>
  <si>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</si>
  <si>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</si>
  <si>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</si>
  <si>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</si>
  <si>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</si>
  <si>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</si>
  <si>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</si>
  <si>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</si>
  <si>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</si>
  <si>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</si>
  <si>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</si>
  <si>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</si>
  <si>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</si>
  <si>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</si>
  <si>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</si>
  <si>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</si>
  <si>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</si>
  <si>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</si>
  <si>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</si>
  <si>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</si>
  <si>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</si>
  <si>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</si>
  <si>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</si>
  <si>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</si>
  <si>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</si>
  <si>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</si>
  <si>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</si>
  <si>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</si>
  <si>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</si>
  <si>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</si>
  <si>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</si>
  <si>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</si>
  <si>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</si>
  <si>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</si>
  <si>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</si>
  <si>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</si>
  <si>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</si>
  <si>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</si>
  <si>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</si>
  <si>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</si>
  <si>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</si>
  <si>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</si>
  <si>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</si>
  <si>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</si>
  <si>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</si>
  <si>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</si>
  <si>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</si>
  <si>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</si>
  <si>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</si>
  <si>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</si>
  <si>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</si>
  <si>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</si>
  <si>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</si>
  <si>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</si>
  <si>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</si>
  <si>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</si>
  <si>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</si>
  <si>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</si>
  <si>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</si>
  <si>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</si>
  <si>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</si>
  <si>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</si>
  <si>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</si>
  <si>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</si>
  <si>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</si>
  <si>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</si>
  <si>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</si>
  <si>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</si>
  <si>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</si>
  <si>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</si>
  <si>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</si>
  <si>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</si>
  <si>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</si>
  <si>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</si>
  <si>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</si>
  <si>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</si>
  <si>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</si>
  <si>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</si>
  <si>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</si>
  <si>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</si>
  <si>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</si>
  <si>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</si>
  <si>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</si>
  <si>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</si>
  <si>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</si>
  <si>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</si>
  <si>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</si>
  <si>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</si>
  <si>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</si>
  <si>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</si>
  <si>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</si>
  <si>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</si>
  <si>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</si>
  <si>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</si>
  <si>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</si>
  <si>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</si>
  <si>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</si>
  <si>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</si>
  <si>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</si>
  <si>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</si>
  <si>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</si>
  <si>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</si>
  <si>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</si>
  <si>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</si>
  <si>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</si>
  <si>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</si>
  <si>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</si>
  <si>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</si>
  <si>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</si>
  <si>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</si>
  <si>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</si>
  <si>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</si>
  <si>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</si>
  <si>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</si>
  <si>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</si>
  <si>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</si>
  <si>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</si>
  <si>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</si>
  <si>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</si>
  <si>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</si>
  <si>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</si>
  <si>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</si>
  <si>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</si>
  <si>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</si>
  <si>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</si>
  <si>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</si>
  <si>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</si>
  <si>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</si>
  <si>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</si>
  <si>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</si>
  <si>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</si>
  <si>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</si>
  <si>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</si>
  <si>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</si>
  <si>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</si>
  <si>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</si>
  <si>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</si>
  <si>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</si>
  <si>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</si>
  <si>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</si>
  <si>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</si>
  <si>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</si>
  <si>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</si>
  <si>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</si>
  <si>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</si>
  <si>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</si>
  <si>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</si>
  <si>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</si>
  <si>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</si>
  <si>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</si>
  <si>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</si>
  <si>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</si>
  <si>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</si>
  <si>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</si>
  <si>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</si>
  <si>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</si>
  <si>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</si>
  <si>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</si>
  <si>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</si>
  <si>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</si>
  <si>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</si>
  <si>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</si>
  <si>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</si>
  <si>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</si>
  <si>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</si>
  <si>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</si>
  <si>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</si>
  <si>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</si>
  <si>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</si>
  <si>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</si>
  <si>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</si>
  <si>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</si>
  <si>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</si>
  <si>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</si>
  <si>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</si>
  <si>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</si>
  <si>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</si>
  <si>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</si>
  <si>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</si>
  <si>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</si>
  <si>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</si>
  <si>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</si>
  <si>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</si>
  <si>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</si>
  <si>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</si>
  <si>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</si>
  <si>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</si>
  <si>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</si>
  <si>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</si>
  <si>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</si>
  <si>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</si>
  <si>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</si>
  <si>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</si>
  <si>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</si>
  <si>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</si>
  <si>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</si>
  <si>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</si>
  <si>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</si>
  <si>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</si>
  <si>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</si>
  <si>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</si>
  <si>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</si>
  <si>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</si>
  <si>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</si>
  <si>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</si>
  <si>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</si>
  <si>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</si>
  <si>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</si>
  <si>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</si>
  <si>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</si>
  <si>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</si>
  <si>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</si>
  <si>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</si>
  <si>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</si>
  <si>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</si>
  <si>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</si>
  <si>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</si>
  <si>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</si>
  <si>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</si>
  <si>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</si>
  <si>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</si>
  <si>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</si>
  <si>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</si>
  <si>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</si>
  <si>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</si>
  <si>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</si>
  <si>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</si>
  <si>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</si>
  <si>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</si>
  <si>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</si>
  <si>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</si>
  <si>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</si>
  <si>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</si>
  <si>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</si>
  <si>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</si>
  <si>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</si>
  <si>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</si>
  <si>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</si>
  <si>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</si>
  <si>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</si>
  <si>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</si>
  <si>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</si>
  <si>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</si>
  <si>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</si>
  <si>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</si>
  <si>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</si>
  <si>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</si>
  <si>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</si>
  <si>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</si>
  <si>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</si>
  <si>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</si>
  <si>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</si>
  <si>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</si>
  <si>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</si>
  <si>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</si>
  <si>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</si>
  <si>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</si>
  <si>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</si>
  <si>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</si>
  <si>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</si>
  <si>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</si>
  <si>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</si>
  <si>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</si>
  <si>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</si>
  <si>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</si>
  <si>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</si>
  <si>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</si>
  <si>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</si>
  <si>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</si>
  <si>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</si>
  <si>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</si>
  <si>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</si>
  <si>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</si>
  <si>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</si>
  <si>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</si>
  <si>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</si>
  <si>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</si>
  <si>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</si>
  <si>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</si>
  <si>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</si>
  <si>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</si>
  <si>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</si>
  <si>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</si>
  <si>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</si>
  <si>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</si>
  <si>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</si>
  <si>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</si>
  <si>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</si>
  <si>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</si>
  <si>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</si>
  <si>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</si>
  <si>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</si>
  <si>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</si>
  <si>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</si>
  <si>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</si>
  <si>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</si>
  <si>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</si>
  <si>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</si>
  <si>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</si>
  <si>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</si>
  <si>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</si>
  <si>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</si>
  <si>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</si>
  <si>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</si>
  <si>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</si>
  <si>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</si>
  <si>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</si>
  <si>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</si>
  <si>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</si>
  <si>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</si>
  <si>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</si>
  <si>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</si>
  <si>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</si>
  <si>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</si>
  <si>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</si>
  <si>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</si>
  <si>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</si>
  <si>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</si>
  <si>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</si>
  <si>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</si>
  <si>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</si>
  <si>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</si>
  <si>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</si>
  <si>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</si>
  <si>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</si>
  <si>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</si>
  <si>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</si>
  <si>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</si>
  <si>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</si>
  <si>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</si>
  <si>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</si>
  <si>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</si>
  <si>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</si>
  <si>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</si>
  <si>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</si>
  <si>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</si>
  <si>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</si>
  <si>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</si>
  <si>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</si>
  <si>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</si>
  <si>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</si>
  <si>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</si>
  <si>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</si>
  <si>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</si>
  <si>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</si>
  <si>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</si>
  <si>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</si>
  <si>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</si>
  <si>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</si>
  <si>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</si>
  <si>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</si>
  <si>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</si>
  <si>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</si>
  <si>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</si>
  <si>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</si>
  <si>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</si>
  <si>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</si>
  <si>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</si>
  <si>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</si>
  <si>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</si>
  <si>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</si>
  <si>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</si>
  <si>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</si>
  <si>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</si>
  <si>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</si>
  <si>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</si>
  <si>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</si>
  <si>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</si>
  <si>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</si>
  <si>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</si>
  <si>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</si>
  <si>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</si>
  <si>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</si>
  <si>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</si>
  <si>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</si>
  <si>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</si>
  <si>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</si>
  <si>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</si>
  <si>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</si>
  <si>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</si>
  <si>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</si>
  <si>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</si>
  <si>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</si>
  <si>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</si>
  <si>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</si>
  <si>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</si>
  <si>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</si>
  <si>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</si>
  <si>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</si>
  <si>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</si>
  <si>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</si>
  <si>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</si>
  <si>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</si>
  <si>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</si>
  <si>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</si>
  <si>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</si>
  <si>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</si>
  <si>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</si>
  <si>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</si>
  <si>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</si>
  <si>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</si>
  <si>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</si>
  <si>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</si>
  <si>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</si>
  <si>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</si>
  <si>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</si>
  <si>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</si>
  <si>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</si>
  <si>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</si>
  <si>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</si>
  <si>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</si>
  <si>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</si>
  <si>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</si>
  <si>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</si>
  <si>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</si>
  <si>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</si>
  <si>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</si>
  <si>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</si>
  <si>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</si>
  <si>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</si>
  <si>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</si>
  <si>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</si>
  <si>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</si>
  <si>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</si>
  <si>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</si>
  <si>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</si>
  <si>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</si>
  <si>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</si>
  <si>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</si>
  <si>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</si>
  <si>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</si>
  <si>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</si>
  <si>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</si>
  <si>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</si>
  <si>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</si>
  <si>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</si>
  <si>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</si>
  <si>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</si>
  <si>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</si>
  <si>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</si>
  <si>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</si>
  <si>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</si>
  <si>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</si>
  <si>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</si>
  <si>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</si>
  <si>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</si>
  <si>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</si>
  <si>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</si>
  <si>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</si>
  <si>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</si>
  <si>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</si>
  <si>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</si>
  <si>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</si>
  <si>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</si>
  <si>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</si>
  <si>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</si>
  <si>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</si>
  <si>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</si>
  <si>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</si>
  <si>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</si>
  <si>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</si>
  <si>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</si>
  <si>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</si>
  <si>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</si>
  <si>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</si>
  <si>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</si>
  <si>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</si>
  <si>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</si>
  <si>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</si>
  <si>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</si>
  <si>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</si>
  <si>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</si>
  <si>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</si>
  <si>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</si>
  <si>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</si>
  <si>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</si>
  <si>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</si>
  <si>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</si>
  <si>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</si>
  <si>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</si>
  <si>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</si>
  <si>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</si>
  <si>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</si>
  <si>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</si>
  <si>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</si>
  <si>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</si>
  <si>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</si>
  <si>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</si>
  <si>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</si>
  <si>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</si>
  <si>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</si>
  <si>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</si>
  <si>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</si>
  <si>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</si>
  <si>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</si>
  <si>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</si>
  <si>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</si>
  <si>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</si>
  <si>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</si>
  <si>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</si>
  <si>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</si>
  <si>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</si>
  <si>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</si>
  <si>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</si>
  <si>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</si>
  <si>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</si>
  <si>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</si>
  <si>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</si>
  <si>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</si>
  <si>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</si>
  <si>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</si>
  <si>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</si>
  <si>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</si>
  <si>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</si>
  <si>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</si>
  <si>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</si>
  <si>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</si>
  <si>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</si>
  <si>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</si>
  <si>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</si>
  <si>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</si>
  <si>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</si>
  <si>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</si>
  <si>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</si>
  <si>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</si>
  <si>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</si>
  <si>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</si>
  <si>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</si>
  <si>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</si>
  <si>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</si>
  <si>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</si>
  <si>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</si>
  <si>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</si>
  <si>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</si>
  <si>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</si>
  <si>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</si>
  <si>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</si>
  <si>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</si>
  <si>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</si>
  <si>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</si>
  <si>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</si>
  <si>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</si>
  <si>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</si>
  <si>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</si>
  <si>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</si>
  <si>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</si>
  <si>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</si>
  <si>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</si>
  <si>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</si>
  <si>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</si>
  <si>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</si>
  <si>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</si>
  <si>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</si>
  <si>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</si>
  <si>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</si>
  <si>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</si>
  <si>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</si>
  <si>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</si>
  <si>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</si>
  <si>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</si>
  <si>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</si>
  <si>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</si>
  <si>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</si>
  <si>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</si>
  <si>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</si>
  <si>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</si>
  <si>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</si>
  <si>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</si>
  <si>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</si>
  <si>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</si>
  <si>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</si>
  <si>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</si>
  <si>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</si>
  <si>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</si>
  <si>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</si>
  <si>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</si>
  <si>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</si>
  <si>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</si>
  <si>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</si>
  <si>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</si>
  <si>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</si>
  <si>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</si>
  <si>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</si>
  <si>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</si>
  <si>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</si>
  <si>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</si>
  <si>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</si>
  <si>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</si>
  <si>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</si>
  <si>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</si>
  <si>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</si>
  <si>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</si>
  <si>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</si>
  <si>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</si>
  <si>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</si>
  <si>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</si>
  <si>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</si>
  <si>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</si>
  <si>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</si>
  <si>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</si>
  <si>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</si>
  <si>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</si>
  <si>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</si>
  <si>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</si>
  <si>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</si>
  <si>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</si>
  <si>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</si>
  <si>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</si>
  <si>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</si>
  <si>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</si>
  <si>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</si>
  <si>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</si>
  <si>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</si>
  <si>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</si>
  <si>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</si>
  <si>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</si>
  <si>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</si>
  <si>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</si>
  <si>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</si>
  <si>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</si>
  <si>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</si>
  <si>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</si>
  <si>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</si>
  <si>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</si>
  <si>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</si>
  <si>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</si>
  <si>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</si>
  <si>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</si>
  <si>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</si>
  <si>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</si>
  <si>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</si>
  <si>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</si>
  <si>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</si>
  <si>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</si>
  <si>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</si>
  <si>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</si>
  <si>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</si>
  <si>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</si>
  <si>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</si>
  <si>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</si>
  <si>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</si>
  <si>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</si>
  <si>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</si>
  <si>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</si>
  <si>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</si>
  <si>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</si>
  <si>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</si>
  <si>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</si>
  <si>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</si>
  <si>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</si>
  <si>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</si>
  <si>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</si>
  <si>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</si>
  <si>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</si>
  <si>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</si>
  <si>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</si>
  <si>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</si>
  <si>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</si>
  <si>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</si>
  <si>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</si>
  <si>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</si>
  <si>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</si>
  <si>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</si>
  <si>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</si>
  <si>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</si>
  <si>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</si>
  <si>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</si>
  <si>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</si>
  <si>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</si>
  <si>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</si>
  <si>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</si>
  <si>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</si>
  <si>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</si>
  <si>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</si>
  <si>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</si>
  <si>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</si>
  <si>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</si>
  <si>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</si>
  <si>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</si>
  <si>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</si>
  <si>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</si>
  <si>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</si>
  <si>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</si>
  <si>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</si>
  <si>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</si>
  <si>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</si>
  <si>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</si>
  <si>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</si>
  <si>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</si>
  <si>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</si>
  <si>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</si>
  <si>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</si>
  <si>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</si>
  <si>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</si>
  <si>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</si>
  <si>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</si>
  <si>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</si>
  <si>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</si>
  <si>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</si>
  <si>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</si>
  <si>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</si>
  <si>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</si>
  <si>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</si>
  <si>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</si>
  <si>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</si>
  <si>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</si>
  <si>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</si>
  <si>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</si>
  <si>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</si>
  <si>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</si>
  <si>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</si>
  <si>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</si>
  <si>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</si>
  <si>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</si>
  <si>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</si>
  <si>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</si>
  <si>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</si>
  <si>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</si>
  <si>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</si>
  <si>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</si>
  <si>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</si>
  <si>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</si>
  <si>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</si>
  <si>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</si>
  <si>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</si>
  <si>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</si>
  <si>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</si>
  <si>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</si>
  <si>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</si>
  <si>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</si>
  <si>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</si>
  <si>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</si>
  <si>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</si>
  <si>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</si>
  <si>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</si>
  <si>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</si>
  <si>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</si>
  <si>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</si>
  <si>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</si>
  <si>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</si>
  <si>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</si>
  <si>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</si>
  <si>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</si>
  <si>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</si>
  <si>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</si>
  <si>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</si>
  <si>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</si>
  <si>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</si>
  <si>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</si>
  <si>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</si>
  <si>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</si>
  <si>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</si>
  <si>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</si>
  <si>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</si>
  <si>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</si>
  <si>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</si>
  <si>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</si>
  <si>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</si>
  <si>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</si>
  <si>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</si>
  <si>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</si>
  <si>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</si>
  <si>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</si>
  <si>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</si>
  <si>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</si>
  <si>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</si>
  <si>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</si>
  <si>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</si>
  <si>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</si>
  <si>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</si>
  <si>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</si>
  <si>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</si>
  <si>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</si>
  <si>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</si>
  <si>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</si>
  <si>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</si>
  <si>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</si>
  <si>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</si>
  <si>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</si>
  <si>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</si>
  <si>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</si>
  <si>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</si>
  <si>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</si>
  <si>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</si>
  <si>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</si>
  <si>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</si>
  <si>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</si>
  <si>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</si>
  <si>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</si>
  <si>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</si>
  <si>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</si>
  <si>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</si>
  <si>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</si>
  <si>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</si>
  <si>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</si>
  <si>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</si>
  <si>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</si>
  <si>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</si>
  <si>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</si>
  <si>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</si>
  <si>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</si>
  <si>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</si>
  <si>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</si>
  <si>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</si>
  <si>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</si>
  <si>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</si>
  <si>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</si>
  <si>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</si>
  <si>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</si>
  <si>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</si>
  <si>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</si>
  <si>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</si>
  <si>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</si>
  <si>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</si>
  <si>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</si>
  <si>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</si>
  <si>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</si>
  <si>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</si>
  <si>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</si>
  <si>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</si>
  <si>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</si>
  <si>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</si>
  <si>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</si>
  <si>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</si>
  <si>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</si>
  <si>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</si>
  <si>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</si>
  <si>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</si>
  <si>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</si>
  <si>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</si>
  <si>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</si>
  <si>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</si>
  <si>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</si>
  <si>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</si>
  <si>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</si>
  <si>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</si>
  <si>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</si>
  <si>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</si>
  <si>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</si>
  <si>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</si>
  <si>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</si>
  <si>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</si>
  <si>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</si>
  <si>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</si>
  <si>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</si>
  <si>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</si>
  <si>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</si>
  <si>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</si>
  <si>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</si>
  <si>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</si>
  <si>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</si>
  <si>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</si>
  <si>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</si>
  <si>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</si>
  <si>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</si>
  <si>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</si>
  <si>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</si>
  <si>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</si>
  <si>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</si>
  <si>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</si>
  <si>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</si>
  <si>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</si>
  <si>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</si>
  <si>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</si>
  <si>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</si>
  <si>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</si>
  <si>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</si>
  <si>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</si>
  <si>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</si>
  <si>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</si>
  <si>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</si>
  <si>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</si>
  <si>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</si>
  <si>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</si>
  <si>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</si>
  <si>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</si>
  <si>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</si>
  <si>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</si>
  <si>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</si>
  <si>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</si>
  <si>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</si>
  <si>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</si>
  <si>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</si>
  <si>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</si>
  <si>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</si>
  <si>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</si>
  <si>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</si>
  <si>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</si>
  <si>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</si>
  <si>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</si>
  <si>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</si>
  <si>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</si>
  <si>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</si>
  <si>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</si>
  <si>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</si>
  <si>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</si>
  <si>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</si>
  <si>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</si>
  <si>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</si>
  <si>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</si>
  <si>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</si>
  <si>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</si>
  <si>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</si>
  <si>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</si>
  <si>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</si>
  <si>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</si>
  <si>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</si>
  <si>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</si>
  <si>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</si>
  <si>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</si>
  <si>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</si>
  <si>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</si>
  <si>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</si>
  <si>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</si>
  <si>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</si>
  <si>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</si>
  <si>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</si>
  <si>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</si>
  <si>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</si>
  <si>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</si>
  <si>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</si>
  <si>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</si>
  <si>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</si>
  <si>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</si>
  <si>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</si>
  <si>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</si>
  <si>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</si>
  <si>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</si>
  <si>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</si>
  <si>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</si>
  <si>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</si>
  <si>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</si>
  <si>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</si>
  <si>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</si>
  <si>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</si>
  <si>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</si>
  <si>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</si>
  <si>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</si>
  <si>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</si>
  <si>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</si>
  <si>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</si>
  <si>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</si>
  <si>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</si>
  <si>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</si>
  <si>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</si>
  <si>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</si>
  <si>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</si>
  <si>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</si>
  <si>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</si>
  <si>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</si>
  <si>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</si>
  <si>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</si>
  <si>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</si>
  <si>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</si>
  <si>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</si>
  <si>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</si>
  <si>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</si>
  <si>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</si>
  <si>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</si>
  <si>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</si>
  <si>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</si>
  <si>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</si>
  <si>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</si>
  <si>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</si>
  <si>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</si>
  <si>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</si>
  <si>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</si>
  <si>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</si>
  <si>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</si>
  <si>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</si>
  <si>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</si>
  <si>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</si>
  <si>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</si>
  <si>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</si>
  <si>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</si>
  <si>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</si>
  <si>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</si>
  <si>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</si>
  <si>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</si>
  <si>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</si>
  <si>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</si>
  <si>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</si>
  <si>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</si>
  <si>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</si>
  <si>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</si>
  <si>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</si>
  <si>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</si>
  <si>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</si>
  <si>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</si>
  <si>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</si>
  <si>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</si>
  <si>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</si>
  <si>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</si>
  <si>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</si>
  <si>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</si>
  <si>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</si>
  <si>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</si>
  <si>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</si>
  <si>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</si>
  <si>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</si>
  <si>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</si>
  <si>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</si>
  <si>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</si>
  <si>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</si>
  <si>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</si>
  <si>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</si>
  <si>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</si>
  <si>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</si>
  <si>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</si>
  <si>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</si>
  <si>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</si>
  <si>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</si>
  <si>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</si>
  <si>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</si>
  <si>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</si>
  <si>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</si>
  <si>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</si>
  <si>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</si>
  <si>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</si>
  <si>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</si>
  <si>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</si>
  <si>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</si>
  <si>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</si>
  <si>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</si>
  <si>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</si>
  <si>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</si>
  <si>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</si>
  <si>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</si>
  <si>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</si>
  <si>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</si>
  <si>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</si>
  <si>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</si>
  <si>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</si>
  <si>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</si>
  <si>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</si>
  <si>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</si>
  <si>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</si>
  <si>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</si>
  <si>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</si>
  <si>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</si>
  <si>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</si>
  <si>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</si>
  <si>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</si>
  <si>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</si>
  <si>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</si>
  <si>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</si>
  <si>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</si>
  <si>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</si>
  <si>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</si>
  <si>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</si>
  <si>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</si>
  <si>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</si>
  <si>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</si>
  <si>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</si>
  <si>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</si>
  <si>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</si>
  <si>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</si>
  <si>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</si>
  <si>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</si>
  <si>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</si>
  <si>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</si>
  <si>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</si>
  <si>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</si>
  <si>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</si>
  <si>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</si>
  <si>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</si>
  <si>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</si>
  <si>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</si>
  <si>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</si>
  <si>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</si>
  <si>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</si>
  <si>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</si>
  <si>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</si>
  <si>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</si>
  <si>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</si>
  <si>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</si>
  <si>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</si>
  <si>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</si>
  <si>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</si>
  <si>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</si>
  <si>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</si>
  <si>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</si>
  <si>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</si>
  <si>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</si>
  <si>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</si>
  <si>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</si>
  <si>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</si>
  <si>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</si>
  <si>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</si>
  <si>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</si>
  <si>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</si>
  <si>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</si>
  <si>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</si>
  <si>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</si>
  <si>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</si>
  <si>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</si>
  <si>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</si>
  <si>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</si>
  <si>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</si>
  <si>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</si>
  <si>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</si>
  <si>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</si>
  <si>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</si>
  <si>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</si>
  <si>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</si>
  <si>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</si>
  <si>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</si>
  <si>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</si>
  <si>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</si>
  <si>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</si>
  <si>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</si>
  <si>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</si>
  <si>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</si>
  <si>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</si>
  <si>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</si>
  <si>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</si>
  <si>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</si>
  <si>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</si>
  <si>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</si>
  <si>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</si>
  <si>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</si>
  <si>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</si>
  <si>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</si>
  <si>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</si>
  <si>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</si>
  <si>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</si>
  <si>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</si>
  <si>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</si>
  <si>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</si>
  <si>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</si>
  <si>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</si>
  <si>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</si>
  <si>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</si>
  <si>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</si>
  <si>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</si>
  <si>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</si>
  <si>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</si>
  <si>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</si>
  <si>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</si>
  <si>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</si>
  <si>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</si>
  <si>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</si>
  <si>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</si>
  <si>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</si>
  <si>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</si>
  <si>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</si>
  <si>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</si>
  <si>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</si>
  <si>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</si>
  <si>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</si>
  <si>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</si>
  <si>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</si>
  <si>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</si>
  <si>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</si>
  <si>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</si>
  <si>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</si>
  <si>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</si>
  <si>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</si>
  <si>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</si>
  <si>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</si>
  <si>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</si>
  <si>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</si>
  <si>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</si>
  <si>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</si>
  <si>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</si>
  <si>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</si>
  <si>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</si>
  <si>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</si>
  <si>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</si>
  <si>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</si>
  <si>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</si>
  <si>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</si>
  <si>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</si>
  <si>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</si>
  <si>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</si>
  <si>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</si>
  <si>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</si>
  <si>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</si>
  <si>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</si>
  <si>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</si>
  <si>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</si>
  <si>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</si>
  <si>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</si>
  <si>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</si>
  <si>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</si>
  <si>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</si>
  <si>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</si>
  <si>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</si>
  <si>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</si>
  <si>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</si>
  <si>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</si>
  <si>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</si>
  <si>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</si>
  <si>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</si>
  <si>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</si>
  <si>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</si>
  <si>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</si>
  <si>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</si>
  <si>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</si>
  <si>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</si>
  <si>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</si>
  <si>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</si>
  <si>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</si>
  <si>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</si>
  <si>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</si>
  <si>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</si>
  <si>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</si>
  <si>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</si>
  <si>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</si>
  <si>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</si>
  <si>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</si>
  <si>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</si>
  <si>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</si>
  <si>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</si>
  <si>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</si>
  <si>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</si>
  <si>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</si>
  <si>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</si>
  <si>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</si>
  <si>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</si>
  <si>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</si>
  <si>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</si>
  <si>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</si>
  <si>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</si>
  <si>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</si>
  <si>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</si>
  <si>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</si>
  <si>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</si>
  <si>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</si>
  <si>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</si>
  <si>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</si>
  <si>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</si>
  <si>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</si>
  <si>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</si>
  <si>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</si>
  <si>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</si>
  <si>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</si>
  <si>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</si>
  <si>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</si>
  <si>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</si>
  <si>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</si>
  <si>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</si>
  <si>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</si>
  <si>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</si>
  <si>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</si>
  <si>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</si>
  <si>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</si>
  <si>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</si>
  <si>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</si>
  <si>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</si>
  <si>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</si>
  <si>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</si>
  <si>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</si>
  <si>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</si>
  <si>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</si>
  <si>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</si>
  <si>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</si>
  <si>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</si>
  <si>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</si>
  <si>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</si>
  <si>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</si>
  <si>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</si>
  <si>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</si>
  <si>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</si>
  <si>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</si>
  <si>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</si>
  <si>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</si>
  <si>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</si>
  <si>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</si>
  <si>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</si>
  <si>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</si>
  <si>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</si>
  <si>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</si>
  <si>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</si>
  <si>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</si>
  <si>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</si>
  <si>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</si>
  <si>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</si>
  <si>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</si>
  <si>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</si>
  <si>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</si>
  <si>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</si>
  <si>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</si>
  <si>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</si>
  <si>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</si>
  <si>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</si>
  <si>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</si>
  <si>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</si>
  <si>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</si>
  <si>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</si>
  <si>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</si>
  <si>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</si>
  <si>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</si>
  <si>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</si>
  <si>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</si>
  <si>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</si>
  <si>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</si>
  <si>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</si>
  <si>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</si>
  <si>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</si>
  <si>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</si>
  <si>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</si>
  <si>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</si>
  <si>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</si>
  <si>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</si>
  <si>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</si>
  <si>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</si>
  <si>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</si>
  <si>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</si>
  <si>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</si>
  <si>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</si>
  <si>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</si>
  <si>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</si>
  <si>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</si>
  <si>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</si>
  <si>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</si>
  <si>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</si>
  <si>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</si>
  <si>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</si>
  <si>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</si>
  <si>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</si>
  <si>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</si>
  <si>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</si>
  <si>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</si>
  <si>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</si>
  <si>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</si>
  <si>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</si>
  <si>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</si>
  <si>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</si>
  <si>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</si>
  <si>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</si>
  <si>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</si>
  <si>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</si>
  <si>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</si>
  <si>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</si>
  <si>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</si>
  <si>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</si>
  <si>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</si>
  <si>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</si>
  <si>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</si>
  <si>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</si>
  <si>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</si>
  <si>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</si>
  <si>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</si>
  <si>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</si>
  <si>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</si>
  <si>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</si>
  <si>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</si>
  <si>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</si>
  <si>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</si>
  <si>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</si>
  <si>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</si>
  <si>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</si>
  <si>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</si>
  <si>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</si>
  <si>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</si>
  <si>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</si>
  <si>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</si>
  <si>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</si>
  <si>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</si>
  <si>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</si>
  <si>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</si>
  <si>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</si>
  <si>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</si>
  <si>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</si>
  <si>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</si>
  <si>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</si>
  <si>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</si>
  <si>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</si>
  <si>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</si>
  <si>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</si>
  <si>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</si>
  <si>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</si>
  <si>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</si>
  <si>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</si>
  <si>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</si>
  <si>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</si>
  <si>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</si>
  <si>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</si>
  <si>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</si>
  <si>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</si>
  <si>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</si>
  <si>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</si>
  <si>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</si>
  <si>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</si>
  <si>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</si>
  <si>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</si>
  <si>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</si>
  <si>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</si>
  <si>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</si>
  <si>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</si>
  <si>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</si>
  <si>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</si>
  <si>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</si>
  <si>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</si>
  <si>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</si>
  <si>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</si>
  <si>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</si>
  <si>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</si>
  <si>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</si>
  <si>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</si>
  <si>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</si>
  <si>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</si>
  <si>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</si>
  <si>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</si>
  <si>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</si>
  <si>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</si>
  <si>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</si>
  <si>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</si>
  <si>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</si>
  <si>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</si>
  <si>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</si>
  <si>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</si>
  <si>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</si>
  <si>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</si>
  <si>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</si>
  <si>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</si>
  <si>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</si>
  <si>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</si>
  <si>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</si>
  <si>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</si>
  <si>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</si>
  <si>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</si>
  <si>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</si>
  <si>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</si>
  <si>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</si>
  <si>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</si>
  <si>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</si>
  <si>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</si>
  <si>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</si>
  <si>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</si>
  <si>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</si>
  <si>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</si>
  <si>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</si>
  <si>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</si>
  <si>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</si>
  <si>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</si>
  <si>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</si>
  <si>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</si>
  <si>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</si>
  <si>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</si>
  <si>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</si>
  <si>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</si>
  <si>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</si>
  <si>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</si>
  <si>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</si>
  <si>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</si>
  <si>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</si>
  <si>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</si>
  <si>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</si>
  <si>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</si>
  <si>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</si>
  <si>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</si>
  <si>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</si>
  <si>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</si>
  <si>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</si>
  <si>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</si>
  <si>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</si>
  <si>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</si>
  <si>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</si>
  <si>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</si>
  <si>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</si>
  <si>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</si>
  <si>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</si>
  <si>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</si>
  <si>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</si>
  <si>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</si>
  <si>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</si>
  <si>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</si>
  <si>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</si>
  <si>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</si>
  <si>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</si>
  <si>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</si>
  <si>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</si>
  <si>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</si>
  <si>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</si>
  <si>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</si>
  <si>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</si>
  <si>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</si>
  <si>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</si>
  <si>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</si>
  <si>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</si>
  <si>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</si>
  <si>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</si>
  <si>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</si>
  <si>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</si>
  <si>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</si>
  <si>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</si>
  <si>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</si>
  <si>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</si>
  <si>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</si>
  <si>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</si>
  <si>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</si>
  <si>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</si>
  <si>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</si>
  <si>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</si>
  <si>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</si>
  <si>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</si>
  <si>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</si>
  <si>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</si>
  <si>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</si>
  <si>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</si>
  <si>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</si>
  <si>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</si>
  <si>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</si>
  <si>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</si>
  <si>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</si>
  <si>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</si>
  <si>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</si>
  <si>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</si>
  <si>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</si>
  <si>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</si>
  <si>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</si>
  <si>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</si>
  <si>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</si>
  <si>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</si>
  <si>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</si>
  <si>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</si>
  <si>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</si>
  <si>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</si>
  <si>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</si>
  <si>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</si>
  <si>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</si>
  <si>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</si>
  <si>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</si>
  <si>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</si>
  <si>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</si>
  <si>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</si>
  <si>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</si>
  <si>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</si>
  <si>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</si>
  <si>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</si>
  <si>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</si>
  <si>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</si>
  <si>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</si>
  <si>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</si>
  <si>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</si>
  <si>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</si>
  <si>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</si>
  <si>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</si>
  <si>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</si>
  <si>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</si>
  <si>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</si>
  <si>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</si>
  <si>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</si>
  <si>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</si>
  <si>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</si>
  <si>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</si>
  <si>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</si>
  <si>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</si>
  <si>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</si>
  <si>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</si>
  <si>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</si>
  <si>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</si>
  <si>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</si>
  <si>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</si>
  <si>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</si>
  <si>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</si>
  <si>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</si>
  <si>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</si>
  <si>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</si>
  <si>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</si>
  <si>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</si>
  <si>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</si>
  <si>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</si>
  <si>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</si>
  <si>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</si>
  <si>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</si>
  <si>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</si>
  <si>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</si>
  <si>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</si>
  <si>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</si>
  <si>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</si>
  <si>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</si>
  <si>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</si>
  <si>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</si>
  <si>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</si>
  <si>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</si>
  <si>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</si>
  <si>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</si>
  <si>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</si>
  <si>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</si>
  <si>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</si>
  <si>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</si>
  <si>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</si>
  <si>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</si>
  <si>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</si>
  <si>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</si>
  <si>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</si>
  <si>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</si>
  <si>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</si>
  <si>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</si>
  <si>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</si>
  <si>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</si>
  <si>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</si>
  <si>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</si>
  <si>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</si>
  <si>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</si>
  <si>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</si>
  <si>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</si>
  <si>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</si>
  <si>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</si>
  <si>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</si>
  <si>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</si>
  <si>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</si>
  <si>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</si>
  <si>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</si>
  <si>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</si>
  <si>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</si>
  <si>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</si>
  <si>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</si>
  <si>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</si>
  <si>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</si>
  <si>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</si>
  <si>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</si>
  <si>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</si>
  <si>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</si>
  <si>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</si>
  <si>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</si>
  <si>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</si>
  <si>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</si>
  <si>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</si>
  <si>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</si>
  <si>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</si>
  <si>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</si>
  <si>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</si>
  <si>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</si>
  <si>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</si>
  <si>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</si>
  <si>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</si>
  <si>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</si>
  <si>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</si>
  <si>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</si>
  <si>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</si>
  <si>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</si>
  <si>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</si>
  <si>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</si>
  <si>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</si>
  <si>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</si>
  <si>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</si>
  <si>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</si>
  <si>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</si>
  <si>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</si>
  <si>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</si>
  <si>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</si>
  <si>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</si>
  <si>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</si>
  <si>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</si>
  <si>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</si>
  <si>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</si>
  <si>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</si>
  <si>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</si>
  <si>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</si>
  <si>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</si>
  <si>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</si>
  <si>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</si>
  <si>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</si>
  <si>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</si>
  <si>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</si>
  <si>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</si>
  <si>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</si>
  <si>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</si>
  <si>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</si>
  <si>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</si>
  <si>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</si>
  <si>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</si>
  <si>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</si>
  <si>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</si>
  <si>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</si>
  <si>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</si>
  <si>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</si>
  <si>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</si>
  <si>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</si>
  <si>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</si>
  <si>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</si>
  <si>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</si>
  <si>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</si>
  <si>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</si>
  <si>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</si>
  <si>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</si>
  <si>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</si>
  <si>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</si>
  <si>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</si>
  <si>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</si>
  <si>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</si>
  <si>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</si>
  <si>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</si>
  <si>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</si>
  <si>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</si>
  <si>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</si>
  <si>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</si>
  <si>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</si>
  <si>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</si>
  <si>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</si>
  <si>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</si>
  <si>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</si>
  <si>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</si>
  <si>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</si>
  <si>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</si>
  <si>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</si>
  <si>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</si>
  <si>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</si>
  <si>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</si>
  <si>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</si>
  <si>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</si>
  <si>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</si>
  <si>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</si>
  <si>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</si>
  <si>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</si>
  <si>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</si>
  <si>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</si>
  <si>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</si>
  <si>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</si>
  <si>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</si>
  <si>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</si>
  <si>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</si>
  <si>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</si>
  <si>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</si>
  <si>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</si>
  <si>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</si>
  <si>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</si>
  <si>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</si>
  <si>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</si>
  <si>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</si>
  <si>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</si>
  <si>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</si>
  <si>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</si>
  <si>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</si>
  <si>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</si>
  <si>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</si>
  <si>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</si>
  <si>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</si>
  <si>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</si>
  <si>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</si>
  <si>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</si>
  <si>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</si>
  <si>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</si>
  <si>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</si>
  <si>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</si>
  <si>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</si>
  <si>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</si>
  <si>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</si>
  <si>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</si>
  <si>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</si>
  <si>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</si>
  <si>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</si>
  <si>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</si>
  <si>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</si>
  <si>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</si>
  <si>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</si>
  <si>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</si>
  <si>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</si>
  <si>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</si>
  <si>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</si>
  <si>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</si>
  <si>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</si>
  <si>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</si>
  <si>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</si>
  <si>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</si>
  <si>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</si>
  <si>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</si>
  <si>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</si>
  <si>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</si>
  <si>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</si>
  <si>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</si>
  <si>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</si>
  <si>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</si>
  <si>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</si>
  <si>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</si>
  <si>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</si>
  <si>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</si>
  <si>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</si>
  <si>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</si>
  <si>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</si>
  <si>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</si>
  <si>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</si>
  <si>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</si>
  <si>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</si>
  <si>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</si>
  <si>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</si>
  <si>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</si>
  <si>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</si>
  <si>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</si>
  <si>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</si>
  <si>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</si>
  <si>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</si>
  <si>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</si>
  <si>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</si>
  <si>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</si>
  <si>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</si>
  <si>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</si>
  <si>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</si>
  <si>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</si>
  <si>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</si>
  <si>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</si>
  <si>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</si>
  <si>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</si>
  <si>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</si>
  <si>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</si>
  <si>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</si>
  <si>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</si>
  <si>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</si>
  <si>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</si>
  <si>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</si>
  <si>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</si>
  <si>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</si>
  <si>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</si>
  <si>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</si>
  <si>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</si>
  <si>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</si>
  <si>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</si>
  <si>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</si>
  <si>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</si>
  <si>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</si>
  <si>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</si>
  <si>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</si>
  <si>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</si>
  <si>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</si>
  <si>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</si>
  <si>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</si>
  <si>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</si>
  <si>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</si>
  <si>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</si>
  <si>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</si>
  <si>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</si>
  <si>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</si>
  <si>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</si>
  <si>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</si>
  <si>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</si>
  <si>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</si>
  <si>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</si>
  <si>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</si>
  <si>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</si>
  <si>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</si>
  <si>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</si>
  <si>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</si>
  <si>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</si>
  <si>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</si>
  <si>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</si>
  <si>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</si>
  <si>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</si>
  <si>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</si>
  <si>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</si>
  <si>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</si>
  <si>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</si>
  <si>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</si>
  <si>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</si>
  <si>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</si>
  <si>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</si>
  <si>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</si>
  <si>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</si>
  <si>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</si>
  <si>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</si>
  <si>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</si>
  <si>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</si>
  <si>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</si>
  <si>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</si>
  <si>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</si>
  <si>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</si>
  <si>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</si>
  <si>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</si>
  <si>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</si>
  <si>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</si>
  <si>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</si>
  <si>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</si>
  <si>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</si>
  <si>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</si>
  <si>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</si>
  <si>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</si>
  <si>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</si>
  <si>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</si>
  <si>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</si>
  <si>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</si>
  <si>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</si>
  <si>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</si>
  <si>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</si>
  <si>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</si>
  <si>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</si>
  <si>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</si>
  <si>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</si>
  <si>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</si>
  <si>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</si>
  <si>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</si>
  <si>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</si>
  <si>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</si>
  <si>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</si>
  <si>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</si>
  <si>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</si>
  <si>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</si>
  <si>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</si>
  <si>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</si>
  <si>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</si>
  <si>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</si>
  <si>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</si>
  <si>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</si>
  <si>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</si>
  <si>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</si>
  <si>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</si>
  <si>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</si>
  <si>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</si>
  <si>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</si>
  <si>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</si>
  <si>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</si>
  <si>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</si>
  <si>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</si>
  <si>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</si>
  <si>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</si>
  <si>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</si>
  <si>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</si>
  <si>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</si>
  <si>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</si>
  <si>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</si>
  <si>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</si>
  <si>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</si>
  <si>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</si>
  <si>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</si>
  <si>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</si>
  <si>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</si>
  <si>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</si>
  <si>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</si>
  <si>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</si>
  <si>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</si>
  <si>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</si>
  <si>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</si>
  <si>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</si>
  <si>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</si>
  <si>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</si>
  <si>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</si>
  <si>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</si>
  <si>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</si>
  <si>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</si>
  <si>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</si>
  <si>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</si>
  <si>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</si>
  <si>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</si>
  <si>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</si>
  <si>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</si>
  <si>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</si>
  <si>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</si>
  <si>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</si>
  <si>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</si>
  <si>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</si>
  <si>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</si>
  <si>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</si>
  <si>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</si>
  <si>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</si>
  <si>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</si>
  <si>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</si>
  <si>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</si>
  <si>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</si>
  <si>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</si>
  <si>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</si>
  <si>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</si>
  <si>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</si>
  <si>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</si>
  <si>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</si>
  <si>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</si>
  <si>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</si>
  <si>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</si>
  <si>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</si>
  <si>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</si>
  <si>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</si>
  <si>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</si>
  <si>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</si>
  <si>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</si>
  <si>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</si>
  <si>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</si>
  <si>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</si>
  <si>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</si>
  <si>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</si>
  <si>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</si>
  <si>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</si>
  <si>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</si>
  <si>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</si>
  <si>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</si>
  <si>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</si>
  <si>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</si>
  <si>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</si>
  <si>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</si>
  <si>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</si>
  <si>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</si>
  <si>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</si>
  <si>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</si>
  <si>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</si>
  <si>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</si>
  <si>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</si>
  <si>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</si>
  <si>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</si>
  <si>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</si>
  <si>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</si>
  <si>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</si>
  <si>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</si>
  <si>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</si>
  <si>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</si>
  <si>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</si>
  <si>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</si>
  <si>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</si>
  <si>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</si>
  <si>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</si>
  <si>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</si>
  <si>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</si>
  <si>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</si>
  <si>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</si>
  <si>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</si>
  <si>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</si>
  <si>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</si>
  <si>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</si>
  <si>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</si>
  <si>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</si>
  <si>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</si>
  <si>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</si>
  <si>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</si>
  <si>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</si>
  <si>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</si>
  <si>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</si>
  <si>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</si>
  <si>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</si>
  <si>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</si>
  <si>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</si>
  <si>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</si>
  <si>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</si>
  <si>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</si>
  <si>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</si>
  <si>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</si>
  <si>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</si>
  <si>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</si>
  <si>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</si>
  <si>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</si>
  <si>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</si>
  <si>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</si>
  <si>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</si>
  <si>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</si>
  <si>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</si>
  <si>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</si>
  <si>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</si>
  <si>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</si>
  <si>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</si>
  <si>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</si>
  <si>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</si>
  <si>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</si>
  <si>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</si>
  <si>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</si>
  <si>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</si>
  <si>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</si>
  <si>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</si>
  <si>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</si>
  <si>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</si>
  <si>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</si>
  <si>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</si>
  <si>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</si>
  <si>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</si>
  <si>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</si>
  <si>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</si>
  <si>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</si>
  <si>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</si>
  <si>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</si>
  <si>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</si>
  <si>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</si>
  <si>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</si>
  <si>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</si>
  <si>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</si>
  <si>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</si>
  <si>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</si>
  <si>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</si>
  <si>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</si>
  <si>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</si>
  <si>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</si>
  <si>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</si>
  <si>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</si>
  <si>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</si>
  <si>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</si>
  <si>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</si>
  <si>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</si>
  <si>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</si>
  <si>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</si>
  <si>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</si>
  <si>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</si>
  <si>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</si>
  <si>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</si>
  <si>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</si>
  <si>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</si>
  <si>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</si>
  <si>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</si>
  <si>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</si>
  <si>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</si>
  <si>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</si>
  <si>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</si>
  <si>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</si>
  <si>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</si>
  <si>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</si>
  <si>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</si>
  <si>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</si>
  <si>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</si>
  <si>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</si>
  <si>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</si>
  <si>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</si>
  <si>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</si>
  <si>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</si>
  <si>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</si>
  <si>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</si>
  <si>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</si>
  <si>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</si>
  <si>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</si>
  <si>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</si>
  <si>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</si>
  <si>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</si>
  <si>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</si>
  <si>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</si>
  <si>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</si>
  <si>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</si>
  <si>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</si>
  <si>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</si>
  <si>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</si>
  <si>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</si>
  <si>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</si>
  <si>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</si>
  <si>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</si>
  <si>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</si>
  <si>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</si>
  <si>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</si>
  <si>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</si>
  <si>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</si>
  <si>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</si>
  <si>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</si>
  <si>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</si>
  <si>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</si>
  <si>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</si>
  <si>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</si>
  <si>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</si>
  <si>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</si>
  <si>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</si>
  <si>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</si>
  <si>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</si>
  <si>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</si>
  <si>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</si>
  <si>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</si>
  <si>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</si>
  <si>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</si>
  <si>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</si>
  <si>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</si>
  <si>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</si>
  <si>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</si>
  <si>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</si>
  <si>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</si>
  <si>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</si>
  <si>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</si>
  <si>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</si>
  <si>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</si>
  <si>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</si>
  <si>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</si>
  <si>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</si>
  <si>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</si>
  <si>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</si>
  <si>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</si>
  <si>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</si>
  <si>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</si>
  <si>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</si>
  <si>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</si>
  <si>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</si>
  <si>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</si>
  <si>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</si>
  <si>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</si>
  <si>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</si>
  <si>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</si>
  <si>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</si>
  <si>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</si>
  <si>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</si>
  <si>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</si>
  <si>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</si>
  <si>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</si>
  <si>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</si>
  <si>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</si>
  <si>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</si>
  <si>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</si>
  <si>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</si>
  <si>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</si>
  <si>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</si>
  <si>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</si>
  <si>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</si>
  <si>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</si>
  <si>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</si>
  <si>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</si>
  <si>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</si>
  <si>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</si>
  <si>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</si>
  <si>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</si>
  <si>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</si>
  <si>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</si>
  <si>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</si>
  <si>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</si>
  <si>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</si>
  <si>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</si>
  <si>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</si>
  <si>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</si>
  <si>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</si>
  <si>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</si>
  <si>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</si>
  <si>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</si>
  <si>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</si>
  <si>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</si>
  <si>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</si>
  <si>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</si>
  <si>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</si>
  <si>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</si>
  <si>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</si>
  <si>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</si>
  <si>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</si>
  <si>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</si>
  <si>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</si>
  <si>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</si>
  <si>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</si>
  <si>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</si>
  <si>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</si>
  <si>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</si>
  <si>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</si>
  <si>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</si>
  <si>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</si>
  <si>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</si>
  <si>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</si>
  <si>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</si>
  <si>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</si>
  <si>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</si>
  <si>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</si>
  <si>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</si>
  <si>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</si>
  <si>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</si>
  <si>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</si>
  <si>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</si>
  <si>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</si>
  <si>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</si>
  <si>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</si>
  <si>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</si>
  <si>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</si>
  <si>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</si>
  <si>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</si>
  <si>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</si>
  <si>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</si>
  <si>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</si>
  <si>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</si>
  <si>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</si>
  <si>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</si>
  <si>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</si>
  <si>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</si>
  <si>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</si>
  <si>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</si>
  <si>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</si>
  <si>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</si>
  <si>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</si>
  <si>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</si>
  <si>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</si>
  <si>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</si>
  <si>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</si>
  <si>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</si>
  <si>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</si>
  <si>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</si>
  <si>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</si>
  <si>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</si>
  <si>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</si>
  <si>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</si>
  <si>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</si>
  <si>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</si>
  <si>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</si>
  <si>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</si>
  <si>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</si>
  <si>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</si>
  <si>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</si>
  <si>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</si>
  <si>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</si>
  <si>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</si>
  <si>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</si>
  <si>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</si>
  <si>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</si>
  <si>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</si>
  <si>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</si>
  <si>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</si>
  <si>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</si>
  <si>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</si>
  <si>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</si>
  <si>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</si>
  <si>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</si>
  <si>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</si>
  <si>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</si>
  <si>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</si>
  <si>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</si>
  <si>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</si>
  <si>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</si>
  <si>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</si>
  <si>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</si>
  <si>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</si>
  <si>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</si>
  <si>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</si>
  <si>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</si>
  <si>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</si>
  <si>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</si>
  <si>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</si>
  <si>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</si>
  <si>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</si>
  <si>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</si>
  <si>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</si>
  <si>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</si>
  <si>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</si>
  <si>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</si>
  <si>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</si>
  <si>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</si>
  <si>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</si>
  <si>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</si>
  <si>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</si>
  <si>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</si>
  <si>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</si>
  <si>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</si>
  <si>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</si>
  <si>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</si>
  <si>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</si>
  <si>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</si>
  <si>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</si>
  <si>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</si>
  <si>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</si>
  <si>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</si>
  <si>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</si>
  <si>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</si>
  <si>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</si>
  <si>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</si>
  <si>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</si>
  <si>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</si>
  <si>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</si>
  <si>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</si>
  <si>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</si>
  <si>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</si>
  <si>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</si>
  <si>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</si>
  <si>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</si>
  <si>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</si>
  <si>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</si>
  <si>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</si>
  <si>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</si>
  <si>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</si>
  <si>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</si>
  <si>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</si>
  <si>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</si>
  <si>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</si>
  <si>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</si>
  <si>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</si>
  <si>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</si>
  <si>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</si>
  <si>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</si>
  <si>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</si>
  <si>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</si>
  <si>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</si>
  <si>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</si>
  <si>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</si>
  <si>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</si>
  <si>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</si>
  <si>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</si>
  <si>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</si>
  <si>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</si>
  <si>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</si>
  <si>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</si>
  <si>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</si>
  <si>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</si>
  <si>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</si>
  <si>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</si>
  <si>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</si>
  <si>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</si>
  <si>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</si>
  <si>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</si>
  <si>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</si>
  <si>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</si>
  <si>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</si>
  <si>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</si>
  <si>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</si>
  <si>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</si>
  <si>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</si>
  <si>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</si>
  <si>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</si>
  <si>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</si>
  <si>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</si>
  <si>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</si>
  <si>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</si>
  <si>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</si>
  <si>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</si>
  <si>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</si>
  <si>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</si>
  <si>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</si>
  <si>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</si>
  <si>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</si>
  <si>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</si>
  <si>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</si>
  <si>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</si>
  <si>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</si>
  <si>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</si>
  <si>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</si>
  <si>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</si>
  <si>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</si>
  <si>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</si>
  <si>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</si>
  <si>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</si>
  <si>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</si>
  <si>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</si>
  <si>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</si>
  <si>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</si>
  <si>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</si>
  <si>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</si>
  <si>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</si>
  <si>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</si>
  <si>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</si>
  <si>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</si>
  <si>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</si>
  <si>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</si>
  <si>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</si>
  <si>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</si>
  <si>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</si>
  <si>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</si>
  <si>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</si>
  <si>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</si>
  <si>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</si>
  <si>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</si>
  <si>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</si>
  <si>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</si>
  <si>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</si>
  <si>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</si>
  <si>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</si>
  <si>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</si>
  <si>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</si>
  <si>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</si>
  <si>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</si>
  <si>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</si>
  <si>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</si>
  <si>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</si>
  <si>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</si>
  <si>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</si>
  <si>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</si>
  <si>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</si>
  <si>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</si>
  <si>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</si>
  <si>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</si>
  <si>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</si>
  <si>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</si>
  <si>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</si>
  <si>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</si>
  <si>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</si>
  <si>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</si>
  <si>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</si>
  <si>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</si>
  <si>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</si>
  <si>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</si>
  <si>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</si>
  <si>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</si>
  <si>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</si>
  <si>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</si>
  <si>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</si>
  <si>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</si>
  <si>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</si>
  <si>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</si>
  <si>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</si>
  <si>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</si>
  <si>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</si>
  <si>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</si>
  <si>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</si>
  <si>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</si>
  <si>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</si>
  <si>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</si>
  <si>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</si>
  <si>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</si>
  <si>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</si>
  <si>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</si>
  <si>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</si>
  <si>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</si>
  <si>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</si>
  <si>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</si>
  <si>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</si>
  <si>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</si>
  <si>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</si>
  <si>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</si>
  <si>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</si>
  <si>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</si>
  <si>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</si>
  <si>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</si>
  <si>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</si>
  <si>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</si>
  <si>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</si>
  <si>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</si>
  <si>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</si>
  <si>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</si>
  <si>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</si>
  <si>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</si>
  <si>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</si>
  <si>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</si>
  <si>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</si>
  <si>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</si>
  <si>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</si>
  <si>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</si>
  <si>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</si>
  <si>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</si>
  <si>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</si>
  <si>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</si>
  <si>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</si>
  <si>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</si>
  <si>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</si>
  <si>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</si>
  <si>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</si>
  <si>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</si>
  <si>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</si>
  <si>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</si>
  <si>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</si>
  <si>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</si>
  <si>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</si>
  <si>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</si>
  <si>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</si>
  <si>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</si>
  <si>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</si>
  <si>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</si>
  <si>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</si>
  <si>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</si>
  <si>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</si>
  <si>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</si>
  <si>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</si>
  <si>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</si>
  <si>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</si>
  <si>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</si>
  <si>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</si>
  <si>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</si>
  <si>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</si>
  <si>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</si>
  <si>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</si>
  <si>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</si>
  <si>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</si>
  <si>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</si>
  <si>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</si>
  <si>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</si>
  <si>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</si>
  <si>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</si>
  <si>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</si>
  <si>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</si>
  <si>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</si>
  <si>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</si>
  <si>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</si>
  <si>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</si>
  <si>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</si>
  <si>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</si>
  <si>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</si>
  <si>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</si>
  <si>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</si>
  <si>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</si>
  <si>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</si>
  <si>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</si>
  <si>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</si>
  <si>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</si>
  <si>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</si>
  <si>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</si>
  <si>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</si>
  <si>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</si>
  <si>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</si>
  <si>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</si>
  <si>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</si>
  <si>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</si>
  <si>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</si>
  <si>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</si>
  <si>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</si>
  <si>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</si>
  <si>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</si>
  <si>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</si>
  <si>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</si>
  <si>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</si>
  <si>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</si>
  <si>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</si>
  <si>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</si>
  <si>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</si>
  <si>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</si>
  <si>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</si>
  <si>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</si>
  <si>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</si>
  <si>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</si>
  <si>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</si>
  <si>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</si>
  <si>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</si>
  <si>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</si>
  <si>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</si>
  <si>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</si>
  <si>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</si>
  <si>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</si>
  <si>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</si>
  <si>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</si>
  <si>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</si>
  <si>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</si>
  <si>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</si>
  <si>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</si>
  <si>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</si>
  <si>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</si>
  <si>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</si>
  <si>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</si>
  <si>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</si>
  <si>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</si>
  <si>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</si>
  <si>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</si>
  <si>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</si>
  <si>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</si>
  <si>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</si>
  <si>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</si>
  <si>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</si>
  <si>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</si>
  <si>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</si>
  <si>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</si>
  <si>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</si>
  <si>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</si>
  <si>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</si>
  <si>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</si>
  <si>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</si>
  <si>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</si>
  <si>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</si>
  <si>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</si>
  <si>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</si>
  <si>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</si>
  <si>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</si>
  <si>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</si>
  <si>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</si>
  <si>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</si>
  <si>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</si>
  <si>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</si>
  <si>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</si>
  <si>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</si>
  <si>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</si>
  <si>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</si>
  <si>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</si>
  <si>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</si>
  <si>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</si>
  <si>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</si>
  <si>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</si>
  <si>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</si>
  <si>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</si>
  <si>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</si>
  <si>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</si>
  <si>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</si>
  <si>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</si>
  <si>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</si>
  <si>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</si>
  <si>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</si>
  <si>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</si>
  <si>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</si>
  <si>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</si>
  <si>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</si>
  <si>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</si>
  <si>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</si>
  <si>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</si>
  <si>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</si>
  <si>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</si>
  <si>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</si>
  <si>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</si>
  <si>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</si>
  <si>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</si>
  <si>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</si>
  <si>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</si>
  <si>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</si>
  <si>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</si>
  <si>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</si>
  <si>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</si>
  <si>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</si>
  <si>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</si>
  <si>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</si>
  <si>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</si>
  <si>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</si>
  <si>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</si>
  <si>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</si>
  <si>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</si>
  <si>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</si>
  <si>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</si>
  <si>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</si>
  <si>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</si>
  <si>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</si>
  <si>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</si>
  <si>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</si>
  <si>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</si>
  <si>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</si>
  <si>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</si>
  <si>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</si>
  <si>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</si>
  <si>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</si>
  <si>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</si>
  <si>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</si>
  <si>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</si>
  <si>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</si>
  <si>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</si>
  <si>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</si>
  <si>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</si>
  <si>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</si>
  <si>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</si>
  <si>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</si>
  <si>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</si>
  <si>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</si>
  <si>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</si>
  <si>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</si>
  <si>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</si>
  <si>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</si>
  <si>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</si>
  <si>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</si>
  <si>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</si>
  <si>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</si>
  <si>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</si>
  <si>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</si>
  <si>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</si>
  <si>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</si>
  <si>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</si>
  <si>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</si>
  <si>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</si>
  <si>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</si>
  <si>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</si>
  <si>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</si>
  <si>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</si>
  <si>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</si>
  <si>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</si>
  <si>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</si>
  <si>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</si>
  <si>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</si>
  <si>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</si>
  <si>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</si>
  <si>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</si>
  <si>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</si>
  <si>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</si>
  <si>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</si>
  <si>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</si>
  <si>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</si>
  <si>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</si>
  <si>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</si>
  <si>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</si>
  <si>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</si>
  <si>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</si>
  <si>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</si>
  <si>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</si>
  <si>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</si>
  <si>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</si>
  <si>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</si>
  <si>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</si>
  <si>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</si>
  <si>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</si>
  <si>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</si>
  <si>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</si>
  <si>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</si>
  <si>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</si>
  <si>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</si>
  <si>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</si>
  <si>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</si>
  <si>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</si>
  <si>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</si>
  <si>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</si>
  <si>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</si>
  <si>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</si>
  <si>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</si>
  <si>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</si>
  <si>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</si>
  <si>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</si>
  <si>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</si>
  <si>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</si>
  <si>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</si>
  <si>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</si>
  <si>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</si>
  <si>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</si>
  <si>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</si>
  <si>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</si>
  <si>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</si>
  <si>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</si>
  <si>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</si>
  <si>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</si>
  <si>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</si>
  <si>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</si>
  <si>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</si>
  <si>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</si>
  <si>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</si>
  <si>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</si>
  <si>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</si>
  <si>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</si>
  <si>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</si>
  <si>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</si>
  <si>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</si>
  <si>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</si>
  <si>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</si>
  <si>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</si>
  <si>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Resultater gruppespill</t>
  </si>
  <si>
    <t>Kamp</t>
  </si>
  <si>
    <t>Hjemmelag</t>
  </si>
  <si>
    <t>Bortelag</t>
  </si>
  <si>
    <t>Resultat</t>
  </si>
  <si>
    <t>REGLER</t>
  </si>
  <si>
    <t>Spill:</t>
  </si>
  <si>
    <t>Poeng:</t>
  </si>
  <si>
    <t>1 poeng per riktig</t>
  </si>
  <si>
    <t>3 poeng per riktig</t>
  </si>
  <si>
    <t>2 poeng per riktig</t>
  </si>
  <si>
    <t>Land videre til kvartfinale</t>
  </si>
  <si>
    <t>Land videre til semifinale</t>
  </si>
  <si>
    <t>4 poeng per riktig</t>
  </si>
  <si>
    <t>Land i bronsefinalen</t>
  </si>
  <si>
    <t>Vinner bronsefinalen</t>
  </si>
  <si>
    <t>3 poeng hvis riktig</t>
  </si>
  <si>
    <t>Land i finalen</t>
  </si>
  <si>
    <t>5 poeng per riktig</t>
  </si>
  <si>
    <t>VM vinner</t>
  </si>
  <si>
    <t>10 poeng hvis riktig</t>
  </si>
  <si>
    <t>Bonusspill:</t>
  </si>
  <si>
    <t>Toppscorer</t>
  </si>
  <si>
    <t>Flest assist</t>
  </si>
  <si>
    <t>7 poeng hvis riktig</t>
  </si>
  <si>
    <t>Antall mål i mesterskapet</t>
  </si>
  <si>
    <t>20 poeng hvis riktig</t>
  </si>
  <si>
    <t>Antall kort i mesterskapet</t>
  </si>
  <si>
    <t>Spilleren med flest poeng (inkludert bonusspill) vinner hele potten</t>
  </si>
  <si>
    <t>Gruppevinnere</t>
  </si>
  <si>
    <t>Land videre til 8-dels finale</t>
  </si>
  <si>
    <t>Bronsevinner</t>
  </si>
  <si>
    <t>Verdensmester</t>
  </si>
  <si>
    <t>Land videre til 16-dels finale</t>
  </si>
  <si>
    <t xml:space="preserve"> </t>
  </si>
  <si>
    <t>Haaland</t>
  </si>
  <si>
    <t>HUSK Å FYLLE UT MANUELT HER:</t>
  </si>
  <si>
    <t>Tracker</t>
  </si>
  <si>
    <t>Score</t>
  </si>
  <si>
    <t>Dato</t>
  </si>
  <si>
    <t xml:space="preserve">Stats </t>
  </si>
  <si>
    <t>Marius</t>
  </si>
  <si>
    <t>Øystein</t>
  </si>
  <si>
    <t>Ringstad</t>
  </si>
  <si>
    <t>Bjørn</t>
  </si>
  <si>
    <t>Håkon</t>
  </si>
  <si>
    <t>Arya</t>
  </si>
  <si>
    <t>Poeng</t>
  </si>
  <si>
    <t>Kort</t>
  </si>
  <si>
    <t>Kane</t>
  </si>
  <si>
    <t>Mbappe</t>
  </si>
  <si>
    <t>Antall mål to date</t>
  </si>
  <si>
    <t>Antall kort to date</t>
  </si>
  <si>
    <t>Deltakelseskontigent: NOK 300</t>
  </si>
  <si>
    <t>Simon</t>
  </si>
  <si>
    <t xml:space="preserve">Andrè </t>
  </si>
  <si>
    <t>Tobias</t>
  </si>
  <si>
    <t>Yamal</t>
  </si>
  <si>
    <t>Griezman</t>
  </si>
  <si>
    <t>Jonas</t>
  </si>
  <si>
    <t>Robin</t>
  </si>
  <si>
    <t>B Fernandes</t>
  </si>
  <si>
    <t>Ødegaard</t>
  </si>
  <si>
    <t>Rankings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</si>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</sst>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m;@"/>
    <numFmt numFmtId="165" formatCode=";;;"/>
    <numFmt numFmtId="166" formatCode="#,##0;\-#,##0;&quot;-&quot;\ "/>
    <numFmt numFmtId="167" formatCode="0.000"/>
    <numFmt numFmtId="168" formatCode="0.0"/>
    <numFmt numFmtId="169" formatCode="0.0000"/>
  </numFmts>
  <fonts count="26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08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  <xf numFmtId="9" fontId="1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9" fontId="24" fillId="0" borderId="0" applyFont="0" applyFill="0" applyBorder="0" applyAlignment="0" applyProtection="0"/>
  </cellStyleXfs>
  <cellXfs count="236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4" fillId="0" borderId="0" xfId="4"/>
    <xf numFmtId="0" fontId="24" fillId="0" borderId="97" xfId="4" applyBorder="1" applyAlignment="1">
      <alignment horizontal="center"/>
    </xf>
    <xf numFmtId="0" fontId="24" fillId="0" borderId="97" xfId="4" applyBorder="1"/>
    <xf numFmtId="0" fontId="25" fillId="11" borderId="97" xfId="4" applyFont="1" applyFill="1" applyBorder="1" applyAlignment="1">
      <alignment horizontal="center"/>
    </xf>
    <xf numFmtId="0" fontId="24" fillId="12" borderId="98" xfId="4" applyFill="1" applyBorder="1"/>
    <xf numFmtId="0" fontId="24" fillId="12" borderId="99" xfId="4" applyFill="1" applyBorder="1"/>
    <xf numFmtId="0" fontId="24" fillId="12" borderId="100" xfId="4" applyFill="1" applyBorder="1"/>
    <xf numFmtId="0" fontId="24" fillId="12" borderId="101" xfId="4" applyFill="1" applyBorder="1"/>
    <xf numFmtId="0" fontId="24" fillId="12" borderId="0" xfId="4" applyFill="1"/>
    <xf numFmtId="0" fontId="24" fillId="12" borderId="102" xfId="4" applyFill="1" applyBorder="1"/>
    <xf numFmtId="0" fontId="24" fillId="12" borderId="103" xfId="4" applyFill="1" applyBorder="1"/>
    <xf numFmtId="0" fontId="24" fillId="12" borderId="104" xfId="4" applyFill="1" applyBorder="1"/>
    <xf numFmtId="0" fontId="24" fillId="12" borderId="105" xfId="4" applyFill="1" applyBorder="1"/>
    <xf numFmtId="0" fontId="24" fillId="0" borderId="97" xfId="4" applyBorder="1" applyAlignment="1">
      <alignment horizontal="left"/>
    </xf>
    <xf numFmtId="0" fontId="24" fillId="0" borderId="97" xfId="4" applyBorder="1" applyAlignment="1">
      <alignment horizontal="centerContinuous"/>
    </xf>
    <xf numFmtId="0" fontId="24" fillId="0" borderId="0" xfId="4" applyAlignment="1">
      <alignment horizontal="center"/>
    </xf>
    <xf numFmtId="0" fontId="15" fillId="0" borderId="0" xfId="4" applyFont="1"/>
    <xf numFmtId="0" fontId="24" fillId="13" borderId="97" xfId="4" applyFill="1" applyBorder="1" applyAlignment="1">
      <alignment horizontal="center"/>
    </xf>
    <xf numFmtId="0" fontId="24" fillId="0" borderId="0" xfId="5"/>
    <xf numFmtId="0" fontId="25" fillId="14" borderId="97" xfId="5" applyFont="1" applyFill="1" applyBorder="1" applyAlignment="1">
      <alignment horizontal="center"/>
    </xf>
    <xf numFmtId="0" fontId="24" fillId="0" borderId="0" xfId="5" applyAlignment="1">
      <alignment horizontal="center"/>
    </xf>
    <xf numFmtId="0" fontId="24" fillId="15" borderId="97" xfId="5" applyFill="1" applyBorder="1" applyAlignment="1">
      <alignment horizontal="center" vertical="center"/>
    </xf>
    <xf numFmtId="166" fontId="24" fillId="15" borderId="97" xfId="5" applyNumberFormat="1" applyFill="1" applyBorder="1" applyAlignment="1">
      <alignment horizontal="center" vertical="center"/>
    </xf>
    <xf numFmtId="0" fontId="24" fillId="0" borderId="97" xfId="5" applyBorder="1" applyAlignment="1">
      <alignment horizontal="center"/>
    </xf>
    <xf numFmtId="0" fontId="24" fillId="0" borderId="97" xfId="5" applyBorder="1"/>
    <xf numFmtId="0" fontId="24" fillId="0" borderId="101" xfId="5" applyBorder="1" applyAlignment="1">
      <alignment horizontal="center"/>
    </xf>
    <xf numFmtId="0" fontId="24" fillId="12" borderId="98" xfId="5" applyFill="1" applyBorder="1"/>
    <xf numFmtId="0" fontId="24" fillId="12" borderId="99" xfId="5" applyFill="1" applyBorder="1"/>
    <xf numFmtId="0" fontId="24" fillId="12" borderId="100" xfId="5" applyFill="1" applyBorder="1"/>
    <xf numFmtId="0" fontId="25" fillId="11" borderId="97" xfId="5" applyFont="1" applyFill="1" applyBorder="1" applyAlignment="1">
      <alignment horizontal="center"/>
    </xf>
    <xf numFmtId="0" fontId="25" fillId="11" borderId="97" xfId="6" applyFont="1" applyFill="1" applyBorder="1" applyAlignment="1">
      <alignment horizontal="center"/>
    </xf>
    <xf numFmtId="0" fontId="25" fillId="15" borderId="97" xfId="5" applyFont="1" applyFill="1" applyBorder="1" applyAlignment="1">
      <alignment horizontal="center"/>
    </xf>
    <xf numFmtId="166" fontId="24" fillId="0" borderId="0" xfId="5" applyNumberFormat="1" applyAlignment="1">
      <alignment horizontal="center"/>
    </xf>
    <xf numFmtId="166" fontId="24" fillId="0" borderId="97" xfId="5" applyNumberFormat="1" applyBorder="1" applyAlignment="1">
      <alignment horizontal="center"/>
    </xf>
    <xf numFmtId="9" fontId="24" fillId="0" borderId="97" xfId="5" applyNumberFormat="1" applyBorder="1" applyAlignment="1">
      <alignment horizontal="center"/>
    </xf>
    <xf numFmtId="1" fontId="24" fillId="0" borderId="97" xfId="5" applyNumberFormat="1" applyBorder="1" applyAlignment="1">
      <alignment horizontal="center"/>
    </xf>
    <xf numFmtId="0" fontId="24" fillId="12" borderId="101" xfId="5" applyFill="1" applyBorder="1"/>
    <xf numFmtId="0" fontId="24" fillId="12" borderId="0" xfId="5" applyFill="1"/>
    <xf numFmtId="0" fontId="24" fillId="12" borderId="102" xfId="5" applyFill="1" applyBorder="1"/>
    <xf numFmtId="0" fontId="24" fillId="12" borderId="103" xfId="5" applyFill="1" applyBorder="1"/>
    <xf numFmtId="0" fontId="24" fillId="12" borderId="104" xfId="5" applyFill="1" applyBorder="1"/>
    <xf numFmtId="0" fontId="24" fillId="12" borderId="105" xfId="5" applyFill="1" applyBorder="1"/>
    <xf numFmtId="1" fontId="24" fillId="0" borderId="0" xfId="5" applyNumberFormat="1"/>
    <xf numFmtId="0" fontId="24" fillId="0" borderId="106" xfId="5" applyBorder="1" applyAlignment="1">
      <alignment horizontal="center"/>
    </xf>
    <xf numFmtId="9" fontId="24" fillId="0" borderId="0" xfId="5" applyNumberFormat="1" applyAlignment="1">
      <alignment horizontal="center"/>
    </xf>
    <xf numFmtId="9" fontId="25" fillId="0" borderId="0" xfId="5" applyNumberFormat="1" applyFont="1" applyAlignment="1">
      <alignment horizontal="center"/>
    </xf>
    <xf numFmtId="9" fontId="24" fillId="0" borderId="97" xfId="5" applyNumberFormat="1" applyBorder="1"/>
    <xf numFmtId="0" fontId="24" fillId="0" borderId="0" xfId="5" quotePrefix="1" applyAlignment="1">
      <alignment horizontal="center"/>
    </xf>
    <xf numFmtId="0" fontId="24" fillId="0" borderId="101" xfId="5" applyBorder="1"/>
    <xf numFmtId="0" fontId="24" fillId="0" borderId="102" xfId="5" applyBorder="1"/>
    <xf numFmtId="166" fontId="24" fillId="0" borderId="0" xfId="5" applyNumberFormat="1"/>
    <xf numFmtId="166" fontId="24" fillId="0" borderId="97" xfId="5" applyNumberFormat="1" applyBorder="1"/>
    <xf numFmtId="9" fontId="25" fillId="0" borderId="0" xfId="5" applyNumberFormat="1" applyFont="1"/>
    <xf numFmtId="9" fontId="24" fillId="0" borderId="0" xfId="5" applyNumberFormat="1"/>
    <xf numFmtId="0" fontId="25" fillId="0" borderId="0" xfId="5" applyFont="1"/>
    <xf numFmtId="0" fontId="24" fillId="0" borderId="106" xfId="5" applyBorder="1" applyAlignment="1">
      <alignment horizontal="left"/>
    </xf>
    <xf numFmtId="0" fontId="24" fillId="0" borderId="107" xfId="5" applyBorder="1"/>
    <xf numFmtId="167" fontId="24" fillId="0" borderId="0" xfId="5" applyNumberFormat="1" applyAlignment="1">
      <alignment horizontal="center"/>
    </xf>
    <xf numFmtId="2" fontId="24" fillId="0" borderId="0" xfId="5" applyNumberFormat="1" applyAlignment="1">
      <alignment horizontal="center"/>
    </xf>
    <xf numFmtId="1" fontId="24" fillId="0" borderId="0" xfId="5" applyNumberFormat="1" applyAlignment="1">
      <alignment horizontal="center"/>
    </xf>
    <xf numFmtId="1" fontId="25" fillId="15" borderId="97" xfId="5" applyNumberFormat="1" applyFont="1" applyFill="1" applyBorder="1" applyAlignment="1">
      <alignment horizontal="center"/>
    </xf>
    <xf numFmtId="9" fontId="0" fillId="0" borderId="0" xfId="7" applyFont="1"/>
    <xf numFmtId="168" fontId="24" fillId="0" borderId="0" xfId="5" applyNumberFormat="1" applyAlignment="1">
      <alignment horizontal="center"/>
    </xf>
    <xf numFmtId="9" fontId="15" fillId="0" borderId="0" xfId="7" applyFont="1"/>
    <xf numFmtId="0" fontId="15" fillId="0" borderId="0" xfId="5" applyFont="1"/>
    <xf numFmtId="2" fontId="24" fillId="0" borderId="0" xfId="5" applyNumberFormat="1"/>
    <xf numFmtId="167" fontId="24" fillId="0" borderId="0" xfId="5" applyNumberFormat="1"/>
    <xf numFmtId="169" fontId="24" fillId="0" borderId="0" xfId="5" applyNumberFormat="1"/>
    <xf numFmtId="9" fontId="24" fillId="0" borderId="0" xfId="3" applyFont="1"/>
    <xf numFmtId="0" fontId="25" fillId="14" borderId="0" xfId="5" applyFont="1" applyFill="1" applyAlignment="1">
      <alignment horizontal="center"/>
    </xf>
    <xf numFmtId="9" fontId="25" fillId="0" borderId="97" xfId="5" applyNumberFormat="1" applyFont="1" applyBorder="1" applyAlignment="1">
      <alignment horizontal="center"/>
    </xf>
    <xf numFmtId="166" fontId="0" fillId="0" borderId="0" xfId="0" applyNumberFormat="1"/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8">
    <cellStyle name="Hyperlink" xfId="1" builtinId="8"/>
    <cellStyle name="Normal" xfId="0" builtinId="0"/>
    <cellStyle name="Normal 2" xfId="4" xr:uid="{972436E0-DEB0-4348-9EC0-8B309A2966CB}"/>
    <cellStyle name="Normal 2 2" xfId="6" xr:uid="{BEB8DF16-3F44-49E0-9983-59AD5E3FA3B4}"/>
    <cellStyle name="Normal 3" xfId="5" xr:uid="{C50425E2-49BA-4B39-8E30-46F2540F56FA}"/>
    <cellStyle name="Note" xfId="2" builtinId="10"/>
    <cellStyle name="Percent" xfId="3" builtinId="5"/>
    <cellStyle name="Percent 2" xfId="7" xr:uid="{6ED57409-7EB4-4829-ADE3-C527627F19B4}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00FF"/>
      <color rgb="FF008080"/>
      <color rgb="FF33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Antall mål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6.3160628851988629E-2"/>
          <c:y val="0.14216619465558616"/>
          <c:w val="0.91248647908954694"/>
          <c:h val="0.75132655960679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MASTER!$C$164</c:f>
              <c:strCache>
                <c:ptCount val="1"/>
                <c:pt idx="0">
                  <c:v>Antall mål i mesterskapet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07-4F0F-9A17-A65409DCF42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3-4A98-85EA-3BFE5DC844B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D3-4A98-85EA-3BFE5DC844B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D3-4A98-85EA-3BFE5DC844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MASTER!$E$3:$O$3</c:f>
              <c:strCache>
                <c:ptCount val="11"/>
                <c:pt idx="0">
                  <c:v>Simon</c:v>
                </c:pt>
                <c:pt idx="1">
                  <c:v>Ringstad</c:v>
                </c:pt>
                <c:pt idx="2">
                  <c:v>Andrè </c:v>
                </c:pt>
                <c:pt idx="3">
                  <c:v>Marius</c:v>
                </c:pt>
                <c:pt idx="4">
                  <c:v>Tobias</c:v>
                </c:pt>
                <c:pt idx="5">
                  <c:v>Håkon</c:v>
                </c:pt>
                <c:pt idx="6">
                  <c:v>Jonas</c:v>
                </c:pt>
                <c:pt idx="7">
                  <c:v>Bjørn</c:v>
                </c:pt>
                <c:pt idx="8">
                  <c:v>Robin</c:v>
                </c:pt>
                <c:pt idx="9">
                  <c:v>Øystein</c:v>
                </c:pt>
                <c:pt idx="10">
                  <c:v>Arya</c:v>
                </c:pt>
              </c:strCache>
            </c:strRef>
          </c:cat>
          <c:val>
            <c:numRef>
              <c:f>MASTER!$E$164:$O$164</c:f>
              <c:numCache>
                <c:formatCode>General</c:formatCode>
                <c:ptCount val="11"/>
                <c:pt idx="0">
                  <c:v>304</c:v>
                </c:pt>
                <c:pt idx="1">
                  <c:v>262</c:v>
                </c:pt>
                <c:pt idx="2">
                  <c:v>169</c:v>
                </c:pt>
                <c:pt idx="3">
                  <c:v>302</c:v>
                </c:pt>
                <c:pt idx="4">
                  <c:v>161</c:v>
                </c:pt>
                <c:pt idx="5">
                  <c:v>264</c:v>
                </c:pt>
                <c:pt idx="6">
                  <c:v>306</c:v>
                </c:pt>
                <c:pt idx="7">
                  <c:v>300</c:v>
                </c:pt>
                <c:pt idx="8">
                  <c:v>200</c:v>
                </c:pt>
                <c:pt idx="9">
                  <c:v>286</c:v>
                </c:pt>
                <c:pt idx="10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07-4F0F-9A17-A65409DCF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68144"/>
        <c:axId val="1070354000"/>
      </c:barChart>
      <c:lineChart>
        <c:grouping val="standard"/>
        <c:varyColors val="0"/>
        <c:ser>
          <c:idx val="1"/>
          <c:order val="1"/>
          <c:tx>
            <c:strRef>
              <c:f>MASTER!$B$186</c:f>
              <c:strCache>
                <c:ptCount val="1"/>
                <c:pt idx="0">
                  <c:v>Antall mål to 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MASTER!$D$186:$N$186</c:f>
              <c:numCache>
                <c:formatCode>General</c:formatCode>
                <c:ptCount val="11"/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07-4F0F-9A17-A65409DCF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368144"/>
        <c:axId val="1070354000"/>
      </c:lineChart>
      <c:catAx>
        <c:axId val="10703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0354000"/>
        <c:crosses val="autoZero"/>
        <c:auto val="1"/>
        <c:lblAlgn val="ctr"/>
        <c:lblOffset val="100"/>
        <c:noMultiLvlLbl val="0"/>
      </c:catAx>
      <c:valAx>
        <c:axId val="10703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03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9757119457786187"/>
          <c:y val="5.8372352285395786E-2"/>
          <c:w val="0.25996971552143133"/>
          <c:h val="7.5251362810417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Antall kort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7.9380641701083859E-2"/>
          <c:y val="0.18348674597224041"/>
          <c:w val="0.89001250345888128"/>
          <c:h val="0.594026848597595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B-495D-A2D1-90705351B0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A6-4335-AF62-2FBD2090C9E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4B-495D-A2D1-90705351B00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4B-495D-A2D1-90705351B00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4B-495D-A2D1-90705351B00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4B-495D-A2D1-90705351B00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A6-4335-AF62-2FBD2090C9E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BA6-4335-AF62-2FBD2090C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MASTER!$E$3:$O$3</c:f>
              <c:strCache>
                <c:ptCount val="11"/>
                <c:pt idx="0">
                  <c:v>Simon</c:v>
                </c:pt>
                <c:pt idx="1">
                  <c:v>Ringstad</c:v>
                </c:pt>
                <c:pt idx="2">
                  <c:v>Andrè </c:v>
                </c:pt>
                <c:pt idx="3">
                  <c:v>Marius</c:v>
                </c:pt>
                <c:pt idx="4">
                  <c:v>Tobias</c:v>
                </c:pt>
                <c:pt idx="5">
                  <c:v>Håkon</c:v>
                </c:pt>
                <c:pt idx="6">
                  <c:v>Jonas</c:v>
                </c:pt>
                <c:pt idx="7">
                  <c:v>Bjørn</c:v>
                </c:pt>
                <c:pt idx="8">
                  <c:v>Robin</c:v>
                </c:pt>
                <c:pt idx="9">
                  <c:v>Øystein</c:v>
                </c:pt>
                <c:pt idx="10">
                  <c:v>Arya</c:v>
                </c:pt>
              </c:strCache>
            </c:strRef>
          </c:cat>
          <c:val>
            <c:numRef>
              <c:f>MASTER!$E$165:$O$165</c:f>
              <c:numCache>
                <c:formatCode>General</c:formatCode>
                <c:ptCount val="11"/>
                <c:pt idx="0">
                  <c:v>370</c:v>
                </c:pt>
                <c:pt idx="1">
                  <c:v>354</c:v>
                </c:pt>
                <c:pt idx="2">
                  <c:v>216</c:v>
                </c:pt>
                <c:pt idx="3">
                  <c:v>340</c:v>
                </c:pt>
                <c:pt idx="4">
                  <c:v>243</c:v>
                </c:pt>
                <c:pt idx="5">
                  <c:v>98</c:v>
                </c:pt>
                <c:pt idx="6">
                  <c:v>371</c:v>
                </c:pt>
                <c:pt idx="7">
                  <c:v>300</c:v>
                </c:pt>
                <c:pt idx="8">
                  <c:v>50</c:v>
                </c:pt>
                <c:pt idx="9">
                  <c:v>319</c:v>
                </c:pt>
                <c:pt idx="1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4B-495D-A2D1-90705351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68144"/>
        <c:axId val="1070354000"/>
      </c:barChart>
      <c:lineChart>
        <c:grouping val="standard"/>
        <c:varyColors val="0"/>
        <c:ser>
          <c:idx val="1"/>
          <c:order val="1"/>
          <c:tx>
            <c:strRef>
              <c:f>MASTER!$B$187</c:f>
              <c:strCache>
                <c:ptCount val="1"/>
                <c:pt idx="0">
                  <c:v>Antall kort to 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MASTER!$E$187:$O$187</c:f>
              <c:numCache>
                <c:formatCode>0</c:formatCode>
                <c:ptCount val="11"/>
                <c:pt idx="0">
                  <c:v>14</c:v>
                </c:pt>
                <c:pt idx="1">
                  <c:v>14</c:v>
                </c:pt>
                <c:pt idx="2" formatCode="General">
                  <c:v>14</c:v>
                </c:pt>
                <c:pt idx="3" formatCode="General">
                  <c:v>14</c:v>
                </c:pt>
                <c:pt idx="4" formatCode="General">
                  <c:v>14</c:v>
                </c:pt>
                <c:pt idx="5" formatCode="General">
                  <c:v>14</c:v>
                </c:pt>
                <c:pt idx="6" formatCode="General">
                  <c:v>14</c:v>
                </c:pt>
                <c:pt idx="7" formatCode="General">
                  <c:v>14</c:v>
                </c:pt>
                <c:pt idx="8" formatCode="General">
                  <c:v>14</c:v>
                </c:pt>
                <c:pt idx="9" formatCode="General">
                  <c:v>14</c:v>
                </c:pt>
                <c:pt idx="10" formatCode="General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4B-495D-A2D1-90705351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368144"/>
        <c:axId val="1070354000"/>
      </c:lineChart>
      <c:catAx>
        <c:axId val="10703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0354000"/>
        <c:crosses val="autoZero"/>
        <c:auto val="1"/>
        <c:lblAlgn val="ctr"/>
        <c:lblOffset val="100"/>
        <c:noMultiLvlLbl val="0"/>
      </c:catAx>
      <c:valAx>
        <c:axId val="10703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03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0123197756697577"/>
          <c:y val="9.9690130706905786E-2"/>
          <c:w val="0.33130521105934091"/>
          <c:h val="7.5251362810417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VM 2026 - Toppscorer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MASTER!$C$162</c:f>
              <c:strCache>
                <c:ptCount val="1"/>
                <c:pt idx="0">
                  <c:v>Toppscorer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8-45A3-83A8-36BBA11335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8-45A3-83A8-36BBA1133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MASTER!$B$189:$B$191</c:f>
              <c:strCache>
                <c:ptCount val="3"/>
                <c:pt idx="0">
                  <c:v>Mbappe</c:v>
                </c:pt>
                <c:pt idx="1">
                  <c:v>Kane</c:v>
                </c:pt>
                <c:pt idx="2">
                  <c:v>Haaland</c:v>
                </c:pt>
              </c:strCache>
            </c:strRef>
          </c:cat>
          <c:val>
            <c:numRef>
              <c:f>MASTER!$C$189:$C$191</c:f>
              <c:numCache>
                <c:formatCode>0%</c:formatCode>
                <c:ptCount val="3"/>
                <c:pt idx="0">
                  <c:v>0.54545454545454541</c:v>
                </c:pt>
                <c:pt idx="1">
                  <c:v>0.27272727272727271</c:v>
                </c:pt>
                <c:pt idx="2">
                  <c:v>0.18181818181818199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E8-45A3-83A8-36BBA1133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596720"/>
        <c:axId val="838576336"/>
      </c:barChart>
      <c:catAx>
        <c:axId val="83859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38576336"/>
        <c:crosses val="autoZero"/>
        <c:auto val="1"/>
        <c:lblAlgn val="ctr"/>
        <c:lblOffset val="100"/>
        <c:noMultiLvlLbl val="0"/>
      </c:catAx>
      <c:valAx>
        <c:axId val="83857633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38596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VM 2026 - Assist 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5-40C8-A9F4-6D67C295B2D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5-40C8-A9F4-6D67C295B2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MASTER!$B$193:$B$196</c:f>
              <c:strCache>
                <c:ptCount val="4"/>
                <c:pt idx="0">
                  <c:v>Yamal</c:v>
                </c:pt>
                <c:pt idx="1">
                  <c:v>Ødegaard</c:v>
                </c:pt>
                <c:pt idx="2">
                  <c:v>B Fernandes</c:v>
                </c:pt>
                <c:pt idx="3">
                  <c:v>Griezman</c:v>
                </c:pt>
              </c:strCache>
            </c:strRef>
          </c:cat>
          <c:val>
            <c:numRef>
              <c:f>MASTER!$C$193:$C$196</c:f>
              <c:numCache>
                <c:formatCode>0%</c:formatCode>
                <c:ptCount val="4"/>
                <c:pt idx="0">
                  <c:v>0.54545454545454541</c:v>
                </c:pt>
                <c:pt idx="1">
                  <c:v>0.18181818181818182</c:v>
                </c:pt>
                <c:pt idx="2">
                  <c:v>0.18181818181818182</c:v>
                </c:pt>
                <c:pt idx="3">
                  <c:v>9.0909090909090912E-2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MASTER!#REF!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5B5-40C8-A9F4-6D67C295B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596720"/>
        <c:axId val="838576336"/>
      </c:barChart>
      <c:catAx>
        <c:axId val="83859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38576336"/>
        <c:crosses val="autoZero"/>
        <c:auto val="1"/>
        <c:lblAlgn val="ctr"/>
        <c:lblOffset val="100"/>
        <c:noMultiLvlLbl val="0"/>
      </c:catAx>
      <c:valAx>
        <c:axId val="8385763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38596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VM 2026 - DAG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MASTER!$AF$4:$AG$4</c:f>
              <c:strCache>
                <c:ptCount val="2"/>
                <c:pt idx="0">
                  <c:v>Mexico -</c:v>
                </c:pt>
                <c:pt idx="1">
                  <c:v>Sør-Afrika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MASTER!$AH$4:$AJ$4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3-464B-B081-3C9C906E4C8D}"/>
            </c:ext>
          </c:extLst>
        </c:ser>
        <c:ser>
          <c:idx val="1"/>
          <c:order val="1"/>
          <c:tx>
            <c:strRef>
              <c:f>MASTER!$AF$5:$AG$5</c:f>
              <c:strCache>
                <c:ptCount val="2"/>
                <c:pt idx="0">
                  <c:v>Sør-Korea -</c:v>
                </c:pt>
                <c:pt idx="1">
                  <c:v>Tsjekkia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MASTER!$AH$5:$AJ$5</c:f>
              <c:numCache>
                <c:formatCode>0%</c:formatCode>
                <c:ptCount val="3"/>
                <c:pt idx="0">
                  <c:v>0.18181818181818182</c:v>
                </c:pt>
                <c:pt idx="1">
                  <c:v>0.54545454545454541</c:v>
                </c:pt>
                <c:pt idx="2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3-464B-B081-3C9C906E4C8D}"/>
            </c:ext>
          </c:extLst>
        </c:ser>
        <c:ser>
          <c:idx val="2"/>
          <c:order val="2"/>
          <c:tx>
            <c:strRef>
              <c:f>MASTER!$AF$6:$AG$6</c:f>
              <c:strCache>
                <c:ptCount val="2"/>
                <c:pt idx="0">
                  <c:v>Canada -</c:v>
                </c:pt>
                <c:pt idx="1">
                  <c:v>Bosnia-Hercegovina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MASTER!$AH$6:$AJ$6</c:f>
              <c:numCache>
                <c:formatCode>0%</c:formatCode>
                <c:ptCount val="3"/>
                <c:pt idx="0">
                  <c:v>0.45454545454545453</c:v>
                </c:pt>
                <c:pt idx="1">
                  <c:v>0.27272727272727271</c:v>
                </c:pt>
                <c:pt idx="2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F3-464B-B081-3C9C906E4C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615024"/>
        <c:axId val="838621264"/>
      </c:barChart>
      <c:catAx>
        <c:axId val="8386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38621264"/>
        <c:crosses val="autoZero"/>
        <c:auto val="1"/>
        <c:lblAlgn val="ctr"/>
        <c:lblOffset val="100"/>
        <c:noMultiLvlLbl val="0"/>
      </c:catAx>
      <c:valAx>
        <c:axId val="83862126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386150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VM 2026 - DAG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MASTER!$AF$6:$AG$6</c:f>
              <c:strCache>
                <c:ptCount val="2"/>
                <c:pt idx="0">
                  <c:v>Canada -</c:v>
                </c:pt>
                <c:pt idx="1">
                  <c:v>Bosnia-Hercegovina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MASTER!$AH$6:$AJ$6</c:f>
              <c:numCache>
                <c:formatCode>0%</c:formatCode>
                <c:ptCount val="3"/>
                <c:pt idx="0">
                  <c:v>0.45454545454545453</c:v>
                </c:pt>
                <c:pt idx="1">
                  <c:v>0.27272727272727271</c:v>
                </c:pt>
                <c:pt idx="2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9-4003-A470-827320DC3869}"/>
            </c:ext>
          </c:extLst>
        </c:ser>
        <c:ser>
          <c:idx val="1"/>
          <c:order val="1"/>
          <c:tx>
            <c:strRef>
              <c:f>MASTER!$AF$7:$AG$7</c:f>
              <c:strCache>
                <c:ptCount val="2"/>
                <c:pt idx="0">
                  <c:v>USA -</c:v>
                </c:pt>
                <c:pt idx="1">
                  <c:v>Paraguay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MASTER!$AH$7:$AJ$7</c:f>
              <c:numCache>
                <c:formatCode>0%</c:formatCode>
                <c:ptCount val="3"/>
                <c:pt idx="0">
                  <c:v>0.72727272727272729</c:v>
                </c:pt>
                <c:pt idx="1">
                  <c:v>0.27272727272727271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9-4003-A470-827320DC38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615024"/>
        <c:axId val="838621264"/>
      </c:barChart>
      <c:catAx>
        <c:axId val="8386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38621264"/>
        <c:crosses val="autoZero"/>
        <c:auto val="1"/>
        <c:lblAlgn val="ctr"/>
        <c:lblOffset val="100"/>
        <c:noMultiLvlLbl val="0"/>
      </c:catAx>
      <c:valAx>
        <c:axId val="83862126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386150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VM 2026 - DAG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MASTER!$AF$8:$AG$8</c:f>
              <c:strCache>
                <c:ptCount val="2"/>
                <c:pt idx="0">
                  <c:v>Haiti -</c:v>
                </c:pt>
                <c:pt idx="1">
                  <c:v>Skottland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MASTER!$AH$8:$AJ$8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4-4515-8461-FE05CC07A3C1}"/>
            </c:ext>
          </c:extLst>
        </c:ser>
        <c:ser>
          <c:idx val="1"/>
          <c:order val="1"/>
          <c:tx>
            <c:strRef>
              <c:f>MASTER!$AF$9:$AG$9</c:f>
              <c:strCache>
                <c:ptCount val="2"/>
                <c:pt idx="0">
                  <c:v>Australia -</c:v>
                </c:pt>
                <c:pt idx="1">
                  <c:v>Tyrkia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MASTER!$AH$9:$AJ$9</c:f>
              <c:numCache>
                <c:formatCode>0%</c:formatCode>
                <c:ptCount val="3"/>
                <c:pt idx="0">
                  <c:v>0</c:v>
                </c:pt>
                <c:pt idx="1">
                  <c:v>0.27272727272727271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4-4515-8461-FE05CC07A3C1}"/>
            </c:ext>
          </c:extLst>
        </c:ser>
        <c:ser>
          <c:idx val="2"/>
          <c:order val="2"/>
          <c:tx>
            <c:strRef>
              <c:f>MASTER!$AF$10:$AG$10</c:f>
              <c:strCache>
                <c:ptCount val="2"/>
                <c:pt idx="0">
                  <c:v>Brasil -</c:v>
                </c:pt>
                <c:pt idx="1">
                  <c:v>Marokko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MASTER!$AH$10:$AJ$10</c:f>
              <c:numCache>
                <c:formatCode>0%</c:formatCode>
                <c:ptCount val="3"/>
                <c:pt idx="0">
                  <c:v>0.81818181818181823</c:v>
                </c:pt>
                <c:pt idx="1">
                  <c:v>0.18181818181818182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4-4515-8461-FE05CC07A3C1}"/>
            </c:ext>
          </c:extLst>
        </c:ser>
        <c:ser>
          <c:idx val="3"/>
          <c:order val="3"/>
          <c:tx>
            <c:strRef>
              <c:f>MASTER!$AF$11:$AG$11</c:f>
              <c:strCache>
                <c:ptCount val="2"/>
                <c:pt idx="0">
                  <c:v>Qatar -</c:v>
                </c:pt>
                <c:pt idx="1">
                  <c:v>Sveits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MASTER!$AH$11:$AJ$11</c:f>
              <c:numCache>
                <c:formatCode>0%</c:formatCode>
                <c:ptCount val="3"/>
                <c:pt idx="0">
                  <c:v>0</c:v>
                </c:pt>
                <c:pt idx="1">
                  <c:v>9.0909090909090912E-2</c:v>
                </c:pt>
                <c:pt idx="2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14-4515-8461-FE05CC07A3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615024"/>
        <c:axId val="838621264"/>
      </c:barChart>
      <c:catAx>
        <c:axId val="8386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38621264"/>
        <c:crosses val="autoZero"/>
        <c:auto val="1"/>
        <c:lblAlgn val="ctr"/>
        <c:lblOffset val="100"/>
        <c:noMultiLvlLbl val="0"/>
      </c:catAx>
      <c:valAx>
        <c:axId val="83862126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386150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Piggys VM KONK 2026 - LIVE STANDINGS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MASTER!$AN$25:$AN$35</c:f>
              <c:strCache>
                <c:ptCount val="11"/>
                <c:pt idx="0">
                  <c:v>Simon</c:v>
                </c:pt>
                <c:pt idx="1">
                  <c:v>Jonas</c:v>
                </c:pt>
                <c:pt idx="2">
                  <c:v>Andrè </c:v>
                </c:pt>
                <c:pt idx="3">
                  <c:v>Marius</c:v>
                </c:pt>
                <c:pt idx="4">
                  <c:v>Bjørn</c:v>
                </c:pt>
                <c:pt idx="5">
                  <c:v>Arya</c:v>
                </c:pt>
                <c:pt idx="6">
                  <c:v>Ringstad</c:v>
                </c:pt>
                <c:pt idx="7">
                  <c:v>Tobias</c:v>
                </c:pt>
                <c:pt idx="8">
                  <c:v>Håkon</c:v>
                </c:pt>
                <c:pt idx="9">
                  <c:v>Øystein</c:v>
                </c:pt>
                <c:pt idx="10">
                  <c:v>Robin</c:v>
                </c:pt>
              </c:strCache>
            </c:strRef>
          </c:cat>
          <c:val>
            <c:numRef>
              <c:f>MASTER!$AO$25:$AO$35</c:f>
              <c:numCache>
                <c:formatCode>#,##0;\-#,##0;"-"\ 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1A3-A550-9A1CACD1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857007"/>
        <c:axId val="588871407"/>
      </c:barChart>
      <c:catAx>
        <c:axId val="58885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88871407"/>
        <c:crosses val="autoZero"/>
        <c:auto val="1"/>
        <c:lblAlgn val="ctr"/>
        <c:lblOffset val="100"/>
        <c:noMultiLvlLbl val="0"/>
      </c:catAx>
      <c:valAx>
        <c:axId val="5888714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;\-#,##0;&quot;-&quot;\ " sourceLinked="1"/>
        <c:majorTickMark val="none"/>
        <c:minorTickMark val="none"/>
        <c:tickLblPos val="nextTo"/>
        <c:crossAx val="58885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VM 2026 - DAG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MASTER!$AF$12:$AG$12</c:f>
              <c:strCache>
                <c:ptCount val="2"/>
                <c:pt idx="0">
                  <c:v>Elfenbenskysten -</c:v>
                </c:pt>
                <c:pt idx="1">
                  <c:v>Ecuador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MASTER!$AH$12:$AJ$12</c:f>
              <c:numCache>
                <c:formatCode>0%</c:formatCode>
                <c:ptCount val="3"/>
                <c:pt idx="0">
                  <c:v>9.0909090909090912E-2</c:v>
                </c:pt>
                <c:pt idx="1">
                  <c:v>0.72727272727272729</c:v>
                </c:pt>
                <c:pt idx="2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0-4EF7-B119-3D4A3FCB963B}"/>
            </c:ext>
          </c:extLst>
        </c:ser>
        <c:ser>
          <c:idx val="1"/>
          <c:order val="1"/>
          <c:tx>
            <c:strRef>
              <c:f>MASTER!$AF$13:$AG$13</c:f>
              <c:strCache>
                <c:ptCount val="2"/>
                <c:pt idx="0">
                  <c:v>Tyskland -</c:v>
                </c:pt>
                <c:pt idx="1">
                  <c:v>Curaçao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MASTER!$AH$13:$AJ$13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0-4EF7-B119-3D4A3FCB963B}"/>
            </c:ext>
          </c:extLst>
        </c:ser>
        <c:ser>
          <c:idx val="2"/>
          <c:order val="2"/>
          <c:tx>
            <c:strRef>
              <c:f>MASTER!$AF$14:$AG$14</c:f>
              <c:strCache>
                <c:ptCount val="2"/>
                <c:pt idx="0">
                  <c:v>Nederland -</c:v>
                </c:pt>
                <c:pt idx="1">
                  <c:v>Japan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MASTER!$AH$14:$AJ$14</c:f>
              <c:numCache>
                <c:formatCode>0%</c:formatCode>
                <c:ptCount val="3"/>
                <c:pt idx="0">
                  <c:v>0.90909090909090906</c:v>
                </c:pt>
                <c:pt idx="1">
                  <c:v>0</c:v>
                </c:pt>
                <c:pt idx="2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60-4EF7-B119-3D4A3FCB963B}"/>
            </c:ext>
          </c:extLst>
        </c:ser>
        <c:ser>
          <c:idx val="3"/>
          <c:order val="3"/>
          <c:tx>
            <c:strRef>
              <c:f>MASTER!$AF$15:$AG$15</c:f>
              <c:strCache>
                <c:ptCount val="2"/>
                <c:pt idx="0">
                  <c:v>Sverige -</c:v>
                </c:pt>
                <c:pt idx="1">
                  <c:v>Tunisia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MASTER!$AH$3:$AJ$3</c:f>
              <c:strCache>
                <c:ptCount val="3"/>
                <c:pt idx="0">
                  <c:v>H</c:v>
                </c:pt>
                <c:pt idx="1">
                  <c:v>U</c:v>
                </c:pt>
                <c:pt idx="2">
                  <c:v>B</c:v>
                </c:pt>
              </c:strCache>
            </c:strRef>
          </c:cat>
          <c:val>
            <c:numRef>
              <c:f>MASTER!$AH$15:$AJ$15</c:f>
              <c:numCache>
                <c:formatCode>0%</c:formatCode>
                <c:ptCount val="3"/>
                <c:pt idx="0">
                  <c:v>0.45454545454545453</c:v>
                </c:pt>
                <c:pt idx="1">
                  <c:v>0.45454545454545453</c:v>
                </c:pt>
                <c:pt idx="2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60-4EF7-B119-3D4A3FCB96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615024"/>
        <c:axId val="838621264"/>
      </c:barChart>
      <c:catAx>
        <c:axId val="8386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38621264"/>
        <c:crosses val="autoZero"/>
        <c:auto val="1"/>
        <c:lblAlgn val="ctr"/>
        <c:lblOffset val="100"/>
        <c:noMultiLvlLbl val="0"/>
      </c:catAx>
      <c:valAx>
        <c:axId val="83862126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386150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50613</xdr:colOff>
      <xdr:row>166</xdr:row>
      <xdr:rowOff>62847</xdr:rowOff>
    </xdr:from>
    <xdr:to>
      <xdr:col>13</xdr:col>
      <xdr:colOff>314981</xdr:colOff>
      <xdr:row>183</xdr:row>
      <xdr:rowOff>158097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D87E1-B274-4D99-BA18-EB4B3BC78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31750</xdr:colOff>
      <xdr:row>166</xdr:row>
      <xdr:rowOff>36512</xdr:rowOff>
    </xdr:from>
    <xdr:to>
      <xdr:col>5</xdr:col>
      <xdr:colOff>53323</xdr:colOff>
      <xdr:row>183</xdr:row>
      <xdr:rowOff>131762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AC6483-1756-4BA1-94F9-3075D9E14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146903</xdr:colOff>
      <xdr:row>189</xdr:row>
      <xdr:rowOff>161044</xdr:rowOff>
    </xdr:from>
    <xdr:to>
      <xdr:col>14</xdr:col>
      <xdr:colOff>308163</xdr:colOff>
      <xdr:row>202</xdr:row>
      <xdr:rowOff>137250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C16E27-5A25-4AF4-8ADD-ECEFA6EE0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148845</xdr:colOff>
      <xdr:row>204</xdr:row>
      <xdr:rowOff>33184</xdr:rowOff>
    </xdr:from>
    <xdr:to>
      <xdr:col>14</xdr:col>
      <xdr:colOff>322820</xdr:colOff>
      <xdr:row>217</xdr:row>
      <xdr:rowOff>93434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B40BAC-F3D6-4C58-9ABD-E81789664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338865</xdr:colOff>
      <xdr:row>2</xdr:row>
      <xdr:rowOff>66014</xdr:rowOff>
    </xdr:from>
    <xdr:to>
      <xdr:col>54</xdr:col>
      <xdr:colOff>73496</xdr:colOff>
      <xdr:row>15</xdr:row>
      <xdr:rowOff>125135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46DA8BF-FE37-4436-A306-F064CA866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354853</xdr:colOff>
      <xdr:row>16</xdr:row>
      <xdr:rowOff>28015</xdr:rowOff>
    </xdr:from>
    <xdr:to>
      <xdr:col>54</xdr:col>
      <xdr:colOff>89484</xdr:colOff>
      <xdr:row>28</xdr:row>
      <xdr:rowOff>133827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40EF9D9-B70F-4521-AE8B-AC18A77E4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289486</xdr:colOff>
      <xdr:row>29</xdr:row>
      <xdr:rowOff>93383</xdr:rowOff>
    </xdr:from>
    <xdr:to>
      <xdr:col>54</xdr:col>
      <xdr:colOff>24117</xdr:colOff>
      <xdr:row>42</xdr:row>
      <xdr:rowOff>40445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2EB2378-CFDC-4794-B83A-9B7F19EA1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487456</xdr:colOff>
      <xdr:row>37</xdr:row>
      <xdr:rowOff>24465</xdr:rowOff>
    </xdr:from>
    <xdr:to>
      <xdr:col>45</xdr:col>
      <xdr:colOff>371662</xdr:colOff>
      <xdr:row>54</xdr:row>
      <xdr:rowOff>68915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3BA1DF4-7417-E4A5-25B5-5B1D263C5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289485</xdr:colOff>
      <xdr:row>42</xdr:row>
      <xdr:rowOff>121397</xdr:rowOff>
    </xdr:from>
    <xdr:to>
      <xdr:col>54</xdr:col>
      <xdr:colOff>24116</xdr:colOff>
      <xdr:row>55</xdr:row>
      <xdr:rowOff>68459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B7E5F57-0664-4AB2-B039-E472B7948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ontmgt-my.sharepoint.com/personal/marius_furuly_sflcorp_com/Documents/Documents/Euro%202020/Piggys%20Euro%202020%20turnering%20-%20MASTER.xlsx" TargetMode="External"/><Relationship Id="rId1" Type="http://schemas.openxmlformats.org/officeDocument/2006/relationships/externalLinkPath" Target="Euro%202020/Piggys%20Euro%202020%20turnering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p_mfu\Downloads\Piggys-Euro-2020-turne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ontmgt-my.sharepoint.com/personal/marius_furuly_sflcorp_com/Documents/Documents/Qatar%202022/Piggys%20VM2022%20turnering%20-%20MASTER.xlsx" TargetMode="External"/><Relationship Id="rId1" Type="http://schemas.openxmlformats.org/officeDocument/2006/relationships/externalLinkPath" Target="Qatar%202022/Piggys%20VM2022%20turnering%20-%20MAST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ontmgt-my.sharepoint.com/personal/marius_furuly_sflcorp_com/Documents/Documents/Qatar%202022/Piggys%20VM2022%20turnering.xlsx" TargetMode="External"/><Relationship Id="rId1" Type="http://schemas.openxmlformats.org/officeDocument/2006/relationships/externalLinkPath" Target="Qatar%202022/Piggys%20VM2022%20turne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"/>
      <sheetName val="Settings"/>
      <sheetName val="INPUT -&gt;"/>
      <sheetName val="Turneringsskjema"/>
      <sheetName val="OUTPUT -&gt;"/>
      <sheetName val="Resultater"/>
      <sheetName val="3rd Places"/>
    </sheetNames>
    <sheetDataSet>
      <sheetData sheetId="0">
        <row r="1">
          <cell r="A1" t="str">
            <v>English</v>
          </cell>
          <cell r="B1" t="str">
            <v>Albanian</v>
          </cell>
          <cell r="C1" t="str">
            <v>Arabic</v>
          </cell>
          <cell r="D1" t="str">
            <v>Armenian</v>
          </cell>
          <cell r="E1" t="str">
            <v>Azerbaijan</v>
          </cell>
          <cell r="F1" t="str">
            <v>Bulgarian</v>
          </cell>
          <cell r="G1" t="str">
            <v>Català</v>
          </cell>
          <cell r="H1" t="str">
            <v>Chinese (Simplified)</v>
          </cell>
          <cell r="I1" t="str">
            <v>Chinese (Traditional)</v>
          </cell>
          <cell r="J1" t="str">
            <v>Croatian</v>
          </cell>
          <cell r="K1" t="str">
            <v>Czech</v>
          </cell>
          <cell r="L1" t="str">
            <v>Danish</v>
          </cell>
          <cell r="M1" t="str">
            <v>Dutch</v>
          </cell>
          <cell r="N1" t="str">
            <v>French</v>
          </cell>
          <cell r="O1" t="str">
            <v>Georgian</v>
          </cell>
          <cell r="P1" t="str">
            <v>German</v>
          </cell>
          <cell r="Q1" t="str">
            <v>Greek</v>
          </cell>
          <cell r="R1" t="str">
            <v>Hebrew</v>
          </cell>
          <cell r="S1" t="str">
            <v>Hungarian</v>
          </cell>
          <cell r="T1" t="str">
            <v>Indonesia</v>
          </cell>
          <cell r="U1" t="str">
            <v>Icelandic</v>
          </cell>
          <cell r="V1" t="str">
            <v>Italian</v>
          </cell>
          <cell r="W1" t="str">
            <v>Korean</v>
          </cell>
          <cell r="X1" t="str">
            <v>Lithuanian</v>
          </cell>
          <cell r="Y1" t="str">
            <v>Macedonian</v>
          </cell>
          <cell r="Z1" t="str">
            <v>Maltese</v>
          </cell>
          <cell r="AA1" t="str">
            <v>Norwegian</v>
          </cell>
          <cell r="AB1" t="str">
            <v>Persian</v>
          </cell>
          <cell r="AC1" t="str">
            <v>Polish</v>
          </cell>
          <cell r="AD1" t="str">
            <v>Portuguese</v>
          </cell>
          <cell r="AE1" t="str">
            <v>Romanian</v>
          </cell>
          <cell r="AF1" t="str">
            <v>Serbian</v>
          </cell>
          <cell r="AG1" t="str">
            <v>Slovak</v>
          </cell>
          <cell r="AH1" t="str">
            <v>Slovenian</v>
          </cell>
          <cell r="AI1" t="str">
            <v>Spanish</v>
          </cell>
          <cell r="AJ1" t="str">
            <v>Swedish</v>
          </cell>
          <cell r="AK1" t="str">
            <v>Thai</v>
          </cell>
          <cell r="AL1" t="str">
            <v>Turkish</v>
          </cell>
          <cell r="AM1" t="str">
            <v>Vietnamese</v>
          </cell>
          <cell r="AN1" t="str">
            <v>Ukrainian</v>
          </cell>
          <cell r="AO1" t="str">
            <v>Urdu</v>
          </cell>
        </row>
        <row r="2">
          <cell r="A2" t="str">
            <v>UEFA EURO 2021 Tournament Schedule</v>
          </cell>
          <cell r="B2" t="str">
            <v>UEFA Euro 2021 Tournament Schedule</v>
          </cell>
          <cell r="C2" t="str">
            <v>كأس الأمم الأوروبية 2021 جدول البطولة</v>
          </cell>
          <cell r="D2" t="str">
            <v>UEFA EURO 2021-մրցաշար ժամանակացույց</v>
          </cell>
          <cell r="E2" t="str">
            <v>UEFA EURO 2021 Tournament cədvəli</v>
          </cell>
          <cell r="F2" t="str">
            <v>Европейско първенство по футбол 2021 График на турнира</v>
          </cell>
          <cell r="G2" t="str">
            <v>UEFA EURO 2021 calendari de tornejos</v>
          </cell>
          <cell r="H2" t="str">
            <v>2021年欧洲足球锦标赛锦标赛时间表</v>
          </cell>
          <cell r="I2" t="str">
            <v>2021年歐洲足球錦標賽錦標賽時間表</v>
          </cell>
          <cell r="J2" t="str">
            <v>UEFA EURO 2021 Raspored turnira</v>
          </cell>
          <cell r="K2" t="str">
            <v>UEFA EURO 2021 Plán turnajů</v>
          </cell>
          <cell r="L2" t="str">
            <v>UEFA EURO 2021 Tournament Schedule</v>
          </cell>
          <cell r="M2" t="str">
            <v>UEFA EURO 2021 Toernooi schema</v>
          </cell>
          <cell r="N2" t="str">
            <v>UEFA EURO 2021</v>
          </cell>
          <cell r="O2" t="str">
            <v>UEFA EURO 2021 ტურნირი განრიგი</v>
          </cell>
          <cell r="P2" t="str">
            <v>UEFA EURO 2021 Turnierplan</v>
          </cell>
          <cell r="Q2" t="str">
            <v>UEFA EURO 2021 Πρόγραμμα Τουρνουά</v>
          </cell>
          <cell r="R2" t="str">
            <v>EURO אופ"א לו"ז טורניר 2021</v>
          </cell>
          <cell r="S2" t="str">
            <v>UEFA EURO 2021 versenyek időbeosztása</v>
          </cell>
          <cell r="T2" t="str">
            <v>UEFA EURO 2021 Jadwal Turnamen</v>
          </cell>
          <cell r="U2" t="str">
            <v>UEFA EURO 2021 Tournament Dagskrá</v>
          </cell>
          <cell r="V2" t="str">
            <v>UEFA EURO 2021 Tournament Schedule</v>
          </cell>
          <cell r="W2" t="str">
            <v>UEFA 유로​​ 2021 토너먼트 일정</v>
          </cell>
          <cell r="X2" t="str">
            <v>EURO 2021 turnyro tvarkaraštis</v>
          </cell>
          <cell r="Y2" t="str">
            <v>УЕФА Евро 2021 Распоред турнир</v>
          </cell>
          <cell r="Z2" t="str">
            <v>UEFA EURO 2021 Tournament Iskeda</v>
          </cell>
          <cell r="AA2" t="str">
            <v>UEFA EURO 2021 Turneringsskjema</v>
          </cell>
          <cell r="AB2" t="str">
            <v>UEFA EURO 2021 برنامه مسابقات</v>
          </cell>
          <cell r="AC2" t="str">
            <v>UEFA EURO 2021 Harmonogram turnieju</v>
          </cell>
          <cell r="AD2" t="str">
            <v>UEFA EURO 2021 Calendário de Torneios</v>
          </cell>
          <cell r="AE2" t="str">
            <v>UEFA EURO 2021 Programul turneelor</v>
          </cell>
          <cell r="AF2" t="str">
            <v>ЕВРО 2021 Турнир Распоред</v>
          </cell>
          <cell r="AG2" t="str">
            <v>UEFA EURO 2021 Plán turnajov</v>
          </cell>
          <cell r="AH2" t="str">
            <v>UEFA EURO 2021 turnir Razpored</v>
          </cell>
          <cell r="AI2" t="str">
            <v>UEFA EURO 2021 calendario de torneos</v>
          </cell>
          <cell r="AJ2" t="str">
            <v>UEFA EURO 2021 turneringsschemat</v>
          </cell>
          <cell r="AK2" t="str">
            <v>ฟุตบอลชิงแชมป์แห่งชาติยุโรป 2021 ตารางการแข่งขัน</v>
          </cell>
          <cell r="AL2" t="str">
            <v>2021 Avrupa Futbol Şampiyonası Turnuva Takvimi</v>
          </cell>
          <cell r="AM2" t="str">
            <v>UEFA EURO 2021 Lịch trình giải đấu</v>
          </cell>
          <cell r="AN2" t="str">
            <v>ЄВРО-2021 Розклад турнірів</v>
          </cell>
          <cell r="AO2" t="str">
            <v>UEFA EURO 2021 ٹورنامنٹ کے شیڈول</v>
          </cell>
        </row>
        <row r="3">
          <cell r="A3" t="str">
            <v>Group Stage</v>
          </cell>
          <cell r="B3" t="str">
            <v>Grupet</v>
          </cell>
          <cell r="C3" t="str">
            <v>الدور الأول</v>
          </cell>
          <cell r="D3" t="str">
            <v>Խմբային փուլ</v>
          </cell>
          <cell r="E3" t="str">
            <v>Qrup Mərhələsi</v>
          </cell>
          <cell r="F3" t="str">
            <v>Групова фаза</v>
          </cell>
          <cell r="G3" t="str">
            <v>Fase de grups</v>
          </cell>
          <cell r="H3" t="str">
            <v>小组赛阶段</v>
          </cell>
          <cell r="I3" t="str">
            <v>分組賽</v>
          </cell>
          <cell r="J3" t="str">
            <v>Prvi krug</v>
          </cell>
          <cell r="K3" t="str">
            <v>Základní skupiny</v>
          </cell>
          <cell r="L3" t="str">
            <v>Gruppespil</v>
          </cell>
          <cell r="M3" t="str">
            <v>Groepsfase</v>
          </cell>
          <cell r="N3" t="str">
            <v>Phase de groupes</v>
          </cell>
          <cell r="O3" t="str">
            <v>ჯგუფური ეტაპი</v>
          </cell>
          <cell r="P3" t="str">
            <v>Gruppenphase</v>
          </cell>
          <cell r="Q3" t="str">
            <v>Φάση Ομίλων</v>
          </cell>
          <cell r="R3" t="str">
            <v>שלב הבתים</v>
          </cell>
          <cell r="S3" t="str">
            <v>Csoportkörök</v>
          </cell>
          <cell r="T3" t="str">
            <v>Babak Kualifikasi</v>
          </cell>
          <cell r="U3" t="str">
            <v>Riðlakeppnin</v>
          </cell>
          <cell r="V3" t="str">
            <v>Fase a gironi</v>
          </cell>
          <cell r="W3" t="str">
            <v>조별 리그</v>
          </cell>
          <cell r="X3" t="str">
            <v>Grupės Etapas</v>
          </cell>
          <cell r="Y3" t="str">
            <v>Фаза по групи</v>
          </cell>
          <cell r="Z3" t="str">
            <v>Fażi tal-Gruppi</v>
          </cell>
          <cell r="AA3" t="str">
            <v>Gruppespill</v>
          </cell>
          <cell r="AB3" t="str">
            <v>مرحله گروهی</v>
          </cell>
          <cell r="AC3" t="str">
            <v>Faza Grupowa</v>
          </cell>
          <cell r="AD3" t="str">
            <v>Fase de grupos</v>
          </cell>
          <cell r="AE3" t="str">
            <v>Faza Grupelor</v>
          </cell>
          <cell r="AF3" t="str">
            <v>Grupno takmičenje</v>
          </cell>
          <cell r="AG3" t="str">
            <v>Skupinová fáza</v>
          </cell>
          <cell r="AH3" t="str">
            <v>Skupinski del</v>
          </cell>
          <cell r="AI3" t="str">
            <v>Fase de grupos</v>
          </cell>
          <cell r="AJ3" t="str">
            <v>Gruppspel</v>
          </cell>
          <cell r="AK3" t="str">
            <v>รอบแรก</v>
          </cell>
          <cell r="AL3" t="str">
            <v>Grup Aşaması</v>
          </cell>
          <cell r="AM3" t="str">
            <v>Vòng Bảng</v>
          </cell>
          <cell r="AN3" t="str">
            <v>Груповий етап</v>
          </cell>
          <cell r="AO3" t="str">
            <v>گروپ بندی</v>
          </cell>
        </row>
        <row r="4">
          <cell r="A4" t="str">
            <v>Round of 16</v>
          </cell>
          <cell r="B4" t="str">
            <v>Rundi I 16</v>
          </cell>
          <cell r="C4" t="str">
            <v>دور الستة عشر</v>
          </cell>
          <cell r="D4" t="str">
            <v>1/8 Եզրափակիչ</v>
          </cell>
          <cell r="E4" t="str">
            <v>16-da bir raund</v>
          </cell>
          <cell r="F4" t="str">
            <v>1/8 - финали</v>
          </cell>
          <cell r="G4" t="str">
            <v>Vuitens de final</v>
          </cell>
          <cell r="H4" t="str">
            <v>16强赛</v>
          </cell>
          <cell r="I4" t="str">
            <v>十六強</v>
          </cell>
          <cell r="J4" t="str">
            <v>Drugi krug</v>
          </cell>
          <cell r="K4" t="str">
            <v>Osmifinále</v>
          </cell>
          <cell r="L4" t="str">
            <v>Runde af 16</v>
          </cell>
          <cell r="M4" t="str">
            <v>Achtste finales</v>
          </cell>
          <cell r="N4" t="str">
            <v>1/8e de finales</v>
          </cell>
          <cell r="O4" t="str">
            <v>მერვედფინალი</v>
          </cell>
          <cell r="P4" t="str">
            <v>Achtelfinale</v>
          </cell>
          <cell r="Q4" t="str">
            <v>Φάση των 16</v>
          </cell>
          <cell r="R4" t="str">
            <v>שמינית גמר</v>
          </cell>
          <cell r="S4" t="str">
            <v>Nyolcaddöntők</v>
          </cell>
          <cell r="T4" t="str">
            <v>Per Delapan Final</v>
          </cell>
          <cell r="U4" t="str">
            <v>16 liða úrslit</v>
          </cell>
          <cell r="V4" t="str">
            <v>Ottavi di finale</v>
          </cell>
          <cell r="W4" t="str">
            <v>16강전</v>
          </cell>
          <cell r="X4" t="str">
            <v>16-tuko Raundas</v>
          </cell>
          <cell r="Y4" t="str">
            <v>1/8 финале</v>
          </cell>
          <cell r="Z4" t="str">
            <v>L-Aħħar Sittax</v>
          </cell>
          <cell r="AA4" t="str">
            <v>8-dels finale</v>
          </cell>
          <cell r="AB4" t="str">
            <v xml:space="preserve"> یک هشتم نهائی</v>
          </cell>
          <cell r="AC4" t="str">
            <v>1/8 Finału</v>
          </cell>
          <cell r="AD4" t="str">
            <v>Oitavos de Final</v>
          </cell>
          <cell r="AE4" t="str">
            <v>Optimi</v>
          </cell>
          <cell r="AF4" t="str">
            <v>Šesnaestina finala</v>
          </cell>
          <cell r="AG4" t="str">
            <v>Osemfinále</v>
          </cell>
          <cell r="AH4" t="str">
            <v>Osminafinala</v>
          </cell>
          <cell r="AI4" t="str">
            <v>Octavos de final</v>
          </cell>
          <cell r="AJ4" t="str">
            <v>Åttondelsfinal</v>
          </cell>
          <cell r="AK4" t="str">
            <v>รอบสอง</v>
          </cell>
          <cell r="AL4" t="str">
            <v>Son 16</v>
          </cell>
          <cell r="AM4" t="str">
            <v>Vòng 1/16</v>
          </cell>
          <cell r="AN4" t="str">
            <v>1/8 фіналу</v>
          </cell>
          <cell r="AO4" t="str">
            <v>سولھواں دور</v>
          </cell>
        </row>
        <row r="5">
          <cell r="A5" t="str">
            <v>Quarterfinals</v>
          </cell>
          <cell r="B5" t="str">
            <v>Qerekfinalja</v>
          </cell>
          <cell r="C5" t="str">
            <v>دور الربع نهائي</v>
          </cell>
          <cell r="D5" t="str">
            <v>1/4 Եզրափակիչ</v>
          </cell>
          <cell r="E5" t="str">
            <v>Dörddə bir Final</v>
          </cell>
          <cell r="F5" t="str">
            <v>1/4 - финали</v>
          </cell>
          <cell r="G5" t="str">
            <v>Quarts de final</v>
          </cell>
          <cell r="H5" t="str">
            <v>8强赛</v>
          </cell>
          <cell r="I5" t="str">
            <v>八強</v>
          </cell>
          <cell r="J5" t="str">
            <v>Četvrtfinale</v>
          </cell>
          <cell r="K5" t="str">
            <v>Čtvrtfinále</v>
          </cell>
          <cell r="L5" t="str">
            <v>Kvartfinale</v>
          </cell>
          <cell r="M5" t="str">
            <v>Kwartfinales</v>
          </cell>
          <cell r="N5" t="str">
            <v>1/4 de finales</v>
          </cell>
          <cell r="O5" t="str">
            <v>მეოთხედფინალი</v>
          </cell>
          <cell r="P5" t="str">
            <v>Viertelfinale</v>
          </cell>
          <cell r="Q5" t="str">
            <v>Προημιτελικοί</v>
          </cell>
          <cell r="R5" t="str">
            <v>רבע גמר</v>
          </cell>
          <cell r="S5" t="str">
            <v>Negyeddöntők</v>
          </cell>
          <cell r="T5" t="str">
            <v>Perempat Final</v>
          </cell>
          <cell r="U5" t="str">
            <v>8 liða úrslit</v>
          </cell>
          <cell r="V5" t="str">
            <v>Quarti di finale</v>
          </cell>
          <cell r="W5" t="str">
            <v>8강전</v>
          </cell>
          <cell r="X5" t="str">
            <v>Ketvirtfinaliai</v>
          </cell>
          <cell r="Y5" t="str">
            <v>1/4 финале</v>
          </cell>
          <cell r="Z5" t="str">
            <v>Kwarti-Finali</v>
          </cell>
          <cell r="AA5" t="str">
            <v>Kvartfinale</v>
          </cell>
          <cell r="AB5" t="str">
            <v>یک چهارم نهائی</v>
          </cell>
          <cell r="AC5" t="str">
            <v>Ćwierćfinały</v>
          </cell>
          <cell r="AD5" t="str">
            <v>Quartos de Final</v>
          </cell>
          <cell r="AE5" t="str">
            <v>Sferturi de finala</v>
          </cell>
          <cell r="AF5" t="str">
            <v>Četvrtfinale</v>
          </cell>
          <cell r="AG5" t="str">
            <v>Štvrťfinále</v>
          </cell>
          <cell r="AH5" t="str">
            <v>Četrtfinale</v>
          </cell>
          <cell r="AI5" t="str">
            <v>Cuartos de Final</v>
          </cell>
          <cell r="AJ5" t="str">
            <v>Kvartsfinal</v>
          </cell>
          <cell r="AK5" t="str">
            <v>รอบก่อนรองชนะเลิศ</v>
          </cell>
          <cell r="AL5" t="str">
            <v>Çeyrek Final</v>
          </cell>
          <cell r="AM5" t="str">
            <v>Tứ kết</v>
          </cell>
          <cell r="AN5" t="str">
            <v>Чвертьфінал</v>
          </cell>
          <cell r="AO5" t="str">
            <v>کواٹر فائنل</v>
          </cell>
        </row>
        <row r="6">
          <cell r="A6" t="str">
            <v>Semi-Finals</v>
          </cell>
          <cell r="B6" t="str">
            <v>Gjysmëfinalja</v>
          </cell>
          <cell r="C6" t="str">
            <v>دور النصف نهائي</v>
          </cell>
          <cell r="D6" t="str">
            <v>Կիսաեզրափակիչ</v>
          </cell>
          <cell r="E6" t="str">
            <v>Yarım Final</v>
          </cell>
          <cell r="F6" t="str">
            <v>1/2 - финали</v>
          </cell>
          <cell r="G6" t="str">
            <v>Semifinals</v>
          </cell>
          <cell r="H6" t="str">
            <v>半决赛</v>
          </cell>
          <cell r="I6" t="str">
            <v>準決賽</v>
          </cell>
          <cell r="J6" t="str">
            <v>Polufinale</v>
          </cell>
          <cell r="K6" t="str">
            <v>Semifinále</v>
          </cell>
          <cell r="L6" t="str">
            <v>Semifinale</v>
          </cell>
          <cell r="M6" t="str">
            <v>Halve finales</v>
          </cell>
          <cell r="N6" t="str">
            <v>1/2 finales</v>
          </cell>
          <cell r="O6" t="str">
            <v>ნახევარფინალი</v>
          </cell>
          <cell r="P6" t="str">
            <v>Halbfinale</v>
          </cell>
          <cell r="Q6" t="str">
            <v>Ημιτελικοί</v>
          </cell>
          <cell r="R6" t="str">
            <v>חצי גמר</v>
          </cell>
          <cell r="S6" t="str">
            <v>Elődöntők</v>
          </cell>
          <cell r="T6" t="str">
            <v>Semi Final</v>
          </cell>
          <cell r="U6" t="str">
            <v>Undanúrslit</v>
          </cell>
          <cell r="V6" t="str">
            <v>Semifinali</v>
          </cell>
          <cell r="W6" t="str">
            <v>준결승전</v>
          </cell>
          <cell r="X6" t="str">
            <v>Pusfinaliai</v>
          </cell>
          <cell r="Y6" t="str">
            <v>1/2 финале</v>
          </cell>
          <cell r="Z6" t="str">
            <v>Semi-Finali</v>
          </cell>
          <cell r="AA6" t="str">
            <v>Semifinale</v>
          </cell>
          <cell r="AB6" t="str">
            <v>نیمه نهائی</v>
          </cell>
          <cell r="AC6" t="str">
            <v>Półfinały</v>
          </cell>
          <cell r="AD6" t="str">
            <v>Semi-final</v>
          </cell>
          <cell r="AE6" t="str">
            <v>Semifinale</v>
          </cell>
          <cell r="AF6" t="str">
            <v>Polufinale</v>
          </cell>
          <cell r="AG6" t="str">
            <v>Semifinále</v>
          </cell>
          <cell r="AH6" t="str">
            <v>Polfinale</v>
          </cell>
          <cell r="AI6" t="str">
            <v>Semifinales</v>
          </cell>
          <cell r="AJ6" t="str">
            <v>Semifinal</v>
          </cell>
          <cell r="AK6" t="str">
            <v>รอบรองชนะเลิศ</v>
          </cell>
          <cell r="AL6" t="str">
            <v>Yarı Final</v>
          </cell>
          <cell r="AM6" t="str">
            <v>Bán kết</v>
          </cell>
          <cell r="AN6" t="str">
            <v>Півфінал</v>
          </cell>
          <cell r="AO6" t="str">
            <v>سیمی فائنل</v>
          </cell>
        </row>
        <row r="7">
          <cell r="A7" t="str">
            <v>Third-Place Play-Off</v>
          </cell>
          <cell r="B7" t="str">
            <v>Takimi për vendin e tretë</v>
          </cell>
          <cell r="C7" t="str">
            <v>تحديد المركزين الثالث والرابع</v>
          </cell>
          <cell r="D7" t="str">
            <v>3-րդ տեղի համար եզրափակիչ</v>
          </cell>
          <cell r="E7" t="str">
            <v>Üçüncü Yer Uğrunda</v>
          </cell>
          <cell r="F7" t="str">
            <v>Мач за трето място</v>
          </cell>
          <cell r="G7" t="str">
            <v>3r i 4t lloc</v>
          </cell>
          <cell r="H7" t="str">
            <v>季军赛</v>
          </cell>
          <cell r="I7" t="str">
            <v>季軍賽</v>
          </cell>
          <cell r="J7" t="str">
            <v>Za treće mjesto</v>
          </cell>
          <cell r="K7" t="str">
            <v>Zápas o 3.místo</v>
          </cell>
          <cell r="L7" t="str">
            <v>Tredjeplads Kamp</v>
          </cell>
          <cell r="M7" t="str">
            <v>Derde en vierde plaats</v>
          </cell>
          <cell r="N7" t="str">
            <v>Match pour la troisième place</v>
          </cell>
          <cell r="O7" t="str">
            <v>მესამე ადგილი</v>
          </cell>
          <cell r="P7" t="str">
            <v>Spiel um den dritten Platz</v>
          </cell>
          <cell r="Q7" t="str">
            <v>Μικρός Τελικός</v>
          </cell>
          <cell r="R7" t="str">
            <v>מקום 3-4</v>
          </cell>
          <cell r="S7" t="str">
            <v>Bronzmeccs</v>
          </cell>
          <cell r="T7" t="str">
            <v>Perebutan Tempat Ketiga</v>
          </cell>
          <cell r="U7" t="str">
            <v>Leikur um 3.sæti</v>
          </cell>
          <cell r="V7" t="str">
            <v>Finale 3°- 4° posto</v>
          </cell>
          <cell r="W7" t="str">
            <v>3,4위전</v>
          </cell>
          <cell r="X7" t="str">
            <v>Rungtynės dėl Trečios Vietos</v>
          </cell>
          <cell r="Y7" t="str">
            <v>Натпревар за трето место</v>
          </cell>
          <cell r="Z7" t="str">
            <v>Final għat-Tielet u r-Raba' Post</v>
          </cell>
          <cell r="AA7" t="str">
            <v>Bronsefinale</v>
          </cell>
          <cell r="AB7" t="str">
            <v>رده بندی</v>
          </cell>
          <cell r="AC7" t="str">
            <v>Mecz o trzecie miejsce</v>
          </cell>
          <cell r="AD7" t="str">
            <v>3º/4º lugar</v>
          </cell>
          <cell r="AE7" t="str">
            <v>Finala mica</v>
          </cell>
          <cell r="AF7" t="str">
            <v>Za treće mjesto</v>
          </cell>
          <cell r="AG7" t="str">
            <v xml:space="preserve">Zápas o 3. miesto </v>
          </cell>
          <cell r="AH7" t="str">
            <v>Za tretje mesto</v>
          </cell>
          <cell r="AI7" t="str">
            <v>Tercer puesto</v>
          </cell>
          <cell r="AJ7" t="str">
            <v>Match om tredje pris</v>
          </cell>
          <cell r="AK7" t="str">
            <v>รอบชิงที่ 3</v>
          </cell>
          <cell r="AL7" t="str">
            <v>Üçüncülük Maçı</v>
          </cell>
          <cell r="AM7" t="str">
            <v>Tranh hạng 3</v>
          </cell>
          <cell r="AN7" t="str">
            <v>Матч за третє місце</v>
          </cell>
          <cell r="AO7" t="str">
            <v>تیسرے مقام کے لئے کھیل</v>
          </cell>
        </row>
        <row r="8">
          <cell r="A8" t="str">
            <v>Final</v>
          </cell>
          <cell r="B8" t="str">
            <v>Finalja</v>
          </cell>
          <cell r="C8" t="str">
            <v>المباراة النهائية</v>
          </cell>
          <cell r="D8" t="str">
            <v>Եզրափակիչ</v>
          </cell>
          <cell r="E8" t="str">
            <v>Final</v>
          </cell>
          <cell r="F8" t="str">
            <v>Финал</v>
          </cell>
          <cell r="G8" t="str">
            <v>Final</v>
          </cell>
          <cell r="H8" t="str">
            <v>总决赛</v>
          </cell>
          <cell r="I8" t="str">
            <v>總決賽</v>
          </cell>
          <cell r="J8" t="str">
            <v>Finale</v>
          </cell>
          <cell r="K8" t="str">
            <v>Finále</v>
          </cell>
          <cell r="L8" t="str">
            <v>Finale</v>
          </cell>
          <cell r="M8" t="str">
            <v>Finale</v>
          </cell>
          <cell r="N8" t="str">
            <v>Finale</v>
          </cell>
          <cell r="O8" t="str">
            <v>ფინალი</v>
          </cell>
          <cell r="P8" t="str">
            <v>Finale</v>
          </cell>
          <cell r="Q8" t="str">
            <v>Τελικός</v>
          </cell>
          <cell r="R8" t="str">
            <v>גמר</v>
          </cell>
          <cell r="S8" t="str">
            <v>Döntő</v>
          </cell>
          <cell r="T8" t="str">
            <v>Final</v>
          </cell>
          <cell r="U8" t="str">
            <v>Úrslit</v>
          </cell>
          <cell r="V8" t="str">
            <v>Finale</v>
          </cell>
          <cell r="W8" t="str">
            <v>결승전</v>
          </cell>
          <cell r="X8" t="str">
            <v>Finalas</v>
          </cell>
          <cell r="Y8" t="str">
            <v>Финале</v>
          </cell>
          <cell r="Z8" t="str">
            <v>Finali</v>
          </cell>
          <cell r="AA8" t="str">
            <v>Finale</v>
          </cell>
          <cell r="AB8" t="str">
            <v>فینال</v>
          </cell>
          <cell r="AC8" t="str">
            <v>Finał</v>
          </cell>
          <cell r="AD8" t="str">
            <v>Final</v>
          </cell>
          <cell r="AE8" t="str">
            <v>FINALA</v>
          </cell>
          <cell r="AF8" t="str">
            <v>Finale</v>
          </cell>
          <cell r="AG8" t="str">
            <v>Finále</v>
          </cell>
          <cell r="AH8" t="str">
            <v>Finale</v>
          </cell>
          <cell r="AI8" t="str">
            <v>Final</v>
          </cell>
          <cell r="AJ8" t="str">
            <v>Final</v>
          </cell>
          <cell r="AK8" t="str">
            <v>รอบชิงชนะเลิศ</v>
          </cell>
          <cell r="AL8" t="str">
            <v>Final</v>
          </cell>
          <cell r="AM8" t="str">
            <v>Chung Kết</v>
          </cell>
          <cell r="AN8" t="str">
            <v>Фінал</v>
          </cell>
          <cell r="AO8" t="str">
            <v>فائنل</v>
          </cell>
        </row>
        <row r="9">
          <cell r="A9" t="str">
            <v>Group</v>
          </cell>
          <cell r="B9" t="str">
            <v>Grupi</v>
          </cell>
          <cell r="C9" t="str">
            <v>المجموعة</v>
          </cell>
          <cell r="D9" t="str">
            <v>Խումբ</v>
          </cell>
          <cell r="E9" t="str">
            <v>Qrup</v>
          </cell>
          <cell r="F9" t="str">
            <v>Група</v>
          </cell>
          <cell r="G9" t="str">
            <v>Grup</v>
          </cell>
          <cell r="H9" t="str">
            <v>小组</v>
          </cell>
          <cell r="I9" t="str">
            <v>小組</v>
          </cell>
          <cell r="J9" t="str">
            <v>Grupa</v>
          </cell>
          <cell r="K9" t="str">
            <v>Skupina</v>
          </cell>
          <cell r="L9" t="str">
            <v>Gruppe</v>
          </cell>
          <cell r="M9" t="str">
            <v>Groep</v>
          </cell>
          <cell r="N9" t="str">
            <v>Groupe</v>
          </cell>
          <cell r="O9" t="str">
            <v>ჯგუფი</v>
          </cell>
          <cell r="P9" t="str">
            <v>Gruppe</v>
          </cell>
          <cell r="Q9" t="str">
            <v>Όμιλος</v>
          </cell>
          <cell r="R9" t="str">
            <v>בית</v>
          </cell>
          <cell r="S9" t="str">
            <v>Csoport</v>
          </cell>
          <cell r="T9" t="str">
            <v>Kelompok</v>
          </cell>
          <cell r="U9" t="str">
            <v>Riðill</v>
          </cell>
          <cell r="V9" t="str">
            <v>Gruppo</v>
          </cell>
          <cell r="W9" t="str">
            <v>그룹</v>
          </cell>
          <cell r="X9" t="str">
            <v>Grupė</v>
          </cell>
          <cell r="Y9" t="str">
            <v>Група</v>
          </cell>
          <cell r="Z9" t="str">
            <v>Grupp</v>
          </cell>
          <cell r="AA9" t="str">
            <v>Gruppe</v>
          </cell>
          <cell r="AB9" t="str">
            <v>گروه</v>
          </cell>
          <cell r="AC9" t="str">
            <v>Grupa</v>
          </cell>
          <cell r="AD9" t="str">
            <v>Grupo</v>
          </cell>
          <cell r="AE9" t="str">
            <v>Grupa</v>
          </cell>
          <cell r="AF9" t="str">
            <v>Grupa</v>
          </cell>
          <cell r="AG9" t="str">
            <v>Skupina</v>
          </cell>
          <cell r="AH9" t="str">
            <v>Skupina</v>
          </cell>
          <cell r="AI9" t="str">
            <v>Grupo</v>
          </cell>
          <cell r="AJ9" t="str">
            <v>Grupp</v>
          </cell>
          <cell r="AK9" t="str">
            <v>สาย</v>
          </cell>
          <cell r="AL9" t="str">
            <v>Grup</v>
          </cell>
          <cell r="AM9" t="str">
            <v>Bảng</v>
          </cell>
          <cell r="AN9" t="str">
            <v>Група</v>
          </cell>
          <cell r="AO9" t="str">
            <v>گروپ بندی</v>
          </cell>
        </row>
        <row r="10">
          <cell r="A10" t="str">
            <v>PL</v>
          </cell>
          <cell r="B10" t="str">
            <v>L</v>
          </cell>
          <cell r="C10" t="str">
            <v>لعب</v>
          </cell>
          <cell r="D10" t="str">
            <v>Խ</v>
          </cell>
          <cell r="E10" t="str">
            <v>O</v>
          </cell>
          <cell r="F10" t="str">
            <v>М</v>
          </cell>
          <cell r="G10" t="str">
            <v>J</v>
          </cell>
          <cell r="H10" t="str">
            <v>场次</v>
          </cell>
          <cell r="I10" t="str">
            <v>賽</v>
          </cell>
          <cell r="J10" t="str">
            <v>PL</v>
          </cell>
          <cell r="K10" t="str">
            <v>Z</v>
          </cell>
          <cell r="L10" t="str">
            <v>SP</v>
          </cell>
          <cell r="M10" t="str">
            <v>WG</v>
          </cell>
          <cell r="N10" t="str">
            <v>J</v>
          </cell>
          <cell r="O10" t="str">
            <v>თ</v>
          </cell>
          <cell r="P10" t="str">
            <v>SP</v>
          </cell>
          <cell r="Q10" t="str">
            <v>ΑΓ</v>
          </cell>
          <cell r="R10" t="str">
            <v>משחקים</v>
          </cell>
          <cell r="S10" t="str">
            <v>M</v>
          </cell>
          <cell r="T10" t="str">
            <v>Main</v>
          </cell>
          <cell r="U10" t="str">
            <v>L</v>
          </cell>
          <cell r="V10" t="str">
            <v>G</v>
          </cell>
          <cell r="W10" t="str">
            <v>경기</v>
          </cell>
          <cell r="X10" t="str">
            <v>Žst</v>
          </cell>
          <cell r="Y10" t="str">
            <v>О</v>
          </cell>
          <cell r="Z10" t="str">
            <v>L</v>
          </cell>
          <cell r="AA10" t="str">
            <v>S</v>
          </cell>
          <cell r="AB10" t="str">
            <v>بازی</v>
          </cell>
          <cell r="AC10" t="str">
            <v>M</v>
          </cell>
          <cell r="AD10" t="str">
            <v>J</v>
          </cell>
          <cell r="AE10" t="str">
            <v>J</v>
          </cell>
          <cell r="AF10" t="str">
            <v>UT</v>
          </cell>
          <cell r="AG10" t="str">
            <v>Z</v>
          </cell>
          <cell r="AH10" t="str">
            <v>PL</v>
          </cell>
          <cell r="AI10" t="str">
            <v>J</v>
          </cell>
          <cell r="AJ10" t="str">
            <v>Sp</v>
          </cell>
          <cell r="AK10" t="str">
            <v>แข่ง</v>
          </cell>
          <cell r="AL10" t="str">
            <v>O</v>
          </cell>
          <cell r="AM10" t="str">
            <v>Trận</v>
          </cell>
          <cell r="AN10" t="str">
            <v>І</v>
          </cell>
          <cell r="AO10" t="str">
            <v>کھیلے گئے مقابلے</v>
          </cell>
        </row>
        <row r="11">
          <cell r="A11" t="str">
            <v>W</v>
          </cell>
          <cell r="B11" t="str">
            <v>F</v>
          </cell>
          <cell r="C11" t="str">
            <v>فاز</v>
          </cell>
          <cell r="D11" t="str">
            <v>Հ</v>
          </cell>
          <cell r="E11" t="str">
            <v>Q</v>
          </cell>
          <cell r="F11" t="str">
            <v>П</v>
          </cell>
          <cell r="G11" t="str">
            <v>G</v>
          </cell>
          <cell r="H11" t="str">
            <v>胜</v>
          </cell>
          <cell r="I11" t="str">
            <v>勝</v>
          </cell>
          <cell r="J11" t="str">
            <v>W</v>
          </cell>
          <cell r="K11" t="str">
            <v>V</v>
          </cell>
          <cell r="L11" t="str">
            <v>V</v>
          </cell>
          <cell r="M11" t="str">
            <v>W</v>
          </cell>
          <cell r="N11" t="str">
            <v>V</v>
          </cell>
          <cell r="O11" t="str">
            <v>მოგ</v>
          </cell>
          <cell r="P11" t="str">
            <v>S</v>
          </cell>
          <cell r="Q11" t="str">
            <v>Ν</v>
          </cell>
          <cell r="R11" t="str">
            <v>נצחונות</v>
          </cell>
          <cell r="S11" t="str">
            <v>GY</v>
          </cell>
          <cell r="T11" t="str">
            <v>Menang</v>
          </cell>
          <cell r="U11" t="str">
            <v>U</v>
          </cell>
          <cell r="V11" t="str">
            <v>V</v>
          </cell>
          <cell r="W11" t="str">
            <v>승</v>
          </cell>
          <cell r="X11" t="str">
            <v>L</v>
          </cell>
          <cell r="Y11" t="str">
            <v>П</v>
          </cell>
          <cell r="Z11" t="str">
            <v>R</v>
          </cell>
          <cell r="AA11" t="str">
            <v>V</v>
          </cell>
          <cell r="AB11" t="str">
            <v>برد</v>
          </cell>
          <cell r="AC11" t="str">
            <v>Z</v>
          </cell>
          <cell r="AD11" t="str">
            <v>V</v>
          </cell>
          <cell r="AE11" t="str">
            <v>V</v>
          </cell>
          <cell r="AF11" t="str">
            <v>P</v>
          </cell>
          <cell r="AG11" t="str">
            <v>V</v>
          </cell>
          <cell r="AH11" t="str">
            <v>W</v>
          </cell>
          <cell r="AI11" t="str">
            <v>G</v>
          </cell>
          <cell r="AJ11" t="str">
            <v>V</v>
          </cell>
          <cell r="AK11" t="str">
            <v>ชนะ</v>
          </cell>
          <cell r="AL11" t="str">
            <v>G</v>
          </cell>
          <cell r="AM11" t="str">
            <v>T</v>
          </cell>
          <cell r="AN11" t="str">
            <v>В</v>
          </cell>
          <cell r="AO11" t="str">
            <v>جیت</v>
          </cell>
        </row>
        <row r="12">
          <cell r="A12" t="str">
            <v>DRAW</v>
          </cell>
          <cell r="B12" t="str">
            <v>BAR</v>
          </cell>
          <cell r="C12" t="str">
            <v>تعادل</v>
          </cell>
          <cell r="D12" t="str">
            <v>Ո</v>
          </cell>
          <cell r="E12" t="str">
            <v>H</v>
          </cell>
          <cell r="F12" t="str">
            <v>Р</v>
          </cell>
          <cell r="G12" t="str">
            <v>E</v>
          </cell>
          <cell r="H12" t="str">
            <v>平</v>
          </cell>
          <cell r="I12" t="str">
            <v>和</v>
          </cell>
          <cell r="J12" t="str">
            <v>DRAW</v>
          </cell>
          <cell r="K12" t="str">
            <v>R</v>
          </cell>
          <cell r="L12" t="str">
            <v>Uafgjort</v>
          </cell>
          <cell r="M12" t="str">
            <v>G</v>
          </cell>
          <cell r="N12" t="str">
            <v>N</v>
          </cell>
          <cell r="O12" t="str">
            <v>ფრე</v>
          </cell>
          <cell r="P12" t="str">
            <v>DRAW</v>
          </cell>
          <cell r="Q12" t="str">
            <v>Ι</v>
          </cell>
          <cell r="R12" t="str">
            <v>תיקו</v>
          </cell>
          <cell r="S12" t="str">
            <v>D</v>
          </cell>
          <cell r="T12" t="str">
            <v>Seri</v>
          </cell>
          <cell r="U12" t="str">
            <v>Jafnt</v>
          </cell>
          <cell r="V12" t="str">
            <v>P</v>
          </cell>
          <cell r="W12" t="str">
            <v>무</v>
          </cell>
          <cell r="X12" t="str">
            <v>Lyg</v>
          </cell>
          <cell r="Y12" t="str">
            <v>Н</v>
          </cell>
          <cell r="Z12" t="str">
            <v>I</v>
          </cell>
          <cell r="AA12" t="str">
            <v>T</v>
          </cell>
          <cell r="AB12" t="str">
            <v>مساوی</v>
          </cell>
          <cell r="AC12" t="str">
            <v>R</v>
          </cell>
          <cell r="AD12" t="str">
            <v>E</v>
          </cell>
          <cell r="AE12" t="str">
            <v>E</v>
          </cell>
          <cell r="AF12" t="str">
            <v>NER.</v>
          </cell>
          <cell r="AG12" t="str">
            <v>R</v>
          </cell>
          <cell r="AH12" t="str">
            <v>DRAW</v>
          </cell>
          <cell r="AI12" t="str">
            <v>DRAW</v>
          </cell>
          <cell r="AJ12" t="str">
            <v>O</v>
          </cell>
          <cell r="AK12" t="str">
            <v>เสมอ</v>
          </cell>
          <cell r="AL12" t="str">
            <v>B</v>
          </cell>
          <cell r="AM12" t="str">
            <v>H</v>
          </cell>
          <cell r="AN12" t="str">
            <v>Н</v>
          </cell>
          <cell r="AO12" t="str">
            <v>برابر</v>
          </cell>
        </row>
        <row r="13">
          <cell r="A13" t="str">
            <v>L</v>
          </cell>
          <cell r="B13" t="str">
            <v>H</v>
          </cell>
          <cell r="C13" t="str">
            <v>خسر</v>
          </cell>
          <cell r="D13" t="str">
            <v>Պ</v>
          </cell>
          <cell r="E13" t="str">
            <v>M</v>
          </cell>
          <cell r="F13" t="str">
            <v>З</v>
          </cell>
          <cell r="G13" t="str">
            <v>P</v>
          </cell>
          <cell r="H13" t="str">
            <v>负</v>
          </cell>
          <cell r="I13" t="str">
            <v>負</v>
          </cell>
          <cell r="J13" t="str">
            <v>L</v>
          </cell>
          <cell r="K13" t="str">
            <v>P</v>
          </cell>
          <cell r="L13" t="str">
            <v>T</v>
          </cell>
          <cell r="M13" t="str">
            <v>V</v>
          </cell>
          <cell r="N13" t="str">
            <v>D</v>
          </cell>
          <cell r="O13" t="str">
            <v>წაგ</v>
          </cell>
          <cell r="P13" t="str">
            <v>N</v>
          </cell>
          <cell r="Q13" t="str">
            <v xml:space="preserve">Η </v>
          </cell>
          <cell r="R13" t="str">
            <v>הפסדים</v>
          </cell>
          <cell r="S13" t="str">
            <v>V</v>
          </cell>
          <cell r="T13" t="str">
            <v>Kalah</v>
          </cell>
          <cell r="U13" t="str">
            <v>T</v>
          </cell>
          <cell r="V13" t="str">
            <v>S</v>
          </cell>
          <cell r="W13" t="str">
            <v>패</v>
          </cell>
          <cell r="X13" t="str">
            <v>P</v>
          </cell>
          <cell r="Y13" t="str">
            <v>И</v>
          </cell>
          <cell r="Z13" t="str">
            <v>T</v>
          </cell>
          <cell r="AA13" t="str">
            <v>U</v>
          </cell>
          <cell r="AB13" t="str">
            <v>باخت</v>
          </cell>
          <cell r="AC13" t="str">
            <v>P</v>
          </cell>
          <cell r="AD13" t="str">
            <v>D</v>
          </cell>
          <cell r="AE13" t="str">
            <v>I</v>
          </cell>
          <cell r="AF13" t="str">
            <v>I</v>
          </cell>
          <cell r="AG13" t="str">
            <v>P</v>
          </cell>
          <cell r="AH13" t="str">
            <v>L</v>
          </cell>
          <cell r="AI13" t="str">
            <v>P</v>
          </cell>
          <cell r="AJ13" t="str">
            <v>F</v>
          </cell>
          <cell r="AK13" t="str">
            <v>แพ้</v>
          </cell>
          <cell r="AL13" t="str">
            <v>M</v>
          </cell>
          <cell r="AM13" t="str">
            <v>B</v>
          </cell>
          <cell r="AN13" t="str">
            <v>П</v>
          </cell>
          <cell r="AO13" t="str">
            <v>ہارے گئے مقابلے</v>
          </cell>
        </row>
        <row r="14">
          <cell r="A14" t="str">
            <v>GF - GA</v>
          </cell>
          <cell r="B14" t="str">
            <v>GSH-GP</v>
          </cell>
          <cell r="C14" t="str">
            <v>عليه - له</v>
          </cell>
          <cell r="D14" t="str">
            <v>ԽԳ-ԲԳ</v>
          </cell>
          <cell r="E14" t="str">
            <v>QV - QB</v>
          </cell>
          <cell r="F14" t="str">
            <v>Гол. Разл.</v>
          </cell>
          <cell r="G14" t="str">
            <v>GF - GC</v>
          </cell>
          <cell r="H14" t="str">
            <v>得失球</v>
          </cell>
          <cell r="I14" t="str">
            <v>得球 - 失球</v>
          </cell>
          <cell r="J14" t="str">
            <v>GF - GA</v>
          </cell>
          <cell r="K14" t="str">
            <v>GV - GI</v>
          </cell>
          <cell r="L14" t="str">
            <v>MF - MI</v>
          </cell>
          <cell r="M14" t="str">
            <v>DV-DT</v>
          </cell>
          <cell r="N14" t="str">
            <v>BP - BC</v>
          </cell>
          <cell r="O14" t="str">
            <v>გგ - მგ</v>
          </cell>
          <cell r="P14" t="str">
            <v>ET - KT</v>
          </cell>
          <cell r="Q14" t="str">
            <v>Υ-Κ</v>
          </cell>
          <cell r="R14" t="str">
            <v>יחס שערים</v>
          </cell>
          <cell r="S14" t="str">
            <v>Gólkül.</v>
          </cell>
          <cell r="T14" t="str">
            <v xml:space="preserve">Skor </v>
          </cell>
          <cell r="U14" t="str">
            <v>S - F</v>
          </cell>
          <cell r="V14" t="str">
            <v>GF - GS</v>
          </cell>
          <cell r="W14" t="str">
            <v>골득실</v>
          </cell>
          <cell r="X14" t="str">
            <v>Įm - Pr</v>
          </cell>
          <cell r="Y14" t="str">
            <v>Разлика</v>
          </cell>
          <cell r="Z14" t="str">
            <v>GF - GK</v>
          </cell>
          <cell r="AA14" t="str">
            <v>Mål</v>
          </cell>
          <cell r="AB14" t="str">
            <v>خورده-زده</v>
          </cell>
          <cell r="AC14" t="str">
            <v>Z - S</v>
          </cell>
          <cell r="AD14" t="str">
            <v>GM - GS</v>
          </cell>
          <cell r="AE14" t="str">
            <v>GM - GP</v>
          </cell>
          <cell r="AF14" t="str">
            <v>GD - GP</v>
          </cell>
          <cell r="AG14" t="str">
            <v>GS-GI</v>
          </cell>
          <cell r="AH14" t="str">
            <v>GF - GA</v>
          </cell>
          <cell r="AI14" t="str">
            <v>GF - GC</v>
          </cell>
          <cell r="AJ14" t="str">
            <v>GM – IM</v>
          </cell>
          <cell r="AK14" t="str">
            <v>ได้ - เสีย</v>
          </cell>
          <cell r="AL14" t="str">
            <v>A - Y</v>
          </cell>
          <cell r="AM14" t="str">
            <v>Hiệu số</v>
          </cell>
          <cell r="AN14" t="str">
            <v xml:space="preserve">М </v>
          </cell>
          <cell r="AO14" t="str">
            <v>گول کئے- انکے خلاف گول کئے گئے</v>
          </cell>
        </row>
        <row r="15">
          <cell r="A15" t="str">
            <v>PNT</v>
          </cell>
          <cell r="B15" t="str">
            <v>PIK</v>
          </cell>
          <cell r="C15" t="str">
            <v>النقاط</v>
          </cell>
          <cell r="D15" t="str">
            <v>Մ</v>
          </cell>
          <cell r="E15" t="str">
            <v>Xal</v>
          </cell>
          <cell r="F15" t="str">
            <v>Т</v>
          </cell>
          <cell r="G15" t="str">
            <v>Punts</v>
          </cell>
          <cell r="H15" t="str">
            <v>积分</v>
          </cell>
          <cell r="I15" t="str">
            <v>分數</v>
          </cell>
          <cell r="J15" t="str">
            <v>PNT</v>
          </cell>
          <cell r="K15" t="str">
            <v>Body</v>
          </cell>
          <cell r="L15" t="str">
            <v>PNT</v>
          </cell>
          <cell r="M15" t="str">
            <v>PNT</v>
          </cell>
          <cell r="N15" t="str">
            <v>PTS</v>
          </cell>
          <cell r="O15" t="str">
            <v>ქულა</v>
          </cell>
          <cell r="P15" t="str">
            <v>PKT</v>
          </cell>
          <cell r="Q15" t="str">
            <v>ΒΘ</v>
          </cell>
          <cell r="R15" t="str">
            <v>נקודות</v>
          </cell>
          <cell r="S15" t="str">
            <v>PNT</v>
          </cell>
          <cell r="T15" t="str">
            <v>Nilai</v>
          </cell>
          <cell r="U15" t="str">
            <v>Stig</v>
          </cell>
          <cell r="V15" t="str">
            <v>Punti</v>
          </cell>
          <cell r="W15" t="str">
            <v>승점</v>
          </cell>
          <cell r="X15" t="str">
            <v>Tšk</v>
          </cell>
          <cell r="Y15" t="str">
            <v>Б</v>
          </cell>
          <cell r="Z15" t="str">
            <v>P</v>
          </cell>
          <cell r="AA15" t="str">
            <v>P</v>
          </cell>
          <cell r="AB15" t="str">
            <v>امتیاز</v>
          </cell>
          <cell r="AC15" t="str">
            <v>Pkt</v>
          </cell>
          <cell r="AD15" t="str">
            <v>P</v>
          </cell>
          <cell r="AE15" t="str">
            <v>P</v>
          </cell>
          <cell r="AF15" t="str">
            <v>BOD</v>
          </cell>
          <cell r="AG15" t="str">
            <v>Body</v>
          </cell>
          <cell r="AH15" t="str">
            <v>PNT</v>
          </cell>
          <cell r="AI15" t="str">
            <v>PTS</v>
          </cell>
          <cell r="AJ15" t="str">
            <v>P</v>
          </cell>
          <cell r="AK15" t="str">
            <v>คะแนน</v>
          </cell>
          <cell r="AL15" t="str">
            <v>P</v>
          </cell>
          <cell r="AM15" t="str">
            <v>Điểm</v>
          </cell>
          <cell r="AN15" t="str">
            <v>О</v>
          </cell>
          <cell r="AO15" t="str">
            <v>نشان</v>
          </cell>
        </row>
        <row r="18">
          <cell r="A18" t="str">
            <v>Sun</v>
          </cell>
          <cell r="B18" t="str">
            <v>Diel</v>
          </cell>
          <cell r="C18" t="str">
            <v>الأحد</v>
          </cell>
          <cell r="D18" t="str">
            <v>Կիր.</v>
          </cell>
          <cell r="E18" t="str">
            <v>B</v>
          </cell>
          <cell r="F18" t="str">
            <v>Нед</v>
          </cell>
          <cell r="G18" t="str">
            <v>Diu</v>
          </cell>
          <cell r="H18" t="str">
            <v>周日</v>
          </cell>
          <cell r="I18" t="str">
            <v>Sun</v>
          </cell>
          <cell r="J18" t="str">
            <v>Ned</v>
          </cell>
          <cell r="K18" t="str">
            <v>Ne</v>
          </cell>
          <cell r="L18" t="str">
            <v>Søn</v>
          </cell>
          <cell r="M18" t="str">
            <v>Zo</v>
          </cell>
          <cell r="N18" t="str">
            <v>Dim</v>
          </cell>
          <cell r="O18" t="str">
            <v>კვირა</v>
          </cell>
          <cell r="P18" t="str">
            <v>Sun</v>
          </cell>
          <cell r="Q18" t="str">
            <v>Κυρ</v>
          </cell>
          <cell r="R18" t="str">
            <v>ראשון</v>
          </cell>
          <cell r="S18" t="str">
            <v>Vas</v>
          </cell>
          <cell r="T18" t="str">
            <v>Min</v>
          </cell>
          <cell r="U18" t="str">
            <v>Sun</v>
          </cell>
          <cell r="V18" t="str">
            <v>Dom</v>
          </cell>
          <cell r="W18" t="str">
            <v>일</v>
          </cell>
          <cell r="X18" t="str">
            <v>Sekm</v>
          </cell>
          <cell r="Y18" t="str">
            <v>Нед</v>
          </cell>
          <cell r="Z18" t="str">
            <v>Ħad</v>
          </cell>
          <cell r="AA18" t="str">
            <v>Søn</v>
          </cell>
          <cell r="AB18" t="str">
            <v>یکشنبه</v>
          </cell>
          <cell r="AC18" t="str">
            <v>Nd</v>
          </cell>
          <cell r="AD18" t="str">
            <v>Dom</v>
          </cell>
          <cell r="AE18" t="str">
            <v>Dum</v>
          </cell>
          <cell r="AF18" t="str">
            <v>Ned</v>
          </cell>
          <cell r="AG18" t="str">
            <v>Ne</v>
          </cell>
          <cell r="AH18" t="str">
            <v>Ned</v>
          </cell>
          <cell r="AI18" t="str">
            <v>Sun</v>
          </cell>
          <cell r="AJ18" t="str">
            <v>Sön</v>
          </cell>
          <cell r="AK18" t="str">
            <v>อาทิตย์</v>
          </cell>
          <cell r="AL18" t="str">
            <v>Paz</v>
          </cell>
          <cell r="AM18" t="str">
            <v>CN</v>
          </cell>
          <cell r="AN18" t="str">
            <v>Нд</v>
          </cell>
          <cell r="AO18" t="str">
            <v>اتوار</v>
          </cell>
        </row>
        <row r="19">
          <cell r="A19" t="str">
            <v>Mon</v>
          </cell>
          <cell r="B19" t="str">
            <v>Hënë</v>
          </cell>
          <cell r="C19" t="str">
            <v>الاثنين</v>
          </cell>
          <cell r="D19" t="str">
            <v>Երկ.</v>
          </cell>
          <cell r="E19" t="str">
            <v>BE</v>
          </cell>
          <cell r="F19" t="str">
            <v>Пон</v>
          </cell>
          <cell r="G19" t="str">
            <v>Dil</v>
          </cell>
          <cell r="H19" t="str">
            <v>周一</v>
          </cell>
          <cell r="I19" t="str">
            <v>Mon</v>
          </cell>
          <cell r="J19" t="str">
            <v>Pon</v>
          </cell>
          <cell r="K19" t="str">
            <v>Po</v>
          </cell>
          <cell r="L19" t="str">
            <v>Man</v>
          </cell>
          <cell r="M19" t="str">
            <v>Ma</v>
          </cell>
          <cell r="N19" t="str">
            <v>Lun</v>
          </cell>
          <cell r="O19" t="str">
            <v>ორშ</v>
          </cell>
          <cell r="P19" t="str">
            <v>Mon</v>
          </cell>
          <cell r="Q19" t="str">
            <v>Δευ</v>
          </cell>
          <cell r="R19" t="str">
            <v>שני</v>
          </cell>
          <cell r="S19" t="str">
            <v>Hét</v>
          </cell>
          <cell r="T19" t="str">
            <v>Sen</v>
          </cell>
          <cell r="U19" t="str">
            <v>Mán</v>
          </cell>
          <cell r="V19" t="str">
            <v>Lun</v>
          </cell>
          <cell r="W19" t="str">
            <v>월</v>
          </cell>
          <cell r="X19" t="str">
            <v>Pirm</v>
          </cell>
          <cell r="Y19" t="str">
            <v>Пон</v>
          </cell>
          <cell r="Z19" t="str">
            <v>Tne</v>
          </cell>
          <cell r="AA19" t="str">
            <v>Man</v>
          </cell>
          <cell r="AB19" t="str">
            <v>دوشنبه</v>
          </cell>
          <cell r="AC19" t="str">
            <v>Pn</v>
          </cell>
          <cell r="AD19" t="str">
            <v>Seg</v>
          </cell>
          <cell r="AE19" t="str">
            <v>Lun</v>
          </cell>
          <cell r="AF19" t="str">
            <v>Pon</v>
          </cell>
          <cell r="AG19" t="str">
            <v>Po</v>
          </cell>
          <cell r="AH19" t="str">
            <v>Pon</v>
          </cell>
          <cell r="AI19" t="str">
            <v>Mon</v>
          </cell>
          <cell r="AJ19" t="str">
            <v>Mån</v>
          </cell>
          <cell r="AK19" t="str">
            <v>จันทร์</v>
          </cell>
          <cell r="AL19" t="str">
            <v>Pzt</v>
          </cell>
          <cell r="AM19" t="str">
            <v>T2</v>
          </cell>
          <cell r="AN19" t="str">
            <v>Пн</v>
          </cell>
          <cell r="AO19" t="str">
            <v>پیر</v>
          </cell>
        </row>
        <row r="20">
          <cell r="A20" t="str">
            <v>Tue</v>
          </cell>
          <cell r="B20" t="str">
            <v>Mar</v>
          </cell>
          <cell r="C20" t="str">
            <v>الثلاثاء</v>
          </cell>
          <cell r="D20" t="str">
            <v>Երեք.</v>
          </cell>
          <cell r="E20" t="str">
            <v>ÇA</v>
          </cell>
          <cell r="F20" t="str">
            <v>Вт</v>
          </cell>
          <cell r="G20" t="str">
            <v>Dim</v>
          </cell>
          <cell r="H20" t="str">
            <v>周二</v>
          </cell>
          <cell r="I20" t="str">
            <v>Tue</v>
          </cell>
          <cell r="J20" t="str">
            <v>Uto</v>
          </cell>
          <cell r="K20" t="str">
            <v>Út</v>
          </cell>
          <cell r="L20" t="str">
            <v>Tir</v>
          </cell>
          <cell r="M20" t="str">
            <v>Di</v>
          </cell>
          <cell r="N20" t="str">
            <v>Mar</v>
          </cell>
          <cell r="O20" t="str">
            <v>სამშ</v>
          </cell>
          <cell r="P20" t="str">
            <v>Tue</v>
          </cell>
          <cell r="Q20" t="str">
            <v>Τρι</v>
          </cell>
          <cell r="R20" t="str">
            <v>שלישי</v>
          </cell>
          <cell r="S20" t="str">
            <v>Ke</v>
          </cell>
          <cell r="T20" t="str">
            <v>Sel</v>
          </cell>
          <cell r="U20" t="str">
            <v>Þri</v>
          </cell>
          <cell r="V20" t="str">
            <v>Mar</v>
          </cell>
          <cell r="W20" t="str">
            <v>화</v>
          </cell>
          <cell r="X20" t="str">
            <v>Antr</v>
          </cell>
          <cell r="Y20" t="str">
            <v>Вто</v>
          </cell>
          <cell r="Z20" t="str">
            <v>Tli</v>
          </cell>
          <cell r="AA20" t="str">
            <v>Tirs</v>
          </cell>
          <cell r="AB20" t="str">
            <v>سه شنبه</v>
          </cell>
          <cell r="AC20" t="str">
            <v>Wt</v>
          </cell>
          <cell r="AD20" t="str">
            <v>Ter</v>
          </cell>
          <cell r="AE20" t="str">
            <v>Mar</v>
          </cell>
          <cell r="AF20" t="str">
            <v>Uto</v>
          </cell>
          <cell r="AG20" t="str">
            <v>Ut</v>
          </cell>
          <cell r="AH20" t="str">
            <v>Tor</v>
          </cell>
          <cell r="AI20" t="str">
            <v>Tue</v>
          </cell>
          <cell r="AJ20" t="str">
            <v>Tis</v>
          </cell>
          <cell r="AK20" t="str">
            <v>อังคาร</v>
          </cell>
          <cell r="AL20" t="str">
            <v>Sal</v>
          </cell>
          <cell r="AM20" t="str">
            <v>T3</v>
          </cell>
          <cell r="AN20" t="str">
            <v>Вт</v>
          </cell>
          <cell r="AO20" t="str">
            <v>منگل</v>
          </cell>
        </row>
        <row r="21">
          <cell r="A21" t="str">
            <v>Wed</v>
          </cell>
          <cell r="B21" t="str">
            <v>Mër</v>
          </cell>
          <cell r="C21" t="str">
            <v>الأربعاء</v>
          </cell>
          <cell r="D21" t="str">
            <v>Չոր.</v>
          </cell>
          <cell r="E21" t="str">
            <v>Ç</v>
          </cell>
          <cell r="F21" t="str">
            <v>Сря</v>
          </cell>
          <cell r="G21" t="str">
            <v>Dix</v>
          </cell>
          <cell r="H21" t="str">
            <v>周三</v>
          </cell>
          <cell r="I21" t="str">
            <v>Wed</v>
          </cell>
          <cell r="J21" t="str">
            <v>Sri</v>
          </cell>
          <cell r="K21" t="str">
            <v>St</v>
          </cell>
          <cell r="L21" t="str">
            <v>Ons</v>
          </cell>
          <cell r="M21" t="str">
            <v>Wo</v>
          </cell>
          <cell r="N21" t="str">
            <v>Mer</v>
          </cell>
          <cell r="O21" t="str">
            <v>ოთხშ</v>
          </cell>
          <cell r="P21" t="str">
            <v>Wed</v>
          </cell>
          <cell r="Q21" t="str">
            <v>Τετ</v>
          </cell>
          <cell r="R21" t="str">
            <v>רביעי</v>
          </cell>
          <cell r="S21" t="str">
            <v>Sze</v>
          </cell>
          <cell r="T21" t="str">
            <v>Rab</v>
          </cell>
          <cell r="U21" t="str">
            <v>Mið</v>
          </cell>
          <cell r="V21" t="str">
            <v>Mer</v>
          </cell>
          <cell r="W21" t="str">
            <v>수</v>
          </cell>
          <cell r="X21" t="str">
            <v>Treč</v>
          </cell>
          <cell r="Y21" t="str">
            <v>Сре</v>
          </cell>
          <cell r="Z21" t="str">
            <v>Erb</v>
          </cell>
          <cell r="AA21" t="str">
            <v>Ons</v>
          </cell>
          <cell r="AB21" t="str">
            <v>چهارشنبه</v>
          </cell>
          <cell r="AC21" t="str">
            <v>Śr</v>
          </cell>
          <cell r="AD21" t="str">
            <v>Qua</v>
          </cell>
          <cell r="AE21" t="str">
            <v>Mie</v>
          </cell>
          <cell r="AF21" t="str">
            <v>Sre</v>
          </cell>
          <cell r="AG21" t="str">
            <v>St</v>
          </cell>
          <cell r="AH21" t="str">
            <v>Sre</v>
          </cell>
          <cell r="AI21" t="str">
            <v>Wed</v>
          </cell>
          <cell r="AJ21" t="str">
            <v>Ons</v>
          </cell>
          <cell r="AK21" t="str">
            <v>พุธ</v>
          </cell>
          <cell r="AL21" t="str">
            <v>Çar</v>
          </cell>
          <cell r="AM21" t="str">
            <v>T4</v>
          </cell>
          <cell r="AN21" t="str">
            <v>Ср</v>
          </cell>
          <cell r="AO21" t="str">
            <v>بدھ</v>
          </cell>
        </row>
        <row r="22">
          <cell r="A22" t="str">
            <v>Thu</v>
          </cell>
          <cell r="B22" t="str">
            <v>Enjt</v>
          </cell>
          <cell r="C22" t="str">
            <v>الخميس</v>
          </cell>
          <cell r="D22" t="str">
            <v>Հինգ.</v>
          </cell>
          <cell r="E22" t="str">
            <v>CA</v>
          </cell>
          <cell r="F22" t="str">
            <v>Четв</v>
          </cell>
          <cell r="G22" t="str">
            <v>Dij</v>
          </cell>
          <cell r="H22" t="str">
            <v>周四</v>
          </cell>
          <cell r="I22" t="str">
            <v>Thu</v>
          </cell>
          <cell r="J22" t="str">
            <v>Čet</v>
          </cell>
          <cell r="K22" t="str">
            <v>Čt</v>
          </cell>
          <cell r="L22" t="str">
            <v>Tor</v>
          </cell>
          <cell r="M22" t="str">
            <v>Do</v>
          </cell>
          <cell r="N22" t="str">
            <v>Jeu</v>
          </cell>
          <cell r="O22" t="str">
            <v>ხუთშ</v>
          </cell>
          <cell r="P22" t="str">
            <v>Thu</v>
          </cell>
          <cell r="Q22" t="str">
            <v>Πεμ</v>
          </cell>
          <cell r="R22" t="str">
            <v>חמישי</v>
          </cell>
          <cell r="S22" t="str">
            <v>Csü</v>
          </cell>
          <cell r="T22" t="str">
            <v>Kam</v>
          </cell>
          <cell r="U22" t="str">
            <v>Fim</v>
          </cell>
          <cell r="V22" t="str">
            <v>Gio</v>
          </cell>
          <cell r="W22" t="str">
            <v>목</v>
          </cell>
          <cell r="X22" t="str">
            <v>Ketv</v>
          </cell>
          <cell r="Y22" t="str">
            <v>Чет</v>
          </cell>
          <cell r="Z22" t="str">
            <v>Ħam</v>
          </cell>
          <cell r="AA22" t="str">
            <v>Tors</v>
          </cell>
          <cell r="AB22" t="str">
            <v>پنجشنبه</v>
          </cell>
          <cell r="AC22" t="str">
            <v>Cz</v>
          </cell>
          <cell r="AD22" t="str">
            <v>Qui</v>
          </cell>
          <cell r="AE22" t="str">
            <v>Joi</v>
          </cell>
          <cell r="AF22" t="str">
            <v>Čet</v>
          </cell>
          <cell r="AG22" t="str">
            <v>Št</v>
          </cell>
          <cell r="AH22" t="str">
            <v>Čet</v>
          </cell>
          <cell r="AI22" t="str">
            <v>Thu</v>
          </cell>
          <cell r="AJ22" t="str">
            <v>Tor</v>
          </cell>
          <cell r="AK22" t="str">
            <v>พฤหัส</v>
          </cell>
          <cell r="AL22" t="str">
            <v>Per</v>
          </cell>
          <cell r="AM22" t="str">
            <v>T5</v>
          </cell>
          <cell r="AN22" t="str">
            <v>Чт</v>
          </cell>
          <cell r="AO22" t="str">
            <v>جمعرات</v>
          </cell>
        </row>
        <row r="23">
          <cell r="A23" t="str">
            <v>Fri</v>
          </cell>
          <cell r="B23" t="str">
            <v>Pre</v>
          </cell>
          <cell r="C23" t="str">
            <v>الجمعة</v>
          </cell>
          <cell r="D23" t="str">
            <v>Ուրբ.</v>
          </cell>
          <cell r="E23" t="str">
            <v>C</v>
          </cell>
          <cell r="F23" t="str">
            <v>Пет</v>
          </cell>
          <cell r="G23" t="str">
            <v>Div</v>
          </cell>
          <cell r="H23" t="str">
            <v>周五</v>
          </cell>
          <cell r="I23" t="str">
            <v>Fri</v>
          </cell>
          <cell r="J23" t="str">
            <v>Pet</v>
          </cell>
          <cell r="K23" t="str">
            <v>Pá</v>
          </cell>
          <cell r="L23" t="str">
            <v>Fre</v>
          </cell>
          <cell r="M23" t="str">
            <v>Vr</v>
          </cell>
          <cell r="N23" t="str">
            <v>Ven</v>
          </cell>
          <cell r="O23" t="str">
            <v>პარ</v>
          </cell>
          <cell r="P23" t="str">
            <v>Fri</v>
          </cell>
          <cell r="Q23" t="str">
            <v>Παρ</v>
          </cell>
          <cell r="R23" t="str">
            <v>שישי</v>
          </cell>
          <cell r="S23" t="str">
            <v>Pé</v>
          </cell>
          <cell r="T23" t="str">
            <v>Jum</v>
          </cell>
          <cell r="U23" t="str">
            <v>Fös</v>
          </cell>
          <cell r="V23" t="str">
            <v>Ven</v>
          </cell>
          <cell r="W23" t="str">
            <v>금</v>
          </cell>
          <cell r="X23" t="str">
            <v>Penk</v>
          </cell>
          <cell r="Y23" t="str">
            <v>Пет</v>
          </cell>
          <cell r="Z23" t="str">
            <v>Ġim</v>
          </cell>
          <cell r="AA23" t="str">
            <v>Fre</v>
          </cell>
          <cell r="AB23" t="str">
            <v>جمعه</v>
          </cell>
          <cell r="AC23" t="str">
            <v>Pt</v>
          </cell>
          <cell r="AD23" t="str">
            <v>Sex</v>
          </cell>
          <cell r="AE23" t="str">
            <v>Vin</v>
          </cell>
          <cell r="AF23" t="str">
            <v>Pet</v>
          </cell>
          <cell r="AG23" t="str">
            <v>Pi</v>
          </cell>
          <cell r="AH23" t="str">
            <v>Pet</v>
          </cell>
          <cell r="AI23" t="str">
            <v>Fri</v>
          </cell>
          <cell r="AJ23" t="str">
            <v>Fre</v>
          </cell>
          <cell r="AK23" t="str">
            <v>ศุกร์</v>
          </cell>
          <cell r="AL23" t="str">
            <v>Cum</v>
          </cell>
          <cell r="AM23" t="str">
            <v>T6</v>
          </cell>
          <cell r="AN23" t="str">
            <v>Пт</v>
          </cell>
          <cell r="AO23" t="str">
            <v>جمعہ</v>
          </cell>
        </row>
        <row r="24">
          <cell r="A24" t="str">
            <v>Sat</v>
          </cell>
          <cell r="B24" t="str">
            <v>Sht</v>
          </cell>
          <cell r="C24" t="str">
            <v>السبت</v>
          </cell>
          <cell r="D24" t="str">
            <v>Շաբ.</v>
          </cell>
          <cell r="E24" t="str">
            <v>Ş</v>
          </cell>
          <cell r="F24" t="str">
            <v>Съб</v>
          </cell>
          <cell r="G24" t="str">
            <v>Dis</v>
          </cell>
          <cell r="H24" t="str">
            <v>周六</v>
          </cell>
          <cell r="I24" t="str">
            <v>Sat</v>
          </cell>
          <cell r="J24" t="str">
            <v>Sub</v>
          </cell>
          <cell r="K24" t="str">
            <v>So</v>
          </cell>
          <cell r="L24" t="str">
            <v>Lør</v>
          </cell>
          <cell r="M24" t="str">
            <v>Za</v>
          </cell>
          <cell r="N24" t="str">
            <v>Sam</v>
          </cell>
          <cell r="O24" t="str">
            <v>შაბ</v>
          </cell>
          <cell r="P24" t="str">
            <v>Sat</v>
          </cell>
          <cell r="Q24" t="str">
            <v>Σαβ</v>
          </cell>
          <cell r="R24" t="str">
            <v>שבת</v>
          </cell>
          <cell r="S24" t="str">
            <v>Szo</v>
          </cell>
          <cell r="T24" t="str">
            <v>Sab</v>
          </cell>
          <cell r="U24" t="str">
            <v>Lau</v>
          </cell>
          <cell r="V24" t="str">
            <v>Sab</v>
          </cell>
          <cell r="W24" t="str">
            <v>토</v>
          </cell>
          <cell r="X24" t="str">
            <v>Šešt</v>
          </cell>
          <cell r="Y24" t="str">
            <v>Саб</v>
          </cell>
          <cell r="Z24" t="str">
            <v>Sib</v>
          </cell>
          <cell r="AA24" t="str">
            <v>Lør</v>
          </cell>
          <cell r="AB24" t="str">
            <v>شنبه</v>
          </cell>
          <cell r="AC24" t="str">
            <v>So</v>
          </cell>
          <cell r="AD24" t="str">
            <v>Sab</v>
          </cell>
          <cell r="AE24" t="str">
            <v>Sam</v>
          </cell>
          <cell r="AF24" t="str">
            <v>Sub</v>
          </cell>
          <cell r="AG24" t="str">
            <v>So</v>
          </cell>
          <cell r="AH24" t="str">
            <v>Sob</v>
          </cell>
          <cell r="AI24" t="str">
            <v>Sat</v>
          </cell>
          <cell r="AJ24" t="str">
            <v>Lör</v>
          </cell>
          <cell r="AK24" t="str">
            <v>เสาร์</v>
          </cell>
          <cell r="AL24" t="str">
            <v>Cmt</v>
          </cell>
          <cell r="AM24" t="str">
            <v>T7</v>
          </cell>
          <cell r="AN24" t="str">
            <v>Сб</v>
          </cell>
          <cell r="AO24" t="str">
            <v>سنیچر</v>
          </cell>
        </row>
        <row r="25">
          <cell r="A25" t="str">
            <v>Jan</v>
          </cell>
          <cell r="B25" t="str">
            <v>Jan</v>
          </cell>
          <cell r="C25" t="str">
            <v>كانون ثاني</v>
          </cell>
          <cell r="D25" t="str">
            <v>Հունվ.</v>
          </cell>
          <cell r="E25" t="str">
            <v>Yan</v>
          </cell>
          <cell r="F25" t="str">
            <v>Януари</v>
          </cell>
          <cell r="G25" t="str">
            <v>Gen</v>
          </cell>
          <cell r="H25" t="str">
            <v>一月</v>
          </cell>
          <cell r="I25" t="str">
            <v>Jan</v>
          </cell>
          <cell r="J25" t="str">
            <v>Sij</v>
          </cell>
          <cell r="K25" t="str">
            <v>Jan</v>
          </cell>
          <cell r="L25" t="str">
            <v>Jan</v>
          </cell>
          <cell r="M25" t="str">
            <v>Jan</v>
          </cell>
          <cell r="N25" t="str">
            <v>Janv</v>
          </cell>
          <cell r="O25" t="str">
            <v>იან</v>
          </cell>
          <cell r="P25" t="str">
            <v>Jan</v>
          </cell>
          <cell r="Q25" t="str">
            <v>Ιαν</v>
          </cell>
          <cell r="R25" t="str">
            <v>ינואר</v>
          </cell>
          <cell r="S25" t="str">
            <v>Jan</v>
          </cell>
          <cell r="T25" t="str">
            <v>Jan</v>
          </cell>
          <cell r="U25" t="str">
            <v>Jan</v>
          </cell>
          <cell r="V25" t="str">
            <v>Gen</v>
          </cell>
          <cell r="W25" t="str">
            <v>1월</v>
          </cell>
          <cell r="X25" t="str">
            <v>Saus</v>
          </cell>
          <cell r="Y25" t="str">
            <v>Јан</v>
          </cell>
          <cell r="Z25" t="str">
            <v>Jan</v>
          </cell>
          <cell r="AA25" t="str">
            <v>Jan</v>
          </cell>
          <cell r="AB25" t="str">
            <v>زانویه</v>
          </cell>
          <cell r="AC25" t="str">
            <v>Sty</v>
          </cell>
          <cell r="AD25" t="str">
            <v>Jan</v>
          </cell>
          <cell r="AE25" t="str">
            <v>Ian</v>
          </cell>
          <cell r="AF25" t="str">
            <v>Jan</v>
          </cell>
          <cell r="AG25" t="str">
            <v>Jan</v>
          </cell>
          <cell r="AH25" t="str">
            <v>Jan</v>
          </cell>
          <cell r="AI25" t="str">
            <v>Ene</v>
          </cell>
          <cell r="AJ25" t="str">
            <v>jan</v>
          </cell>
          <cell r="AK25" t="str">
            <v>มกราคม</v>
          </cell>
          <cell r="AL25" t="str">
            <v>Oca</v>
          </cell>
          <cell r="AM25" t="str">
            <v>Tháng 1</v>
          </cell>
          <cell r="AN25" t="str">
            <v>Січ</v>
          </cell>
          <cell r="AO25" t="str">
            <v>جنوری</v>
          </cell>
        </row>
        <row r="26">
          <cell r="A26" t="str">
            <v>Feb</v>
          </cell>
          <cell r="B26" t="str">
            <v>Shk</v>
          </cell>
          <cell r="C26" t="str">
            <v>شباط</v>
          </cell>
          <cell r="D26" t="str">
            <v>Փետր.</v>
          </cell>
          <cell r="E26" t="str">
            <v>Fev</v>
          </cell>
          <cell r="F26" t="str">
            <v>Февруари</v>
          </cell>
          <cell r="G26" t="str">
            <v>Feb</v>
          </cell>
          <cell r="H26" t="str">
            <v>二月</v>
          </cell>
          <cell r="I26" t="str">
            <v>Feb</v>
          </cell>
          <cell r="J26" t="str">
            <v>Vel</v>
          </cell>
          <cell r="K26" t="str">
            <v>Feb</v>
          </cell>
          <cell r="L26" t="str">
            <v>Feb</v>
          </cell>
          <cell r="M26" t="str">
            <v>Feb</v>
          </cell>
          <cell r="N26" t="str">
            <v>Févr</v>
          </cell>
          <cell r="O26" t="str">
            <v>თებ</v>
          </cell>
          <cell r="P26" t="str">
            <v>Feb</v>
          </cell>
          <cell r="Q26" t="str">
            <v>Φεβ</v>
          </cell>
          <cell r="R26" t="str">
            <v>פברואר</v>
          </cell>
          <cell r="S26" t="str">
            <v>Feb</v>
          </cell>
          <cell r="T26" t="str">
            <v>Peb</v>
          </cell>
          <cell r="U26" t="str">
            <v>Feb</v>
          </cell>
          <cell r="V26" t="str">
            <v>Feb</v>
          </cell>
          <cell r="W26" t="str">
            <v>2월</v>
          </cell>
          <cell r="X26" t="str">
            <v>Vas</v>
          </cell>
          <cell r="Y26" t="str">
            <v>Фев</v>
          </cell>
          <cell r="Z26" t="str">
            <v>Fra</v>
          </cell>
          <cell r="AA26" t="str">
            <v>Feb</v>
          </cell>
          <cell r="AB26" t="str">
            <v>فوریه</v>
          </cell>
          <cell r="AC26" t="str">
            <v>Lut</v>
          </cell>
          <cell r="AD26" t="str">
            <v>Fev</v>
          </cell>
          <cell r="AE26" t="str">
            <v>Feb</v>
          </cell>
          <cell r="AF26" t="str">
            <v>Feb</v>
          </cell>
          <cell r="AG26" t="str">
            <v>Feb</v>
          </cell>
          <cell r="AH26" t="str">
            <v>Feb</v>
          </cell>
          <cell r="AI26" t="str">
            <v>Feb</v>
          </cell>
          <cell r="AJ26" t="str">
            <v>Feb</v>
          </cell>
          <cell r="AK26" t="str">
            <v>กุมภาพันธ์</v>
          </cell>
          <cell r="AL26" t="str">
            <v>Şub</v>
          </cell>
          <cell r="AM26" t="str">
            <v>Tháng 2</v>
          </cell>
          <cell r="AN26" t="str">
            <v>Лют</v>
          </cell>
          <cell r="AO26" t="str">
            <v>فروری</v>
          </cell>
        </row>
        <row r="27">
          <cell r="A27" t="str">
            <v>Mar</v>
          </cell>
          <cell r="B27" t="str">
            <v>Mar</v>
          </cell>
          <cell r="C27" t="str">
            <v>آذار</v>
          </cell>
          <cell r="D27" t="str">
            <v>Մարտ</v>
          </cell>
          <cell r="E27" t="str">
            <v>Mar</v>
          </cell>
          <cell r="F27" t="str">
            <v>Март</v>
          </cell>
          <cell r="G27" t="str">
            <v>Mar</v>
          </cell>
          <cell r="H27" t="str">
            <v>三月</v>
          </cell>
          <cell r="I27" t="str">
            <v>Mar</v>
          </cell>
          <cell r="J27" t="str">
            <v>Ožu</v>
          </cell>
          <cell r="K27" t="str">
            <v>Mar</v>
          </cell>
          <cell r="L27" t="str">
            <v>Mar</v>
          </cell>
          <cell r="M27" t="str">
            <v>Mrt</v>
          </cell>
          <cell r="N27" t="str">
            <v>Mars</v>
          </cell>
          <cell r="O27" t="str">
            <v>მარ</v>
          </cell>
          <cell r="P27" t="str">
            <v>Mrz</v>
          </cell>
          <cell r="Q27" t="str">
            <v>Μαρ</v>
          </cell>
          <cell r="R27" t="str">
            <v>מרץ</v>
          </cell>
          <cell r="S27" t="str">
            <v>Már</v>
          </cell>
          <cell r="T27" t="str">
            <v>Mar</v>
          </cell>
          <cell r="U27" t="str">
            <v>Mar</v>
          </cell>
          <cell r="V27" t="str">
            <v>Mar</v>
          </cell>
          <cell r="W27" t="str">
            <v>3월</v>
          </cell>
          <cell r="X27" t="str">
            <v>Kov</v>
          </cell>
          <cell r="Y27" t="str">
            <v>Мар</v>
          </cell>
          <cell r="Z27" t="str">
            <v>Mar</v>
          </cell>
          <cell r="AA27" t="str">
            <v>Mar</v>
          </cell>
          <cell r="AB27" t="str">
            <v>مارس</v>
          </cell>
          <cell r="AC27" t="str">
            <v>Mar</v>
          </cell>
          <cell r="AD27" t="str">
            <v>Mar</v>
          </cell>
          <cell r="AE27" t="str">
            <v>Mar</v>
          </cell>
          <cell r="AF27" t="str">
            <v>Mar</v>
          </cell>
          <cell r="AG27" t="str">
            <v>Mar</v>
          </cell>
          <cell r="AH27" t="str">
            <v>Mar</v>
          </cell>
          <cell r="AI27" t="str">
            <v>Mar</v>
          </cell>
          <cell r="AJ27" t="str">
            <v>mar</v>
          </cell>
          <cell r="AK27" t="str">
            <v>มีนาคม</v>
          </cell>
          <cell r="AL27" t="str">
            <v>Mar</v>
          </cell>
          <cell r="AM27" t="str">
            <v>Tháng 3</v>
          </cell>
          <cell r="AN27" t="str">
            <v>Бер</v>
          </cell>
          <cell r="AO27" t="str">
            <v>مارچ</v>
          </cell>
        </row>
        <row r="28">
          <cell r="A28" t="str">
            <v>Apr</v>
          </cell>
          <cell r="B28" t="str">
            <v>Pri</v>
          </cell>
          <cell r="C28" t="str">
            <v>نيسان</v>
          </cell>
          <cell r="D28" t="str">
            <v>Ապրիլ</v>
          </cell>
          <cell r="E28" t="str">
            <v>Apr</v>
          </cell>
          <cell r="F28" t="str">
            <v>Април</v>
          </cell>
          <cell r="G28" t="str">
            <v>Abr</v>
          </cell>
          <cell r="H28" t="str">
            <v>四月</v>
          </cell>
          <cell r="I28" t="str">
            <v>Apr</v>
          </cell>
          <cell r="J28" t="str">
            <v>Tra</v>
          </cell>
          <cell r="K28" t="str">
            <v>Apr</v>
          </cell>
          <cell r="L28" t="str">
            <v>Apr</v>
          </cell>
          <cell r="M28" t="str">
            <v>Apr</v>
          </cell>
          <cell r="N28" t="str">
            <v>Avr</v>
          </cell>
          <cell r="O28" t="str">
            <v>აპრ</v>
          </cell>
          <cell r="P28" t="str">
            <v>Apr</v>
          </cell>
          <cell r="Q28" t="str">
            <v>Απρ</v>
          </cell>
          <cell r="R28" t="str">
            <v>אפריל</v>
          </cell>
          <cell r="S28" t="str">
            <v>Ápr</v>
          </cell>
          <cell r="T28" t="str">
            <v>Apr</v>
          </cell>
          <cell r="U28" t="str">
            <v>Apr</v>
          </cell>
          <cell r="V28" t="str">
            <v>Apr</v>
          </cell>
          <cell r="W28" t="str">
            <v>4월</v>
          </cell>
          <cell r="X28" t="str">
            <v>Bal</v>
          </cell>
          <cell r="Y28" t="str">
            <v>Апр</v>
          </cell>
          <cell r="Z28" t="str">
            <v>Apr</v>
          </cell>
          <cell r="AA28" t="str">
            <v>Apr</v>
          </cell>
          <cell r="AB28" t="str">
            <v>آوریل</v>
          </cell>
          <cell r="AC28" t="str">
            <v>Kwi</v>
          </cell>
          <cell r="AD28" t="str">
            <v>Abr</v>
          </cell>
          <cell r="AE28" t="str">
            <v>Apr</v>
          </cell>
          <cell r="AF28" t="str">
            <v>Apr</v>
          </cell>
          <cell r="AG28" t="str">
            <v>Apr</v>
          </cell>
          <cell r="AH28" t="str">
            <v>Apr</v>
          </cell>
          <cell r="AI28" t="str">
            <v>Abr</v>
          </cell>
          <cell r="AJ28" t="str">
            <v>apr</v>
          </cell>
          <cell r="AK28" t="str">
            <v>เมษายน</v>
          </cell>
          <cell r="AL28" t="str">
            <v>Nis</v>
          </cell>
          <cell r="AM28" t="str">
            <v>Tháng 4</v>
          </cell>
          <cell r="AN28" t="str">
            <v>Квіт</v>
          </cell>
          <cell r="AO28" t="str">
            <v>اپریل</v>
          </cell>
        </row>
        <row r="29">
          <cell r="A29" t="str">
            <v>May</v>
          </cell>
          <cell r="B29" t="str">
            <v>Maj</v>
          </cell>
          <cell r="C29" t="str">
            <v>أياد</v>
          </cell>
          <cell r="D29" t="str">
            <v>Մայիս</v>
          </cell>
          <cell r="E29" t="str">
            <v>May</v>
          </cell>
          <cell r="F29" t="str">
            <v>Май</v>
          </cell>
          <cell r="G29" t="str">
            <v>Mai</v>
          </cell>
          <cell r="H29" t="str">
            <v>五月</v>
          </cell>
          <cell r="I29" t="str">
            <v>May</v>
          </cell>
          <cell r="J29" t="str">
            <v>Svi</v>
          </cell>
          <cell r="K29" t="str">
            <v>May</v>
          </cell>
          <cell r="L29" t="str">
            <v>Maj</v>
          </cell>
          <cell r="M29" t="str">
            <v>Mei</v>
          </cell>
          <cell r="N29" t="str">
            <v>Mai</v>
          </cell>
          <cell r="O29" t="str">
            <v>მაი</v>
          </cell>
          <cell r="P29" t="str">
            <v>Mai</v>
          </cell>
          <cell r="Q29" t="str">
            <v>Μαϊ</v>
          </cell>
          <cell r="R29" t="str">
            <v>מאי</v>
          </cell>
          <cell r="S29" t="str">
            <v>Máj</v>
          </cell>
          <cell r="T29" t="str">
            <v>Mei</v>
          </cell>
          <cell r="U29" t="str">
            <v>Maí</v>
          </cell>
          <cell r="V29" t="str">
            <v>Mag</v>
          </cell>
          <cell r="W29" t="str">
            <v>5월</v>
          </cell>
          <cell r="X29" t="str">
            <v>Geg</v>
          </cell>
          <cell r="Y29" t="str">
            <v>Мај</v>
          </cell>
          <cell r="Z29" t="str">
            <v>Mej</v>
          </cell>
          <cell r="AA29" t="str">
            <v>Mai</v>
          </cell>
          <cell r="AB29" t="str">
            <v>می</v>
          </cell>
          <cell r="AC29" t="str">
            <v>Maj</v>
          </cell>
          <cell r="AD29" t="str">
            <v>Mai</v>
          </cell>
          <cell r="AE29" t="str">
            <v>Mai</v>
          </cell>
          <cell r="AF29" t="str">
            <v>Maj</v>
          </cell>
          <cell r="AG29" t="str">
            <v>Máj</v>
          </cell>
          <cell r="AH29" t="str">
            <v>Maj</v>
          </cell>
          <cell r="AI29" t="str">
            <v>May</v>
          </cell>
          <cell r="AJ29" t="str">
            <v>maj</v>
          </cell>
          <cell r="AK29" t="str">
            <v>พฤษภาคม</v>
          </cell>
          <cell r="AL29" t="str">
            <v>May</v>
          </cell>
          <cell r="AM29" t="str">
            <v>Tháng 5</v>
          </cell>
          <cell r="AN29" t="str">
            <v>Трав</v>
          </cell>
          <cell r="AO29" t="str">
            <v>مئی</v>
          </cell>
        </row>
        <row r="30">
          <cell r="A30" t="str">
            <v>Jun</v>
          </cell>
          <cell r="B30" t="str">
            <v>Qer</v>
          </cell>
          <cell r="C30" t="str">
            <v>حزيران</v>
          </cell>
          <cell r="D30" t="str">
            <v>Հունիս</v>
          </cell>
          <cell r="E30" t="str">
            <v>İyn</v>
          </cell>
          <cell r="F30" t="str">
            <v>Юни</v>
          </cell>
          <cell r="G30" t="str">
            <v>Jun</v>
          </cell>
          <cell r="H30" t="str">
            <v>六月</v>
          </cell>
          <cell r="I30" t="str">
            <v>Jun</v>
          </cell>
          <cell r="J30" t="str">
            <v>Lip</v>
          </cell>
          <cell r="K30" t="str">
            <v>Čer</v>
          </cell>
          <cell r="L30" t="str">
            <v>Jun</v>
          </cell>
          <cell r="M30" t="str">
            <v>Jun</v>
          </cell>
          <cell r="N30" t="str">
            <v>Juin</v>
          </cell>
          <cell r="O30" t="str">
            <v>ივნ</v>
          </cell>
          <cell r="P30" t="str">
            <v>Jun</v>
          </cell>
          <cell r="Q30" t="str">
            <v>Ιουν</v>
          </cell>
          <cell r="R30" t="str">
            <v>יוני</v>
          </cell>
          <cell r="S30" t="str">
            <v>Jún</v>
          </cell>
          <cell r="T30" t="str">
            <v>Jun</v>
          </cell>
          <cell r="U30" t="str">
            <v>Jún</v>
          </cell>
          <cell r="V30" t="str">
            <v>Giu</v>
          </cell>
          <cell r="W30" t="str">
            <v>6월</v>
          </cell>
          <cell r="X30" t="str">
            <v>Birž</v>
          </cell>
          <cell r="Y30" t="str">
            <v>Јун</v>
          </cell>
          <cell r="Z30" t="str">
            <v>Ġun</v>
          </cell>
          <cell r="AA30" t="str">
            <v>Jun</v>
          </cell>
          <cell r="AB30" t="str">
            <v>ژوئن</v>
          </cell>
          <cell r="AC30" t="str">
            <v>Cze</v>
          </cell>
          <cell r="AD30" t="str">
            <v>Jun</v>
          </cell>
          <cell r="AE30" t="str">
            <v>Iun</v>
          </cell>
          <cell r="AF30" t="str">
            <v>Jun</v>
          </cell>
          <cell r="AG30" t="str">
            <v>Jún</v>
          </cell>
          <cell r="AH30" t="str">
            <v>Jun</v>
          </cell>
          <cell r="AI30" t="str">
            <v>Jun</v>
          </cell>
          <cell r="AJ30" t="str">
            <v>jun</v>
          </cell>
          <cell r="AK30" t="str">
            <v>มิถุนายน</v>
          </cell>
          <cell r="AL30" t="str">
            <v>Haz</v>
          </cell>
          <cell r="AM30" t="str">
            <v>Tháng 6</v>
          </cell>
          <cell r="AN30" t="str">
            <v>Черв</v>
          </cell>
          <cell r="AO30" t="str">
            <v>جون</v>
          </cell>
        </row>
        <row r="31">
          <cell r="A31" t="str">
            <v>Jul</v>
          </cell>
          <cell r="B31" t="str">
            <v>Kor</v>
          </cell>
          <cell r="C31" t="str">
            <v>تموز</v>
          </cell>
          <cell r="D31" t="str">
            <v>Հուլիս</v>
          </cell>
          <cell r="E31" t="str">
            <v>İyl</v>
          </cell>
          <cell r="F31" t="str">
            <v>Юли</v>
          </cell>
          <cell r="G31" t="str">
            <v>Jul</v>
          </cell>
          <cell r="H31" t="str">
            <v>七月</v>
          </cell>
          <cell r="I31" t="str">
            <v>Jul</v>
          </cell>
          <cell r="J31" t="str">
            <v>Srp</v>
          </cell>
          <cell r="K31" t="str">
            <v>Čec</v>
          </cell>
          <cell r="L31" t="str">
            <v>Jul</v>
          </cell>
          <cell r="M31" t="str">
            <v>Jul</v>
          </cell>
          <cell r="N31" t="str">
            <v>Juil</v>
          </cell>
          <cell r="O31" t="str">
            <v>ივლ</v>
          </cell>
          <cell r="P31" t="str">
            <v>Jul</v>
          </cell>
          <cell r="Q31" t="str">
            <v>Ιουλ</v>
          </cell>
          <cell r="R31" t="str">
            <v>יולי</v>
          </cell>
          <cell r="S31" t="str">
            <v>Júl</v>
          </cell>
          <cell r="T31" t="str">
            <v>Jul</v>
          </cell>
          <cell r="U31" t="str">
            <v>Júl</v>
          </cell>
          <cell r="V31" t="str">
            <v>Lug</v>
          </cell>
          <cell r="W31" t="str">
            <v>7월</v>
          </cell>
          <cell r="X31" t="str">
            <v>Lie</v>
          </cell>
          <cell r="Y31" t="str">
            <v>Јул</v>
          </cell>
          <cell r="Z31" t="str">
            <v>Lul</v>
          </cell>
          <cell r="AA31" t="str">
            <v>Jul</v>
          </cell>
          <cell r="AB31" t="str">
            <v>ژولای</v>
          </cell>
          <cell r="AC31" t="str">
            <v>Lip</v>
          </cell>
          <cell r="AD31" t="str">
            <v>Jul</v>
          </cell>
          <cell r="AE31" t="str">
            <v>Iul</v>
          </cell>
          <cell r="AF31" t="str">
            <v>Jul</v>
          </cell>
          <cell r="AG31" t="str">
            <v>Júl</v>
          </cell>
          <cell r="AH31" t="str">
            <v>Jul</v>
          </cell>
          <cell r="AI31" t="str">
            <v>Jul</v>
          </cell>
          <cell r="AJ31" t="str">
            <v>jul</v>
          </cell>
          <cell r="AK31" t="str">
            <v>กรกฎาคม</v>
          </cell>
          <cell r="AL31" t="str">
            <v>Tem</v>
          </cell>
          <cell r="AM31" t="str">
            <v>Tháng 7</v>
          </cell>
          <cell r="AN31" t="str">
            <v>Лип</v>
          </cell>
          <cell r="AO31" t="str">
            <v>جولائی</v>
          </cell>
        </row>
        <row r="32">
          <cell r="A32" t="str">
            <v>Aug</v>
          </cell>
          <cell r="B32" t="str">
            <v>Gus</v>
          </cell>
          <cell r="C32" t="str">
            <v>آب</v>
          </cell>
          <cell r="D32" t="str">
            <v>Օգոս.</v>
          </cell>
          <cell r="E32" t="str">
            <v>Avq</v>
          </cell>
          <cell r="F32" t="str">
            <v>Август</v>
          </cell>
          <cell r="G32" t="str">
            <v>Ago</v>
          </cell>
          <cell r="H32" t="str">
            <v>八月</v>
          </cell>
          <cell r="I32" t="str">
            <v>Aug</v>
          </cell>
          <cell r="J32" t="str">
            <v>Kol</v>
          </cell>
          <cell r="K32" t="str">
            <v>Aug</v>
          </cell>
          <cell r="L32" t="str">
            <v>Aug</v>
          </cell>
          <cell r="M32" t="str">
            <v>Aug</v>
          </cell>
          <cell r="N32" t="str">
            <v>Août</v>
          </cell>
          <cell r="O32" t="str">
            <v>აგვ</v>
          </cell>
          <cell r="P32" t="str">
            <v>Aug</v>
          </cell>
          <cell r="Q32" t="str">
            <v>Αυγ</v>
          </cell>
          <cell r="R32" t="str">
            <v>אוגוסט</v>
          </cell>
          <cell r="S32" t="str">
            <v>Aug</v>
          </cell>
          <cell r="T32" t="str">
            <v>Agu</v>
          </cell>
          <cell r="U32" t="str">
            <v>Ágú</v>
          </cell>
          <cell r="V32" t="str">
            <v>Ago</v>
          </cell>
          <cell r="W32" t="str">
            <v>8월</v>
          </cell>
          <cell r="X32" t="str">
            <v>Rugp</v>
          </cell>
          <cell r="Y32" t="str">
            <v>Авг</v>
          </cell>
          <cell r="Z32" t="str">
            <v>Aww</v>
          </cell>
          <cell r="AA32" t="str">
            <v>Aug</v>
          </cell>
          <cell r="AB32" t="str">
            <v>اگوست</v>
          </cell>
          <cell r="AC32" t="str">
            <v>Się</v>
          </cell>
          <cell r="AD32" t="str">
            <v>Ago</v>
          </cell>
          <cell r="AE32" t="str">
            <v>Aug</v>
          </cell>
          <cell r="AF32" t="str">
            <v>Avg</v>
          </cell>
          <cell r="AG32" t="str">
            <v>Aug</v>
          </cell>
          <cell r="AH32" t="str">
            <v>Avg</v>
          </cell>
          <cell r="AI32" t="str">
            <v>Ago</v>
          </cell>
          <cell r="AJ32" t="str">
            <v>Aug</v>
          </cell>
          <cell r="AK32" t="str">
            <v>สิงหาคม</v>
          </cell>
          <cell r="AL32" t="str">
            <v>Ağu</v>
          </cell>
          <cell r="AM32" t="str">
            <v>Tháng 8</v>
          </cell>
          <cell r="AN32" t="str">
            <v>Серп</v>
          </cell>
          <cell r="AO32" t="str">
            <v>اگست</v>
          </cell>
        </row>
        <row r="33">
          <cell r="A33" t="str">
            <v>Sep</v>
          </cell>
          <cell r="B33" t="str">
            <v>Shta</v>
          </cell>
          <cell r="C33" t="str">
            <v>أيلول</v>
          </cell>
          <cell r="D33" t="str">
            <v>Սեպտ.</v>
          </cell>
          <cell r="E33" t="str">
            <v>Sen</v>
          </cell>
          <cell r="F33" t="str">
            <v>Септември</v>
          </cell>
          <cell r="G33" t="str">
            <v>Set</v>
          </cell>
          <cell r="H33" t="str">
            <v>九月</v>
          </cell>
          <cell r="I33" t="str">
            <v>Sep</v>
          </cell>
          <cell r="J33" t="str">
            <v>Ruj</v>
          </cell>
          <cell r="K33" t="str">
            <v>Sep</v>
          </cell>
          <cell r="L33" t="str">
            <v>Sep</v>
          </cell>
          <cell r="M33" t="str">
            <v>Sep</v>
          </cell>
          <cell r="N33" t="str">
            <v>Sept</v>
          </cell>
          <cell r="O33" t="str">
            <v>სექ</v>
          </cell>
          <cell r="P33" t="str">
            <v>Sep</v>
          </cell>
          <cell r="Q33" t="str">
            <v>Σεπ</v>
          </cell>
          <cell r="R33" t="str">
            <v>ספטמבר</v>
          </cell>
          <cell r="S33" t="str">
            <v>Szep</v>
          </cell>
          <cell r="T33" t="str">
            <v>Sep</v>
          </cell>
          <cell r="U33" t="str">
            <v>Sep</v>
          </cell>
          <cell r="V33" t="str">
            <v>Set</v>
          </cell>
          <cell r="W33" t="str">
            <v>9월</v>
          </cell>
          <cell r="X33" t="str">
            <v>Rugs</v>
          </cell>
          <cell r="Y33" t="str">
            <v>Сеп</v>
          </cell>
          <cell r="Z33" t="str">
            <v>Set</v>
          </cell>
          <cell r="AA33" t="str">
            <v>Sep</v>
          </cell>
          <cell r="AB33" t="str">
            <v>سپتامبر</v>
          </cell>
          <cell r="AC33" t="str">
            <v>Wrz</v>
          </cell>
          <cell r="AD33" t="str">
            <v>Set</v>
          </cell>
          <cell r="AE33" t="str">
            <v>Sep</v>
          </cell>
          <cell r="AF33" t="str">
            <v>Sep</v>
          </cell>
          <cell r="AG33" t="str">
            <v>Sep</v>
          </cell>
          <cell r="AH33" t="str">
            <v>Sep</v>
          </cell>
          <cell r="AI33" t="str">
            <v>Sep</v>
          </cell>
          <cell r="AJ33" t="str">
            <v>sep</v>
          </cell>
          <cell r="AK33" t="str">
            <v>กันยายน</v>
          </cell>
          <cell r="AL33" t="str">
            <v>Eyl</v>
          </cell>
          <cell r="AM33" t="str">
            <v>Tháng 9</v>
          </cell>
          <cell r="AN33" t="str">
            <v>Вер</v>
          </cell>
          <cell r="AO33" t="str">
            <v>ستمبر</v>
          </cell>
        </row>
        <row r="34">
          <cell r="A34" t="str">
            <v>Oct</v>
          </cell>
          <cell r="B34" t="str">
            <v>Tet</v>
          </cell>
          <cell r="C34" t="str">
            <v>تشرين أول</v>
          </cell>
          <cell r="D34" t="str">
            <v>Հոկտ.</v>
          </cell>
          <cell r="E34" t="str">
            <v>Okt</v>
          </cell>
          <cell r="F34" t="str">
            <v>Октомври</v>
          </cell>
          <cell r="G34" t="str">
            <v>Oct</v>
          </cell>
          <cell r="H34" t="str">
            <v>十月</v>
          </cell>
          <cell r="I34" t="str">
            <v>Oct</v>
          </cell>
          <cell r="J34" t="str">
            <v>Lis</v>
          </cell>
          <cell r="K34" t="str">
            <v>Oct</v>
          </cell>
          <cell r="L34" t="str">
            <v>Okt</v>
          </cell>
          <cell r="M34" t="str">
            <v>Okt</v>
          </cell>
          <cell r="N34" t="str">
            <v>Oct</v>
          </cell>
          <cell r="O34" t="str">
            <v>ოქტ</v>
          </cell>
          <cell r="P34" t="str">
            <v>Okt</v>
          </cell>
          <cell r="Q34" t="str">
            <v>Οκτ</v>
          </cell>
          <cell r="R34" t="str">
            <v>אוקטובר</v>
          </cell>
          <cell r="S34" t="str">
            <v>Okt</v>
          </cell>
          <cell r="T34" t="str">
            <v>Okt</v>
          </cell>
          <cell r="U34" t="str">
            <v>Okt</v>
          </cell>
          <cell r="V34" t="str">
            <v>Ott</v>
          </cell>
          <cell r="W34" t="str">
            <v>10월</v>
          </cell>
          <cell r="X34" t="str">
            <v>Spa</v>
          </cell>
          <cell r="Y34" t="str">
            <v>Окт</v>
          </cell>
          <cell r="Z34" t="str">
            <v>Ott</v>
          </cell>
          <cell r="AA34" t="str">
            <v>Okt</v>
          </cell>
          <cell r="AB34" t="str">
            <v>اکتبر</v>
          </cell>
          <cell r="AC34" t="str">
            <v>Paź</v>
          </cell>
          <cell r="AD34" t="str">
            <v>Out</v>
          </cell>
          <cell r="AE34" t="str">
            <v>Oct</v>
          </cell>
          <cell r="AF34" t="str">
            <v>Okt</v>
          </cell>
          <cell r="AG34" t="str">
            <v>Okt</v>
          </cell>
          <cell r="AH34" t="str">
            <v>Oct</v>
          </cell>
          <cell r="AI34" t="str">
            <v>Oct</v>
          </cell>
          <cell r="AJ34" t="str">
            <v>okt</v>
          </cell>
          <cell r="AK34" t="str">
            <v>ตุลาคม</v>
          </cell>
          <cell r="AL34" t="str">
            <v>Eki</v>
          </cell>
          <cell r="AM34" t="str">
            <v>Tháng 10</v>
          </cell>
          <cell r="AN34" t="str">
            <v>Жовт</v>
          </cell>
          <cell r="AO34" t="str">
            <v>اکتوبر</v>
          </cell>
        </row>
        <row r="35">
          <cell r="A35" t="str">
            <v>Nov</v>
          </cell>
          <cell r="B35" t="str">
            <v>Nën</v>
          </cell>
          <cell r="C35" t="str">
            <v>تشرين ثاني</v>
          </cell>
          <cell r="D35" t="str">
            <v>Նոյեմ.</v>
          </cell>
          <cell r="E35" t="str">
            <v>Noy</v>
          </cell>
          <cell r="F35" t="str">
            <v>Ноември</v>
          </cell>
          <cell r="G35" t="str">
            <v>Nov</v>
          </cell>
          <cell r="H35" t="str">
            <v>十一月</v>
          </cell>
          <cell r="I35" t="str">
            <v>Nov</v>
          </cell>
          <cell r="J35" t="str">
            <v>Stu</v>
          </cell>
          <cell r="K35" t="str">
            <v>Nov</v>
          </cell>
          <cell r="L35" t="str">
            <v>Nov</v>
          </cell>
          <cell r="M35" t="str">
            <v>Nov</v>
          </cell>
          <cell r="N35" t="str">
            <v>Nov</v>
          </cell>
          <cell r="O35" t="str">
            <v>ნოე</v>
          </cell>
          <cell r="P35" t="str">
            <v>Nov</v>
          </cell>
          <cell r="Q35" t="str">
            <v>Νοε</v>
          </cell>
          <cell r="R35" t="str">
            <v>נובמבר</v>
          </cell>
          <cell r="S35" t="str">
            <v>Nov</v>
          </cell>
          <cell r="T35" t="str">
            <v>Nop</v>
          </cell>
          <cell r="U35" t="str">
            <v>Nóv</v>
          </cell>
          <cell r="V35" t="str">
            <v>Nov</v>
          </cell>
          <cell r="W35" t="str">
            <v>11월</v>
          </cell>
          <cell r="X35" t="str">
            <v>Lapk</v>
          </cell>
          <cell r="Y35" t="str">
            <v>Ное</v>
          </cell>
          <cell r="Z35" t="str">
            <v>Nov</v>
          </cell>
          <cell r="AA35" t="str">
            <v>Nov</v>
          </cell>
          <cell r="AB35" t="str">
            <v>نوامبر</v>
          </cell>
          <cell r="AC35" t="str">
            <v>Lis</v>
          </cell>
          <cell r="AD35" t="str">
            <v>Nov</v>
          </cell>
          <cell r="AE35" t="str">
            <v>Noi</v>
          </cell>
          <cell r="AF35" t="str">
            <v>Nov</v>
          </cell>
          <cell r="AG35" t="str">
            <v>Nov</v>
          </cell>
          <cell r="AH35" t="str">
            <v>Nov</v>
          </cell>
          <cell r="AI35" t="str">
            <v>Nov</v>
          </cell>
          <cell r="AJ35" t="str">
            <v>nov</v>
          </cell>
          <cell r="AK35" t="str">
            <v>พฤศจิกายน</v>
          </cell>
          <cell r="AL35" t="str">
            <v>Kas</v>
          </cell>
          <cell r="AM35" t="str">
            <v>Tháng 11</v>
          </cell>
          <cell r="AN35" t="str">
            <v>Лист</v>
          </cell>
          <cell r="AO35" t="str">
            <v>نومبر</v>
          </cell>
        </row>
        <row r="36">
          <cell r="A36" t="str">
            <v>Dec</v>
          </cell>
          <cell r="B36" t="str">
            <v>Dhj</v>
          </cell>
          <cell r="C36" t="str">
            <v>كانون أول</v>
          </cell>
          <cell r="D36" t="str">
            <v>Դեկտ.</v>
          </cell>
          <cell r="E36" t="str">
            <v>Dek</v>
          </cell>
          <cell r="F36" t="str">
            <v>Декември</v>
          </cell>
          <cell r="G36" t="str">
            <v>Des</v>
          </cell>
          <cell r="H36" t="str">
            <v>十二月</v>
          </cell>
          <cell r="I36" t="str">
            <v>Dec</v>
          </cell>
          <cell r="J36" t="str">
            <v>Pro</v>
          </cell>
          <cell r="K36" t="str">
            <v>Dec</v>
          </cell>
          <cell r="L36" t="str">
            <v>Dec</v>
          </cell>
          <cell r="M36" t="str">
            <v>Dec</v>
          </cell>
          <cell r="N36" t="str">
            <v>Déc</v>
          </cell>
          <cell r="O36" t="str">
            <v>დეკ</v>
          </cell>
          <cell r="P36" t="str">
            <v>Dez</v>
          </cell>
          <cell r="Q36" t="str">
            <v>Δεκ</v>
          </cell>
          <cell r="R36" t="str">
            <v>דצמבר</v>
          </cell>
          <cell r="S36" t="str">
            <v>Dec</v>
          </cell>
          <cell r="T36" t="str">
            <v>Des</v>
          </cell>
          <cell r="U36" t="str">
            <v>Des</v>
          </cell>
          <cell r="V36" t="str">
            <v>Dic</v>
          </cell>
          <cell r="W36" t="str">
            <v>12월</v>
          </cell>
          <cell r="X36" t="str">
            <v>Gruo</v>
          </cell>
          <cell r="Y36" t="str">
            <v>Дек</v>
          </cell>
          <cell r="Z36" t="str">
            <v>Deċ</v>
          </cell>
          <cell r="AA36" t="str">
            <v>Des</v>
          </cell>
          <cell r="AB36" t="str">
            <v>دسامبر</v>
          </cell>
          <cell r="AC36" t="str">
            <v>Gru</v>
          </cell>
          <cell r="AD36" t="str">
            <v>Dez</v>
          </cell>
          <cell r="AE36" t="str">
            <v>Dec</v>
          </cell>
          <cell r="AF36" t="str">
            <v>Dec</v>
          </cell>
          <cell r="AG36" t="str">
            <v>Dec</v>
          </cell>
          <cell r="AH36" t="str">
            <v>Dec</v>
          </cell>
          <cell r="AI36" t="str">
            <v>Dic</v>
          </cell>
          <cell r="AJ36" t="str">
            <v>dec</v>
          </cell>
          <cell r="AK36" t="str">
            <v>ธันวาคม</v>
          </cell>
          <cell r="AL36" t="str">
            <v>Ara</v>
          </cell>
          <cell r="AM36" t="str">
            <v>Tháng 12</v>
          </cell>
          <cell r="AN36" t="str">
            <v>Груд</v>
          </cell>
          <cell r="AO36" t="str">
            <v>دسمبر</v>
          </cell>
        </row>
        <row r="37">
          <cell r="A37" t="str">
            <v>Team</v>
          </cell>
          <cell r="B37" t="str">
            <v>Ekipi</v>
          </cell>
          <cell r="C37" t="str">
            <v>المنتخب</v>
          </cell>
          <cell r="D37" t="str">
            <v>Հավաքական</v>
          </cell>
          <cell r="E37" t="str">
            <v>Komanda</v>
          </cell>
          <cell r="F37" t="str">
            <v>Отбор</v>
          </cell>
          <cell r="G37" t="str">
            <v>Equip</v>
          </cell>
          <cell r="H37" t="str">
            <v>球队</v>
          </cell>
          <cell r="I37" t="str">
            <v>隊伍</v>
          </cell>
          <cell r="J37" t="str">
            <v>Team</v>
          </cell>
          <cell r="K37" t="str">
            <v>Team</v>
          </cell>
          <cell r="L37" t="str">
            <v>Hold</v>
          </cell>
          <cell r="M37" t="str">
            <v>Team</v>
          </cell>
          <cell r="N37" t="str">
            <v>Équipe</v>
          </cell>
          <cell r="O37" t="str">
            <v>ნაკრები</v>
          </cell>
          <cell r="P37" t="str">
            <v>Team</v>
          </cell>
          <cell r="Q37" t="str">
            <v>Ομάδα</v>
          </cell>
          <cell r="R37" t="str">
            <v>קבוצה</v>
          </cell>
          <cell r="S37" t="str">
            <v>Csapat</v>
          </cell>
          <cell r="T37" t="str">
            <v>Tim</v>
          </cell>
          <cell r="U37" t="str">
            <v>Lið</v>
          </cell>
          <cell r="V37" t="str">
            <v>Squadra</v>
          </cell>
          <cell r="W37" t="str">
            <v>팀</v>
          </cell>
          <cell r="X37" t="str">
            <v>Komanda</v>
          </cell>
          <cell r="Y37" t="str">
            <v>Тим</v>
          </cell>
          <cell r="Z37" t="str">
            <v>Tim</v>
          </cell>
          <cell r="AA37" t="str">
            <v>Lag</v>
          </cell>
          <cell r="AB37" t="str">
            <v>تیم</v>
          </cell>
          <cell r="AC37" t="str">
            <v>Drużyna</v>
          </cell>
          <cell r="AD37" t="str">
            <v>Equipa</v>
          </cell>
          <cell r="AE37" t="str">
            <v>Echipa</v>
          </cell>
          <cell r="AF37" t="str">
            <v>Reprezentacija</v>
          </cell>
          <cell r="AG37" t="str">
            <v>Mužstvo</v>
          </cell>
          <cell r="AH37" t="str">
            <v>Moštvo</v>
          </cell>
          <cell r="AI37" t="str">
            <v>Equipo</v>
          </cell>
          <cell r="AJ37" t="str">
            <v>Lag</v>
          </cell>
          <cell r="AK37" t="str">
            <v>ทึม</v>
          </cell>
          <cell r="AL37" t="str">
            <v>Takım</v>
          </cell>
          <cell r="AM37" t="str">
            <v>Đội</v>
          </cell>
          <cell r="AN37" t="str">
            <v>Команда</v>
          </cell>
          <cell r="AO37" t="str">
            <v>ٹیم</v>
          </cell>
        </row>
        <row r="38">
          <cell r="A38" t="str">
            <v>Albania</v>
          </cell>
          <cell r="B38" t="str">
            <v>Shqipëri</v>
          </cell>
          <cell r="C38" t="str">
            <v>ألبانيا</v>
          </cell>
          <cell r="D38" t="str">
            <v>Ալբանիա</v>
          </cell>
          <cell r="E38" t="str">
            <v>Albaniya</v>
          </cell>
          <cell r="F38" t="str">
            <v>Албания</v>
          </cell>
          <cell r="G38" t="str">
            <v>Albània</v>
          </cell>
          <cell r="H38" t="str">
            <v>阿尔巴尼亚</v>
          </cell>
          <cell r="I38" t="str">
            <v>阿爾巴尼亞</v>
          </cell>
          <cell r="J38" t="str">
            <v>Albanija</v>
          </cell>
          <cell r="K38" t="str">
            <v>Albánie</v>
          </cell>
          <cell r="L38" t="str">
            <v>Albanien</v>
          </cell>
          <cell r="M38" t="str">
            <v>Albanië</v>
          </cell>
          <cell r="N38" t="str">
            <v>Albanie</v>
          </cell>
          <cell r="O38" t="str">
            <v>Albania</v>
          </cell>
          <cell r="P38" t="str">
            <v>Albanien</v>
          </cell>
          <cell r="Q38" t="str">
            <v>Αλβανία</v>
          </cell>
          <cell r="R38" t="str">
            <v>אלבניה</v>
          </cell>
          <cell r="S38" t="str">
            <v>Albánia</v>
          </cell>
          <cell r="T38" t="str">
            <v>Albania</v>
          </cell>
          <cell r="U38" t="str">
            <v>Albanía</v>
          </cell>
          <cell r="V38" t="str">
            <v>Albania</v>
          </cell>
          <cell r="W38" t="str">
            <v>알바니아</v>
          </cell>
          <cell r="X38" t="str">
            <v>Albanija</v>
          </cell>
          <cell r="Y38" t="str">
            <v>Албанија</v>
          </cell>
          <cell r="Z38" t="str">
            <v>Albanija</v>
          </cell>
          <cell r="AA38" t="str">
            <v>Albania</v>
          </cell>
          <cell r="AB38" t="str">
            <v>آلبانی</v>
          </cell>
          <cell r="AC38" t="str">
            <v>Albania</v>
          </cell>
          <cell r="AD38" t="str">
            <v>Albânia</v>
          </cell>
          <cell r="AE38" t="str">
            <v>Albania</v>
          </cell>
          <cell r="AF38" t="str">
            <v>Албанија</v>
          </cell>
          <cell r="AG38" t="str">
            <v>Albánsko</v>
          </cell>
          <cell r="AH38" t="str">
            <v>Albanija</v>
          </cell>
          <cell r="AI38" t="str">
            <v>Albania</v>
          </cell>
          <cell r="AJ38" t="str">
            <v>albanien</v>
          </cell>
          <cell r="AK38" t="str">
            <v>แอลเบเนีย</v>
          </cell>
          <cell r="AL38" t="str">
            <v>Arnavutluk</v>
          </cell>
          <cell r="AM38" t="str">
            <v>Albania</v>
          </cell>
          <cell r="AN38" t="str">
            <v>Албанія</v>
          </cell>
          <cell r="AO38" t="str">
            <v>البانیا</v>
          </cell>
        </row>
        <row r="39">
          <cell r="A39" t="str">
            <v>Romania</v>
          </cell>
          <cell r="B39" t="str">
            <v>Rumani</v>
          </cell>
          <cell r="C39" t="str">
            <v>رومانيا</v>
          </cell>
          <cell r="D39" t="str">
            <v>Ռումինիա</v>
          </cell>
          <cell r="E39" t="str">
            <v>Rumıniya</v>
          </cell>
          <cell r="F39" t="str">
            <v>Румъния</v>
          </cell>
          <cell r="G39" t="str">
            <v>Romania</v>
          </cell>
          <cell r="H39" t="str">
            <v>罗马尼亚</v>
          </cell>
          <cell r="I39" t="str">
            <v>羅馬尼亞</v>
          </cell>
          <cell r="J39" t="str">
            <v>Rumunija</v>
          </cell>
          <cell r="K39" t="str">
            <v>Rumunsko</v>
          </cell>
          <cell r="L39" t="str">
            <v>Rumænien</v>
          </cell>
          <cell r="M39" t="str">
            <v>Roemenië</v>
          </cell>
          <cell r="N39" t="str">
            <v>Roumanie</v>
          </cell>
          <cell r="O39" t="str">
            <v>რუმინეთი</v>
          </cell>
          <cell r="P39" t="str">
            <v>Rumänien</v>
          </cell>
          <cell r="Q39" t="str">
            <v>Ρουμανία</v>
          </cell>
          <cell r="R39" t="str">
            <v>רומני</v>
          </cell>
          <cell r="S39" t="str">
            <v>Románia</v>
          </cell>
          <cell r="T39" t="str">
            <v>Rumania</v>
          </cell>
          <cell r="U39" t="str">
            <v>rúmenía</v>
          </cell>
          <cell r="V39" t="str">
            <v>Romania</v>
          </cell>
          <cell r="W39" t="str">
            <v>루마니아</v>
          </cell>
          <cell r="X39" t="str">
            <v>Rumunija</v>
          </cell>
          <cell r="Y39" t="str">
            <v>Романија</v>
          </cell>
          <cell r="Z39" t="str">
            <v>Ir-Rumanija</v>
          </cell>
          <cell r="AA39" t="str">
            <v>Romania</v>
          </cell>
          <cell r="AB39" t="str">
            <v>رومانی</v>
          </cell>
          <cell r="AC39" t="str">
            <v>Rumunia</v>
          </cell>
          <cell r="AD39" t="str">
            <v>Romênia</v>
          </cell>
          <cell r="AE39" t="str">
            <v>România</v>
          </cell>
          <cell r="AF39" t="str">
            <v>Румунија</v>
          </cell>
          <cell r="AG39" t="str">
            <v>Rumunsko</v>
          </cell>
          <cell r="AH39" t="str">
            <v>Romunija</v>
          </cell>
          <cell r="AI39" t="str">
            <v>Rumania</v>
          </cell>
          <cell r="AJ39" t="str">
            <v>rumänien</v>
          </cell>
          <cell r="AK39" t="str">
            <v>โรมาเนีย</v>
          </cell>
          <cell r="AL39" t="str">
            <v>Romanya</v>
          </cell>
          <cell r="AM39" t="str">
            <v>Romania</v>
          </cell>
          <cell r="AN39" t="str">
            <v>Румунія</v>
          </cell>
          <cell r="AO39" t="str">
            <v>رومانیہ</v>
          </cell>
        </row>
        <row r="40">
          <cell r="A40" t="str">
            <v>Spain</v>
          </cell>
          <cell r="B40" t="str">
            <v>Spanjë</v>
          </cell>
          <cell r="C40" t="str">
            <v>إسبانيا</v>
          </cell>
          <cell r="D40" t="str">
            <v>Իսպանիա</v>
          </cell>
          <cell r="E40" t="str">
            <v>İspaniya</v>
          </cell>
          <cell r="F40" t="str">
            <v>Испания</v>
          </cell>
          <cell r="G40" t="str">
            <v>Espanya</v>
          </cell>
          <cell r="H40" t="str">
            <v>西班牙</v>
          </cell>
          <cell r="I40" t="str">
            <v>西班牙</v>
          </cell>
          <cell r="J40" t="str">
            <v>Španjolska</v>
          </cell>
          <cell r="K40" t="str">
            <v>Španělsko</v>
          </cell>
          <cell r="L40" t="str">
            <v>Spanien</v>
          </cell>
          <cell r="M40" t="str">
            <v>Spanje</v>
          </cell>
          <cell r="N40" t="str">
            <v>Espagne</v>
          </cell>
          <cell r="O40" t="str">
            <v>ესპანეთში</v>
          </cell>
          <cell r="P40" t="str">
            <v>Spanien</v>
          </cell>
          <cell r="Q40" t="str">
            <v>Ισπανία</v>
          </cell>
          <cell r="R40" t="str">
            <v>ספרד</v>
          </cell>
          <cell r="S40" t="str">
            <v>Spanyolország</v>
          </cell>
          <cell r="T40" t="str">
            <v>Spanyol</v>
          </cell>
          <cell r="U40" t="str">
            <v>spain</v>
          </cell>
          <cell r="V40" t="str">
            <v>Spagna</v>
          </cell>
          <cell r="W40" t="str">
            <v>스페인</v>
          </cell>
          <cell r="X40" t="str">
            <v>Ispanija</v>
          </cell>
          <cell r="Y40" t="str">
            <v>Шпанија</v>
          </cell>
          <cell r="Z40" t="str">
            <v>Spanja</v>
          </cell>
          <cell r="AA40" t="str">
            <v>Spania</v>
          </cell>
          <cell r="AB40" t="str">
            <v>کشور اسپانیا</v>
          </cell>
          <cell r="AC40" t="str">
            <v>Hiszpania</v>
          </cell>
          <cell r="AD40" t="str">
            <v>Espanha</v>
          </cell>
          <cell r="AE40" t="str">
            <v>Spania</v>
          </cell>
          <cell r="AF40" t="str">
            <v>Шпанија</v>
          </cell>
          <cell r="AG40" t="str">
            <v>španielsko</v>
          </cell>
          <cell r="AH40" t="str">
            <v>Španija</v>
          </cell>
          <cell r="AI40" t="str">
            <v>España</v>
          </cell>
          <cell r="AJ40" t="str">
            <v>Spanien</v>
          </cell>
          <cell r="AK40" t="str">
            <v>สเปน</v>
          </cell>
          <cell r="AL40" t="str">
            <v>İspanya</v>
          </cell>
          <cell r="AM40" t="str">
            <v>Tây ban nha</v>
          </cell>
          <cell r="AN40" t="str">
            <v>Іспанія</v>
          </cell>
          <cell r="AO40" t="str">
            <v>سپین</v>
          </cell>
        </row>
        <row r="41">
          <cell r="A41" t="str">
            <v>Italy</v>
          </cell>
          <cell r="B41" t="str">
            <v>Itali</v>
          </cell>
          <cell r="C41" t="str">
            <v>إيطاليا</v>
          </cell>
          <cell r="D41" t="str">
            <v>Իտալիա</v>
          </cell>
          <cell r="E41" t="str">
            <v>İtaliya</v>
          </cell>
          <cell r="F41" t="str">
            <v>Италия</v>
          </cell>
          <cell r="G41" t="str">
            <v>Itàlia</v>
          </cell>
          <cell r="H41" t="str">
            <v>意大利</v>
          </cell>
          <cell r="I41" t="str">
            <v>意大利</v>
          </cell>
          <cell r="J41" t="str">
            <v>Italija</v>
          </cell>
          <cell r="K41" t="str">
            <v>Itálie</v>
          </cell>
          <cell r="L41" t="str">
            <v>Italien</v>
          </cell>
          <cell r="M41" t="str">
            <v>Italië</v>
          </cell>
          <cell r="N41" t="str">
            <v>Italie</v>
          </cell>
          <cell r="O41" t="str">
            <v>იტალიაში</v>
          </cell>
          <cell r="P41" t="str">
            <v>Italien</v>
          </cell>
          <cell r="Q41" t="str">
            <v>Ιταλία</v>
          </cell>
          <cell r="R41" t="str">
            <v>איטליה</v>
          </cell>
          <cell r="S41" t="str">
            <v>Olaszország</v>
          </cell>
          <cell r="T41" t="str">
            <v>Italia</v>
          </cell>
          <cell r="U41" t="str">
            <v>Italy</v>
          </cell>
          <cell r="V41" t="str">
            <v>Italia</v>
          </cell>
          <cell r="W41" t="str">
            <v>이탈리아</v>
          </cell>
          <cell r="X41" t="str">
            <v>Italija</v>
          </cell>
          <cell r="Y41" t="str">
            <v>Италија</v>
          </cell>
          <cell r="Z41" t="str">
            <v>Italja</v>
          </cell>
          <cell r="AA41" t="str">
            <v>Italia</v>
          </cell>
          <cell r="AB41" t="str">
            <v>ایتالیا</v>
          </cell>
          <cell r="AC41" t="str">
            <v>Włochy</v>
          </cell>
          <cell r="AD41" t="str">
            <v>Itália</v>
          </cell>
          <cell r="AE41" t="str">
            <v>Italia</v>
          </cell>
          <cell r="AF41" t="str">
            <v>Италија</v>
          </cell>
          <cell r="AG41" t="str">
            <v>taliansko</v>
          </cell>
          <cell r="AH41" t="str">
            <v>Italija</v>
          </cell>
          <cell r="AI41" t="str">
            <v>Italia</v>
          </cell>
          <cell r="AJ41" t="str">
            <v>Italien</v>
          </cell>
          <cell r="AK41" t="str">
            <v>อิตาลี</v>
          </cell>
          <cell r="AL41" t="str">
            <v>İtalya</v>
          </cell>
          <cell r="AM41" t="str">
            <v>Ý</v>
          </cell>
          <cell r="AN41" t="str">
            <v>Італія</v>
          </cell>
          <cell r="AO41" t="str">
            <v>اٹلی</v>
          </cell>
        </row>
        <row r="42">
          <cell r="A42" t="str">
            <v>Portugal</v>
          </cell>
          <cell r="B42" t="str">
            <v>Portugali</v>
          </cell>
          <cell r="C42" t="str">
            <v>البرتغال</v>
          </cell>
          <cell r="D42" t="str">
            <v>Պորտուգալիա</v>
          </cell>
          <cell r="E42" t="str">
            <v>Portuqaliya</v>
          </cell>
          <cell r="F42" t="str">
            <v>Португалия</v>
          </cell>
          <cell r="G42" t="str">
            <v>Portugal</v>
          </cell>
          <cell r="H42" t="str">
            <v>葡萄牙</v>
          </cell>
          <cell r="I42" t="str">
            <v>葡萄牙</v>
          </cell>
          <cell r="J42" t="str">
            <v>Portugalija</v>
          </cell>
          <cell r="K42" t="str">
            <v>Portugalsko</v>
          </cell>
          <cell r="L42" t="str">
            <v>Portugal</v>
          </cell>
          <cell r="M42" t="str">
            <v>Portugal</v>
          </cell>
          <cell r="N42" t="str">
            <v>Portugal</v>
          </cell>
          <cell r="O42" t="str">
            <v>პორტუგალიის</v>
          </cell>
          <cell r="P42" t="str">
            <v>Portugal</v>
          </cell>
          <cell r="Q42" t="str">
            <v>Πορτογαλία</v>
          </cell>
          <cell r="R42" t="str">
            <v>פורטוגל</v>
          </cell>
          <cell r="S42" t="str">
            <v>Portugália</v>
          </cell>
          <cell r="T42" t="str">
            <v>Portugal</v>
          </cell>
          <cell r="U42" t="str">
            <v>Portugal</v>
          </cell>
          <cell r="V42" t="str">
            <v>Portogallo</v>
          </cell>
          <cell r="W42" t="str">
            <v>포르투갈</v>
          </cell>
          <cell r="X42" t="str">
            <v>Portugalija</v>
          </cell>
          <cell r="Y42" t="str">
            <v>Португалија</v>
          </cell>
          <cell r="Z42" t="str">
            <v>Portugall</v>
          </cell>
          <cell r="AA42" t="str">
            <v>Portugal</v>
          </cell>
          <cell r="AB42" t="str">
            <v>پرتغال</v>
          </cell>
          <cell r="AC42" t="str">
            <v>Portugalia</v>
          </cell>
          <cell r="AD42" t="str">
            <v>Portugal</v>
          </cell>
          <cell r="AE42" t="str">
            <v>Portugalia</v>
          </cell>
          <cell r="AF42" t="str">
            <v>Португалија</v>
          </cell>
          <cell r="AG42" t="str">
            <v>Portugalsko</v>
          </cell>
          <cell r="AH42" t="str">
            <v>Portugalska</v>
          </cell>
          <cell r="AI42" t="str">
            <v>Portugal</v>
          </cell>
          <cell r="AJ42" t="str">
            <v>Portugal</v>
          </cell>
          <cell r="AK42" t="str">
            <v>โปรตุเกส</v>
          </cell>
          <cell r="AL42" t="str">
            <v>Portekiz</v>
          </cell>
          <cell r="AM42" t="str">
            <v>Bồ Đào Nha</v>
          </cell>
          <cell r="AN42" t="str">
            <v>Португалія</v>
          </cell>
          <cell r="AO42" t="str">
            <v>پرتگال</v>
          </cell>
        </row>
        <row r="43">
          <cell r="A43" t="str">
            <v>Hungary</v>
          </cell>
          <cell r="B43" t="str">
            <v>Hungari</v>
          </cell>
          <cell r="C43" t="str">
            <v>هنغاريا</v>
          </cell>
          <cell r="D43" t="str">
            <v>Հունգարիա</v>
          </cell>
          <cell r="E43" t="str">
            <v>Macarıstan</v>
          </cell>
          <cell r="F43" t="str">
            <v>Унгария</v>
          </cell>
          <cell r="G43" t="str">
            <v>Hongria</v>
          </cell>
          <cell r="H43" t="str">
            <v>匈牙利</v>
          </cell>
          <cell r="I43" t="str">
            <v>匈牙利</v>
          </cell>
          <cell r="J43" t="str">
            <v>Mađarska</v>
          </cell>
          <cell r="K43" t="str">
            <v>Maďarsko</v>
          </cell>
          <cell r="L43" t="str">
            <v>Ungarn</v>
          </cell>
          <cell r="M43" t="str">
            <v>Hongarije</v>
          </cell>
          <cell r="N43" t="str">
            <v>Hongrie</v>
          </cell>
          <cell r="O43" t="str">
            <v>უნგრეთი</v>
          </cell>
          <cell r="P43" t="str">
            <v>Ungarn</v>
          </cell>
          <cell r="Q43" t="str">
            <v>Ουγγαρία</v>
          </cell>
          <cell r="R43" t="str">
            <v>הונגריה</v>
          </cell>
          <cell r="S43" t="str">
            <v>Magyarország</v>
          </cell>
          <cell r="T43" t="str">
            <v>Hongaria</v>
          </cell>
          <cell r="U43" t="str">
            <v>Ungverjaland</v>
          </cell>
          <cell r="V43" t="str">
            <v>Ungheria</v>
          </cell>
          <cell r="W43" t="str">
            <v>헝가리</v>
          </cell>
          <cell r="X43" t="str">
            <v>Vengrija</v>
          </cell>
          <cell r="Y43" t="str">
            <v>Унгарија</v>
          </cell>
          <cell r="Z43" t="str">
            <v>L-Ungerija</v>
          </cell>
          <cell r="AA43" t="str">
            <v>Ungarn</v>
          </cell>
          <cell r="AB43" t="str">
            <v>مجارستان</v>
          </cell>
          <cell r="AC43" t="str">
            <v>Węgry</v>
          </cell>
          <cell r="AD43" t="str">
            <v>Hungria</v>
          </cell>
          <cell r="AE43" t="str">
            <v>Ungaria</v>
          </cell>
          <cell r="AF43" t="str">
            <v>Мађарска</v>
          </cell>
          <cell r="AG43" t="str">
            <v>maďarsko</v>
          </cell>
          <cell r="AH43" t="str">
            <v>Madžarska</v>
          </cell>
          <cell r="AI43" t="str">
            <v>Hungría</v>
          </cell>
          <cell r="AJ43" t="str">
            <v>Ungern</v>
          </cell>
          <cell r="AK43" t="str">
            <v>ฮังการี</v>
          </cell>
          <cell r="AL43" t="str">
            <v>Macaristan</v>
          </cell>
          <cell r="AM43" t="str">
            <v>Hungary</v>
          </cell>
          <cell r="AN43" t="str">
            <v>Угорщина</v>
          </cell>
          <cell r="AO43" t="str">
            <v>ہنگری</v>
          </cell>
        </row>
        <row r="44">
          <cell r="A44" t="str">
            <v>Denmark</v>
          </cell>
          <cell r="B44" t="str">
            <v>Danimarkë</v>
          </cell>
          <cell r="C44" t="str">
            <v>الدنمارك</v>
          </cell>
          <cell r="D44" t="str">
            <v>Դանիա</v>
          </cell>
          <cell r="E44" t="str">
            <v>Danimarka</v>
          </cell>
          <cell r="F44" t="str">
            <v>Дания</v>
          </cell>
          <cell r="G44" t="str">
            <v>Dinamarca</v>
          </cell>
          <cell r="H44" t="str">
            <v>丹麦</v>
          </cell>
          <cell r="I44" t="str">
            <v>丹麥</v>
          </cell>
          <cell r="J44" t="str">
            <v>Danska</v>
          </cell>
          <cell r="K44" t="str">
            <v>Dánsko</v>
          </cell>
          <cell r="L44" t="str">
            <v>Danmark</v>
          </cell>
          <cell r="M44" t="str">
            <v>Denemarken</v>
          </cell>
          <cell r="N44" t="str">
            <v>Danemark</v>
          </cell>
          <cell r="O44" t="str">
            <v>დანია</v>
          </cell>
          <cell r="P44" t="str">
            <v>Dänemark</v>
          </cell>
          <cell r="Q44" t="str">
            <v>Δανία</v>
          </cell>
          <cell r="R44" t="str">
            <v>דנמרק</v>
          </cell>
          <cell r="S44" t="str">
            <v>Dánia</v>
          </cell>
          <cell r="T44" t="str">
            <v>Denmark</v>
          </cell>
          <cell r="U44" t="str">
            <v>Denmark</v>
          </cell>
          <cell r="V44" t="str">
            <v>Danimarca</v>
          </cell>
          <cell r="W44" t="str">
            <v>덴마크</v>
          </cell>
          <cell r="X44" t="str">
            <v>Danija</v>
          </cell>
          <cell r="Y44" t="str">
            <v>Данска</v>
          </cell>
          <cell r="Z44" t="str">
            <v>Id-Danimarka</v>
          </cell>
          <cell r="AA44" t="str">
            <v>Danmark</v>
          </cell>
          <cell r="AB44" t="str">
            <v>دانمارک</v>
          </cell>
          <cell r="AC44" t="str">
            <v>Dania</v>
          </cell>
          <cell r="AD44" t="str">
            <v>Dinamarca</v>
          </cell>
          <cell r="AE44" t="str">
            <v>Danemarca</v>
          </cell>
          <cell r="AF44" t="str">
            <v>Данска</v>
          </cell>
          <cell r="AG44" t="str">
            <v>Dánsko</v>
          </cell>
          <cell r="AH44" t="str">
            <v>Danska</v>
          </cell>
          <cell r="AI44" t="str">
            <v>Dinamarca</v>
          </cell>
          <cell r="AJ44" t="str">
            <v>Danmark</v>
          </cell>
          <cell r="AK44" t="str">
            <v>เดนมาร์ก</v>
          </cell>
          <cell r="AL44" t="str">
            <v>Danimarka</v>
          </cell>
          <cell r="AM44" t="str">
            <v>Đan MạCh</v>
          </cell>
          <cell r="AN44" t="str">
            <v>Данія</v>
          </cell>
          <cell r="AO44" t="str">
            <v>ڈنمارک</v>
          </cell>
        </row>
        <row r="45">
          <cell r="A45" t="str">
            <v>Ukraine</v>
          </cell>
          <cell r="B45" t="str">
            <v>Ukrainë</v>
          </cell>
          <cell r="C45" t="str">
            <v>أوكرانيا</v>
          </cell>
          <cell r="D45" t="str">
            <v>Ուկրաինան</v>
          </cell>
          <cell r="E45" t="str">
            <v>Ukrayna</v>
          </cell>
          <cell r="F45" t="str">
            <v>Украйна</v>
          </cell>
          <cell r="G45" t="str">
            <v>Ucraïna</v>
          </cell>
          <cell r="H45" t="str">
            <v>乌克兰</v>
          </cell>
          <cell r="I45" t="str">
            <v>烏克蘭</v>
          </cell>
          <cell r="J45" t="str">
            <v>Ukrajina</v>
          </cell>
          <cell r="K45" t="str">
            <v>Ukrajina</v>
          </cell>
          <cell r="L45" t="str">
            <v>Ukraine</v>
          </cell>
          <cell r="M45" t="str">
            <v>Oekraïne</v>
          </cell>
          <cell r="N45" t="str">
            <v>Ukraine</v>
          </cell>
          <cell r="O45" t="str">
            <v>უკრაინა</v>
          </cell>
          <cell r="P45" t="str">
            <v>Ukraine</v>
          </cell>
          <cell r="Q45" t="str">
            <v>Ουκρανία</v>
          </cell>
          <cell r="R45" t="str">
            <v>אוקראינה</v>
          </cell>
          <cell r="S45" t="str">
            <v>Ukrajna</v>
          </cell>
          <cell r="T45" t="str">
            <v>Ukraina</v>
          </cell>
          <cell r="U45" t="str">
            <v>Úkraína</v>
          </cell>
          <cell r="V45" t="str">
            <v>Ucraina</v>
          </cell>
          <cell r="W45" t="str">
            <v>우크라이나</v>
          </cell>
          <cell r="X45" t="str">
            <v>Ukraina</v>
          </cell>
          <cell r="Y45" t="str">
            <v>Украина</v>
          </cell>
          <cell r="Z45" t="str">
            <v>Ukraina</v>
          </cell>
          <cell r="AA45" t="str">
            <v>Ukraina</v>
          </cell>
          <cell r="AB45" t="str">
            <v>اوکراین</v>
          </cell>
          <cell r="AC45" t="str">
            <v>Ukraina</v>
          </cell>
          <cell r="AD45" t="str">
            <v>Ucrânia</v>
          </cell>
          <cell r="AE45" t="str">
            <v>Ucraina</v>
          </cell>
          <cell r="AF45" t="str">
            <v>Украјина</v>
          </cell>
          <cell r="AG45" t="str">
            <v>Ukrajina</v>
          </cell>
          <cell r="AH45" t="str">
            <v>Ukrajina</v>
          </cell>
          <cell r="AI45" t="str">
            <v>Ucrania</v>
          </cell>
          <cell r="AJ45" t="str">
            <v>Ukraina</v>
          </cell>
          <cell r="AK45" t="str">
            <v>ยูเครน</v>
          </cell>
          <cell r="AL45" t="str">
            <v>Ukrayna</v>
          </cell>
          <cell r="AM45" t="str">
            <v>Ukraina</v>
          </cell>
          <cell r="AN45" t="str">
            <v>Україна</v>
          </cell>
          <cell r="AO45" t="str">
            <v>یوکرائن</v>
          </cell>
        </row>
        <row r="46">
          <cell r="A46" t="str">
            <v>Turkey</v>
          </cell>
          <cell r="B46" t="str">
            <v>Turqi</v>
          </cell>
          <cell r="C46" t="str">
            <v>ديك رومي</v>
          </cell>
          <cell r="D46" t="str">
            <v>Turkey</v>
          </cell>
          <cell r="E46" t="str">
            <v>Turkey</v>
          </cell>
          <cell r="F46" t="str">
            <v>Турция</v>
          </cell>
          <cell r="G46" t="str">
            <v>Turquia</v>
          </cell>
          <cell r="H46" t="str">
            <v>火鸡</v>
          </cell>
          <cell r="I46" t="str">
            <v>火雞</v>
          </cell>
          <cell r="J46" t="str">
            <v>Turska</v>
          </cell>
          <cell r="K46" t="str">
            <v>Turecko</v>
          </cell>
          <cell r="L46" t="str">
            <v>Tyrkia</v>
          </cell>
          <cell r="M46" t="str">
            <v>Turkije</v>
          </cell>
          <cell r="N46" t="str">
            <v>Turquie</v>
          </cell>
          <cell r="O46" t="str">
            <v>თურქეთში</v>
          </cell>
          <cell r="P46" t="str">
            <v>Türkei</v>
          </cell>
          <cell r="Q46" t="str">
            <v>Turkey</v>
          </cell>
          <cell r="R46" t="str">
            <v>טורקיה</v>
          </cell>
          <cell r="S46" t="str">
            <v>Törökország</v>
          </cell>
          <cell r="T46" t="str">
            <v>Turki</v>
          </cell>
          <cell r="U46" t="str">
            <v>Tyrkland</v>
          </cell>
          <cell r="V46" t="str">
            <v>la Turchia</v>
          </cell>
          <cell r="W46" t="str">
            <v>터키</v>
          </cell>
          <cell r="X46" t="str">
            <v>Turkija</v>
          </cell>
          <cell r="Y46" t="str">
            <v>Турција</v>
          </cell>
          <cell r="Z46" t="str">
            <v>Turkija</v>
          </cell>
          <cell r="AA46" t="str">
            <v>Tyrkia</v>
          </cell>
          <cell r="AB46" t="str">
            <v>بوقلمون</v>
          </cell>
          <cell r="AC46" t="str">
            <v>Turcja</v>
          </cell>
          <cell r="AD46" t="str">
            <v>Turquia</v>
          </cell>
          <cell r="AE46" t="str">
            <v>Turcia</v>
          </cell>
          <cell r="AF46" t="str">
            <v>Турска</v>
          </cell>
          <cell r="AG46" t="str">
            <v>Turecko</v>
          </cell>
          <cell r="AH46" t="str">
            <v>Turkey</v>
          </cell>
          <cell r="AI46" t="str">
            <v>Turquía</v>
          </cell>
          <cell r="AJ46" t="str">
            <v>Turkey</v>
          </cell>
          <cell r="AK46" t="str">
            <v>ตุรกี</v>
          </cell>
          <cell r="AL46" t="str">
            <v>Türkiye</v>
          </cell>
          <cell r="AM46" t="str">
            <v>Thổ Nhĩ Kỳ</v>
          </cell>
          <cell r="AN46" t="str">
            <v>Туреччина</v>
          </cell>
          <cell r="AO46" t="str">
            <v>ترکی</v>
          </cell>
        </row>
        <row r="47">
          <cell r="A47" t="str">
            <v>Finland</v>
          </cell>
          <cell r="B47" t="str">
            <v>Finlandë</v>
          </cell>
          <cell r="C47" t="str">
            <v>فنلندا</v>
          </cell>
          <cell r="D47" t="str">
            <v>Ֆինլանդիա</v>
          </cell>
          <cell r="E47" t="str">
            <v>Finlandiya</v>
          </cell>
          <cell r="F47" t="str">
            <v>Финландия</v>
          </cell>
          <cell r="G47" t="str">
            <v>Finlàndia</v>
          </cell>
          <cell r="H47" t="str">
            <v>芬兰</v>
          </cell>
          <cell r="I47" t="str">
            <v>芬蘭</v>
          </cell>
          <cell r="J47" t="str">
            <v>Finska</v>
          </cell>
          <cell r="K47" t="str">
            <v>Finsko</v>
          </cell>
          <cell r="L47" t="str">
            <v>Finland</v>
          </cell>
          <cell r="M47" t="str">
            <v>Finland</v>
          </cell>
          <cell r="N47" t="str">
            <v>Finlande</v>
          </cell>
          <cell r="O47" t="str">
            <v>ფინეთი</v>
          </cell>
          <cell r="P47" t="str">
            <v>Finnland</v>
          </cell>
          <cell r="Q47" t="str">
            <v>Φινλανδία</v>
          </cell>
          <cell r="R47" t="str">
            <v>פינלנד</v>
          </cell>
          <cell r="S47" t="str">
            <v>Finnország</v>
          </cell>
          <cell r="T47" t="str">
            <v>Finlandia</v>
          </cell>
          <cell r="U47" t="str">
            <v>Finnland</v>
          </cell>
          <cell r="V47" t="str">
            <v>Finlandia</v>
          </cell>
          <cell r="W47" t="str">
            <v>핀란드</v>
          </cell>
          <cell r="X47" t="str">
            <v>Suomija</v>
          </cell>
          <cell r="Y47" t="str">
            <v>Финска</v>
          </cell>
          <cell r="Z47" t="str">
            <v>Il-Finlandja</v>
          </cell>
          <cell r="AA47" t="str">
            <v>Finland</v>
          </cell>
          <cell r="AB47" t="str">
            <v>فنلاند</v>
          </cell>
          <cell r="AC47" t="str">
            <v>Finlandia</v>
          </cell>
          <cell r="AD47" t="str">
            <v>Finlândia</v>
          </cell>
          <cell r="AE47" t="str">
            <v>Finlanda</v>
          </cell>
          <cell r="AF47" t="str">
            <v>Финска</v>
          </cell>
          <cell r="AG47" t="str">
            <v>Fínsko</v>
          </cell>
          <cell r="AH47" t="str">
            <v>Finska</v>
          </cell>
          <cell r="AI47" t="str">
            <v>Finlandia</v>
          </cell>
          <cell r="AJ47" t="str">
            <v>Finland</v>
          </cell>
          <cell r="AK47" t="str">
            <v>ฟินแลนด์</v>
          </cell>
          <cell r="AL47" t="str">
            <v>Finlandiya</v>
          </cell>
          <cell r="AM47" t="str">
            <v>PhầN Lan</v>
          </cell>
          <cell r="AN47" t="str">
            <v>Фінляндія</v>
          </cell>
          <cell r="AO47" t="str">
            <v>فن لینڈ</v>
          </cell>
        </row>
        <row r="48">
          <cell r="A48" t="str">
            <v>Netherlands</v>
          </cell>
          <cell r="B48" t="str">
            <v>Holandë</v>
          </cell>
          <cell r="C48" t="str">
            <v>هولندا</v>
          </cell>
          <cell r="D48" t="str">
            <v>Netherlands</v>
          </cell>
          <cell r="E48" t="str">
            <v>Hollandiya</v>
          </cell>
          <cell r="F48" t="str">
            <v>Холандия</v>
          </cell>
          <cell r="G48" t="str">
            <v>Països Baixos</v>
          </cell>
          <cell r="H48" t="str">
            <v>荷兰</v>
          </cell>
          <cell r="I48" t="str">
            <v>荷蘭</v>
          </cell>
          <cell r="J48" t="str">
            <v>Nizozemska</v>
          </cell>
          <cell r="K48" t="str">
            <v>Holandsko</v>
          </cell>
          <cell r="L48" t="str">
            <v>Holland</v>
          </cell>
          <cell r="M48" t="str">
            <v>Nederland</v>
          </cell>
          <cell r="N48" t="str">
            <v>Pays-Bas</v>
          </cell>
          <cell r="O48" t="str">
            <v>ნიდერლანდები</v>
          </cell>
          <cell r="P48" t="str">
            <v>Niederlande</v>
          </cell>
          <cell r="Q48" t="str">
            <v>Ολλανδία</v>
          </cell>
          <cell r="R48" t="str">
            <v>הולנד</v>
          </cell>
          <cell r="S48" t="str">
            <v>Hollandia</v>
          </cell>
          <cell r="T48" t="str">
            <v>Belanda</v>
          </cell>
          <cell r="U48" t="str">
            <v>Holland</v>
          </cell>
          <cell r="V48" t="str">
            <v>Olanda</v>
          </cell>
          <cell r="W48" t="str">
            <v>네덜란드</v>
          </cell>
          <cell r="X48" t="str">
            <v>Nyderlandai</v>
          </cell>
          <cell r="Y48" t="str">
            <v>Холандија</v>
          </cell>
          <cell r="Z48" t="str">
            <v>Pajjiżi L-Baxxi</v>
          </cell>
          <cell r="AA48" t="str">
            <v>Nederland</v>
          </cell>
          <cell r="AB48" t="str">
            <v>هلند</v>
          </cell>
          <cell r="AC48" t="str">
            <v>Holandia</v>
          </cell>
          <cell r="AD48" t="str">
            <v>Países Baixos</v>
          </cell>
          <cell r="AE48" t="str">
            <v>Olanda</v>
          </cell>
          <cell r="AF48" t="str">
            <v>Низоземска</v>
          </cell>
          <cell r="AG48" t="str">
            <v>Holandsko</v>
          </cell>
          <cell r="AH48" t="str">
            <v>Nizozemska</v>
          </cell>
          <cell r="AI48" t="str">
            <v>Países Bajos</v>
          </cell>
          <cell r="AJ48" t="str">
            <v>Nederländerna</v>
          </cell>
          <cell r="AK48" t="str">
            <v>เนเธอร์แลนด์</v>
          </cell>
          <cell r="AL48" t="str">
            <v>Hollanda</v>
          </cell>
          <cell r="AM48" t="str">
            <v>NướC Hà Lan</v>
          </cell>
          <cell r="AN48" t="str">
            <v>Нідерланди</v>
          </cell>
          <cell r="AO48" t="str">
            <v>ہالینڈ</v>
          </cell>
        </row>
        <row r="49">
          <cell r="A49" t="str">
            <v>North Macedonia</v>
          </cell>
          <cell r="B49" t="str">
            <v>North Maqedoni</v>
          </cell>
          <cell r="C49" t="str">
            <v>شمال مقدونيا</v>
          </cell>
          <cell r="D49" t="str">
            <v>Հյուսիս Մակեդոնիա</v>
          </cell>
          <cell r="E49" t="str">
            <v>Şimali Makedoniya</v>
          </cell>
          <cell r="F49" t="str">
            <v>Северна Македония</v>
          </cell>
          <cell r="G49" t="str">
            <v>Nord Macedònia</v>
          </cell>
          <cell r="H49" t="str">
            <v>北马其顿</v>
          </cell>
          <cell r="I49" t="str">
            <v>北馬其頓</v>
          </cell>
          <cell r="J49" t="str">
            <v>Sjeverna Makedonija</v>
          </cell>
          <cell r="K49" t="str">
            <v>Severní Makedonie</v>
          </cell>
          <cell r="L49" t="str">
            <v>Nordmakedonien</v>
          </cell>
          <cell r="M49" t="str">
            <v>Noord-Macedonië</v>
          </cell>
          <cell r="N49" t="str">
            <v>Macédoine Du Nord</v>
          </cell>
          <cell r="O49" t="str">
            <v>ჩრდილოეთ მაკედონია</v>
          </cell>
          <cell r="P49" t="str">
            <v>Nord Mazedonien</v>
          </cell>
          <cell r="Q49" t="str">
            <v>Βόρεια Μακεδονία</v>
          </cell>
          <cell r="R49" t="str">
            <v>צפון מקדוניה</v>
          </cell>
          <cell r="S49" t="str">
            <v>Észak-Macedónia</v>
          </cell>
          <cell r="T49" t="str">
            <v>Utara Makedonia</v>
          </cell>
          <cell r="U49" t="str">
            <v>Norður-Makedónía</v>
          </cell>
          <cell r="V49" t="str">
            <v>Nord Macedonia</v>
          </cell>
          <cell r="W49" t="str">
            <v>북 마케도니아</v>
          </cell>
          <cell r="X49" t="str">
            <v>Šiaurės Makedonija</v>
          </cell>
          <cell r="Y49" t="str">
            <v>Северна Македонија</v>
          </cell>
          <cell r="Z49" t="str">
            <v>Tramuntana Maċedonja</v>
          </cell>
          <cell r="AA49" t="str">
            <v>Nord-Makedonia</v>
          </cell>
          <cell r="AB49" t="str">
            <v>شمالی مقدونیه</v>
          </cell>
          <cell r="AC49" t="str">
            <v>Północna Macedonia</v>
          </cell>
          <cell r="AD49" t="str">
            <v>Norte Macedônia</v>
          </cell>
          <cell r="AE49" t="str">
            <v>Macedonia De Nord</v>
          </cell>
          <cell r="AF49" t="str">
            <v>Северна Македонија</v>
          </cell>
          <cell r="AG49" t="str">
            <v>Severné Macedónsko</v>
          </cell>
          <cell r="AH49" t="str">
            <v>Severna Makedonija</v>
          </cell>
          <cell r="AI49" t="str">
            <v>Norte Macedonia</v>
          </cell>
          <cell r="AJ49" t="str">
            <v>Nordmakedonien</v>
          </cell>
          <cell r="AK49" t="str">
            <v>นอร์ทมาซิโดเนีย</v>
          </cell>
          <cell r="AL49" t="str">
            <v>Kuzey Makedonya</v>
          </cell>
          <cell r="AM49" t="str">
            <v>BắC Macedonia</v>
          </cell>
          <cell r="AN49" t="str">
            <v>Північна Македонія</v>
          </cell>
          <cell r="AO49" t="str">
            <v>شمالی مقدونیہ</v>
          </cell>
        </row>
        <row r="50">
          <cell r="A50" t="str">
            <v>Scotland</v>
          </cell>
          <cell r="B50" t="str">
            <v>Skoci</v>
          </cell>
          <cell r="C50" t="str">
            <v>أسكتلندا</v>
          </cell>
          <cell r="D50" t="str">
            <v>Շոտլանդիա</v>
          </cell>
          <cell r="E50" t="str">
            <v>Şotlandiya</v>
          </cell>
          <cell r="F50" t="str">
            <v>Шотландия</v>
          </cell>
          <cell r="G50" t="str">
            <v>Escòcia</v>
          </cell>
          <cell r="H50" t="str">
            <v>苏格兰</v>
          </cell>
          <cell r="I50" t="str">
            <v>蘇格蘭</v>
          </cell>
          <cell r="J50" t="str">
            <v>Škotska</v>
          </cell>
          <cell r="K50" t="str">
            <v>Skotsko</v>
          </cell>
          <cell r="L50" t="str">
            <v>Skotland</v>
          </cell>
          <cell r="M50" t="str">
            <v>Schotland</v>
          </cell>
          <cell r="N50" t="str">
            <v>Écosse</v>
          </cell>
          <cell r="O50" t="str">
            <v>შოტლანდია</v>
          </cell>
          <cell r="P50" t="str">
            <v>Schottland</v>
          </cell>
          <cell r="Q50" t="str">
            <v>Σκωτία</v>
          </cell>
          <cell r="R50" t="str">
            <v>סקוטלנד</v>
          </cell>
          <cell r="S50" t="str">
            <v>Skócia</v>
          </cell>
          <cell r="T50" t="str">
            <v>Skotlandia</v>
          </cell>
          <cell r="U50" t="str">
            <v>Scotland</v>
          </cell>
          <cell r="V50" t="str">
            <v>Scozia</v>
          </cell>
          <cell r="W50" t="str">
            <v>스코틀랜드</v>
          </cell>
          <cell r="X50" t="str">
            <v>Škotija</v>
          </cell>
          <cell r="Y50" t="str">
            <v>Шкотска</v>
          </cell>
          <cell r="Z50" t="str">
            <v>Iskozja</v>
          </cell>
          <cell r="AA50" t="str">
            <v>Skottland</v>
          </cell>
          <cell r="AB50" t="str">
            <v>اسکاتلند</v>
          </cell>
          <cell r="AC50" t="str">
            <v>Szkocja</v>
          </cell>
          <cell r="AD50" t="str">
            <v>Escócia</v>
          </cell>
          <cell r="AE50" t="str">
            <v>Scoţia</v>
          </cell>
          <cell r="AF50" t="str">
            <v>Шкотска</v>
          </cell>
          <cell r="AG50" t="str">
            <v>Škótsko</v>
          </cell>
          <cell r="AH50" t="str">
            <v>Škotska</v>
          </cell>
          <cell r="AI50" t="str">
            <v>Escocia</v>
          </cell>
          <cell r="AJ50" t="str">
            <v>Skottland</v>
          </cell>
          <cell r="AK50" t="str">
            <v>ก็อตแลนด์</v>
          </cell>
          <cell r="AL50" t="str">
            <v>İskoçya</v>
          </cell>
          <cell r="AM50" t="str">
            <v>Scotland</v>
          </cell>
          <cell r="AN50" t="str">
            <v>Шотландія</v>
          </cell>
          <cell r="AO50" t="str">
            <v>اسکاٹ لینڈ</v>
          </cell>
        </row>
        <row r="51">
          <cell r="A51" t="str">
            <v>Slovakia</v>
          </cell>
          <cell r="B51" t="str">
            <v>Slovakia</v>
          </cell>
          <cell r="C51" t="str">
            <v>سلوفاكيا</v>
          </cell>
          <cell r="D51" t="str">
            <v>Սլովակիա</v>
          </cell>
          <cell r="E51" t="str">
            <v>Slovakiya</v>
          </cell>
          <cell r="F51" t="str">
            <v>Словакия</v>
          </cell>
          <cell r="G51" t="str">
            <v>Eslovàquia</v>
          </cell>
          <cell r="H51" t="str">
            <v>斯洛伐克</v>
          </cell>
          <cell r="I51" t="str">
            <v>斯洛伐克</v>
          </cell>
          <cell r="J51" t="str">
            <v>Slovačka</v>
          </cell>
          <cell r="K51" t="str">
            <v>Slovensko</v>
          </cell>
          <cell r="L51" t="str">
            <v>Slovakiet</v>
          </cell>
          <cell r="M51" t="str">
            <v>Slowakije</v>
          </cell>
          <cell r="N51" t="str">
            <v>Slovaquie</v>
          </cell>
          <cell r="O51" t="str">
            <v>სლოვაკეთი</v>
          </cell>
          <cell r="P51" t="str">
            <v>Slowakei</v>
          </cell>
          <cell r="Q51" t="str">
            <v>Σλοβακία</v>
          </cell>
          <cell r="R51" t="str">
            <v>סלובקיה</v>
          </cell>
          <cell r="S51" t="str">
            <v>Szlovákia</v>
          </cell>
          <cell r="T51" t="str">
            <v>Slovakia</v>
          </cell>
          <cell r="U51" t="str">
            <v>Slovakia</v>
          </cell>
          <cell r="V51" t="str">
            <v>Slovacchia</v>
          </cell>
          <cell r="W51" t="str">
            <v>슬로바키아</v>
          </cell>
          <cell r="X51" t="str">
            <v>Slovakija</v>
          </cell>
          <cell r="Y51" t="str">
            <v>Словачка</v>
          </cell>
          <cell r="Z51" t="str">
            <v>Slovakkja</v>
          </cell>
          <cell r="AA51" t="str">
            <v>Slovakia</v>
          </cell>
          <cell r="AB51" t="str">
            <v>اسلواکی</v>
          </cell>
          <cell r="AC51" t="str">
            <v>Słowacja</v>
          </cell>
          <cell r="AD51" t="str">
            <v>Eslováquia</v>
          </cell>
          <cell r="AE51" t="str">
            <v>Slovacia</v>
          </cell>
          <cell r="AF51" t="str">
            <v>Словачка</v>
          </cell>
          <cell r="AG51" t="str">
            <v>Slovensko</v>
          </cell>
          <cell r="AH51" t="str">
            <v>Slovaška</v>
          </cell>
          <cell r="AI51" t="str">
            <v>Eslovaquia</v>
          </cell>
          <cell r="AJ51" t="str">
            <v>Slovakien</v>
          </cell>
          <cell r="AK51" t="str">
            <v>สโลวะเกีย</v>
          </cell>
          <cell r="AL51" t="str">
            <v>Slovakya</v>
          </cell>
          <cell r="AM51" t="str">
            <v>Slovakia</v>
          </cell>
          <cell r="AN51" t="str">
            <v>Словаччина</v>
          </cell>
          <cell r="AO51" t="str">
            <v>سلوواکیہ</v>
          </cell>
        </row>
        <row r="52">
          <cell r="A52" t="str">
            <v>Germany</v>
          </cell>
          <cell r="B52" t="str">
            <v>Gjermani</v>
          </cell>
          <cell r="C52" t="str">
            <v>ألمانيا</v>
          </cell>
          <cell r="D52" t="str">
            <v>Գերմանիա</v>
          </cell>
          <cell r="E52" t="str">
            <v>Almaniya</v>
          </cell>
          <cell r="F52" t="str">
            <v>Германия</v>
          </cell>
          <cell r="G52" t="str">
            <v>Alemanya</v>
          </cell>
          <cell r="H52" t="str">
            <v>德国</v>
          </cell>
          <cell r="I52" t="str">
            <v>德國</v>
          </cell>
          <cell r="J52" t="str">
            <v>Njemačka</v>
          </cell>
          <cell r="K52" t="str">
            <v>Německo</v>
          </cell>
          <cell r="L52" t="str">
            <v>Tyskland</v>
          </cell>
          <cell r="M52" t="str">
            <v>Duitsland</v>
          </cell>
          <cell r="N52" t="str">
            <v>Allemagne</v>
          </cell>
          <cell r="O52" t="str">
            <v>გერმანია</v>
          </cell>
          <cell r="P52" t="str">
            <v>Deutschland</v>
          </cell>
          <cell r="Q52" t="str">
            <v>Γερμανία</v>
          </cell>
          <cell r="R52" t="str">
            <v>גרמניה</v>
          </cell>
          <cell r="S52" t="str">
            <v>Németország</v>
          </cell>
          <cell r="T52" t="str">
            <v>Jerman</v>
          </cell>
          <cell r="U52" t="str">
            <v>Þýskaland</v>
          </cell>
          <cell r="V52" t="str">
            <v>Germania</v>
          </cell>
          <cell r="W52" t="str">
            <v>독일</v>
          </cell>
          <cell r="X52" t="str">
            <v>Vokietija</v>
          </cell>
          <cell r="Y52" t="str">
            <v>германија</v>
          </cell>
          <cell r="Z52" t="str">
            <v>Ġermanja</v>
          </cell>
          <cell r="AA52" t="str">
            <v>Tyskland</v>
          </cell>
          <cell r="AB52" t="str">
            <v>آلمان</v>
          </cell>
          <cell r="AC52" t="str">
            <v>Niemcy</v>
          </cell>
          <cell r="AD52" t="str">
            <v>Alemanha</v>
          </cell>
          <cell r="AE52" t="str">
            <v>Germania</v>
          </cell>
          <cell r="AF52" t="str">
            <v>Немачка</v>
          </cell>
          <cell r="AG52" t="str">
            <v>nemecko</v>
          </cell>
          <cell r="AH52" t="str">
            <v>Nemčija</v>
          </cell>
          <cell r="AI52" t="str">
            <v>Alemania</v>
          </cell>
          <cell r="AJ52" t="str">
            <v>Tyskland</v>
          </cell>
          <cell r="AK52" t="str">
            <v>ประเทศเยอรมัน</v>
          </cell>
          <cell r="AL52" t="str">
            <v>Almanya</v>
          </cell>
          <cell r="AM52" t="str">
            <v>Đức</v>
          </cell>
          <cell r="AN52" t="str">
            <v>Німеччина</v>
          </cell>
          <cell r="AO52" t="str">
            <v>جرمنی</v>
          </cell>
        </row>
        <row r="54">
          <cell r="A54" t="str">
            <v>Wales</v>
          </cell>
          <cell r="B54" t="str">
            <v>Uells</v>
          </cell>
          <cell r="C54" t="str">
            <v>ويلز</v>
          </cell>
          <cell r="D54" t="str">
            <v>Wales</v>
          </cell>
          <cell r="E54" t="str">
            <v>Wales</v>
          </cell>
          <cell r="F54" t="str">
            <v>Уелс</v>
          </cell>
          <cell r="G54" t="str">
            <v>Gal·les</v>
          </cell>
          <cell r="H54" t="str">
            <v>威尔士</v>
          </cell>
          <cell r="I54" t="str">
            <v>威爾士</v>
          </cell>
          <cell r="J54" t="str">
            <v>Vels</v>
          </cell>
          <cell r="K54" t="str">
            <v>Wales</v>
          </cell>
          <cell r="L54" t="str">
            <v>Wales</v>
          </cell>
          <cell r="M54" t="str">
            <v>Wales</v>
          </cell>
          <cell r="N54" t="str">
            <v>Pays de Galles</v>
          </cell>
          <cell r="O54" t="str">
            <v>უელსი</v>
          </cell>
          <cell r="P54" t="str">
            <v>Wales</v>
          </cell>
          <cell r="Q54" t="str">
            <v>Ουαλία</v>
          </cell>
          <cell r="R54" t="str">
            <v>ויילס</v>
          </cell>
          <cell r="S54" t="str">
            <v>Wales</v>
          </cell>
          <cell r="T54" t="str">
            <v>Wales</v>
          </cell>
          <cell r="U54" t="str">
            <v>Wales</v>
          </cell>
          <cell r="V54" t="str">
            <v>Galles</v>
          </cell>
          <cell r="W54" t="str">
            <v>웨일즈</v>
          </cell>
          <cell r="X54" t="str">
            <v>Velsas</v>
          </cell>
          <cell r="Y54" t="str">
            <v>Велс</v>
          </cell>
          <cell r="Z54" t="str">
            <v>wales</v>
          </cell>
          <cell r="AA54" t="str">
            <v>Wales</v>
          </cell>
          <cell r="AB54" t="str">
            <v>ولز</v>
          </cell>
          <cell r="AC54" t="str">
            <v>Walia</v>
          </cell>
          <cell r="AD54" t="str">
            <v>país de Gales</v>
          </cell>
          <cell r="AE54" t="str">
            <v>Țara Galilor</v>
          </cell>
          <cell r="AF54" t="str">
            <v>Велс</v>
          </cell>
          <cell r="AG54" t="str">
            <v>Wales</v>
          </cell>
          <cell r="AH54" t="str">
            <v>Wales</v>
          </cell>
          <cell r="AI54" t="str">
            <v>Gales</v>
          </cell>
          <cell r="AJ54" t="str">
            <v>wales</v>
          </cell>
          <cell r="AK54" t="str">
            <v>เวลส์</v>
          </cell>
          <cell r="AL54" t="str">
            <v>Galler</v>
          </cell>
          <cell r="AM54" t="str">
            <v>xứ Wales</v>
          </cell>
          <cell r="AN54" t="str">
            <v>Уельс</v>
          </cell>
          <cell r="AO54" t="str">
            <v>ویلز</v>
          </cell>
        </row>
        <row r="55">
          <cell r="A55" t="str">
            <v>Croatia</v>
          </cell>
          <cell r="B55" t="str">
            <v>Kroacia</v>
          </cell>
          <cell r="C55" t="str">
            <v>كرواتيا</v>
          </cell>
          <cell r="D55" t="str">
            <v>Խորվաթիա</v>
          </cell>
          <cell r="E55" t="str">
            <v>Xorvatiya</v>
          </cell>
          <cell r="F55" t="str">
            <v>Хърватия</v>
          </cell>
          <cell r="G55" t="str">
            <v>Croàcia</v>
          </cell>
          <cell r="H55" t="str">
            <v>克罗地亚</v>
          </cell>
          <cell r="I55" t="str">
            <v>克羅地亞</v>
          </cell>
          <cell r="J55" t="str">
            <v>Hrvatska</v>
          </cell>
          <cell r="K55" t="str">
            <v>Chorvatsko</v>
          </cell>
          <cell r="L55" t="str">
            <v>Kroatien</v>
          </cell>
          <cell r="M55" t="str">
            <v>Kroatië</v>
          </cell>
          <cell r="N55" t="str">
            <v>Croatie</v>
          </cell>
          <cell r="O55" t="str">
            <v>ხორვატია</v>
          </cell>
          <cell r="P55" t="str">
            <v>Kroatien</v>
          </cell>
          <cell r="Q55" t="str">
            <v>Κροατία</v>
          </cell>
          <cell r="R55" t="str">
            <v>קרואטיה</v>
          </cell>
          <cell r="S55" t="str">
            <v>Horvátország</v>
          </cell>
          <cell r="T55" t="str">
            <v>Kroasia</v>
          </cell>
          <cell r="U55" t="str">
            <v>Croatia</v>
          </cell>
          <cell r="V55" t="str">
            <v>Croazia</v>
          </cell>
          <cell r="W55" t="str">
            <v>크로아티아</v>
          </cell>
          <cell r="X55" t="str">
            <v>Kroatija</v>
          </cell>
          <cell r="Y55" t="str">
            <v>хрватска</v>
          </cell>
          <cell r="Z55" t="str">
            <v>Kroazja</v>
          </cell>
          <cell r="AA55" t="str">
            <v>Kroatia</v>
          </cell>
          <cell r="AB55" t="str">
            <v>کرواسی</v>
          </cell>
          <cell r="AC55" t="str">
            <v>Chorwacja</v>
          </cell>
          <cell r="AD55" t="str">
            <v>Croácia</v>
          </cell>
          <cell r="AE55" t="str">
            <v>Croația</v>
          </cell>
          <cell r="AF55" t="str">
            <v>Хрватска</v>
          </cell>
          <cell r="AG55" t="str">
            <v>chorvátsko</v>
          </cell>
          <cell r="AH55" t="str">
            <v>Hrvaška</v>
          </cell>
          <cell r="AI55" t="str">
            <v>Croacia</v>
          </cell>
          <cell r="AJ55" t="str">
            <v>Kroatien</v>
          </cell>
          <cell r="AK55" t="str">
            <v>โครเอเชีย</v>
          </cell>
          <cell r="AL55" t="str">
            <v>Hırvatistan</v>
          </cell>
          <cell r="AM55" t="str">
            <v>Croatia</v>
          </cell>
          <cell r="AN55" t="str">
            <v>Хорватія</v>
          </cell>
          <cell r="AO55" t="str">
            <v>کروشیا</v>
          </cell>
        </row>
        <row r="56">
          <cell r="A56" t="str">
            <v>Northern Ireland</v>
          </cell>
          <cell r="B56" t="str">
            <v>Irlanada veriore</v>
          </cell>
          <cell r="C56" t="str">
            <v>إيرلندا الشمالية</v>
          </cell>
          <cell r="D56" t="str">
            <v>Հյուսիսային Իռլանդիա</v>
          </cell>
          <cell r="E56" t="str">
            <v>Şimali irlandiya</v>
          </cell>
          <cell r="F56" t="str">
            <v>Северна Ирландия</v>
          </cell>
          <cell r="G56" t="str">
            <v>Irlanda del Nord</v>
          </cell>
          <cell r="H56" t="str">
            <v>北爱尔兰</v>
          </cell>
          <cell r="I56" t="str">
            <v>北愛爾蘭</v>
          </cell>
          <cell r="J56" t="str">
            <v>Sjeverna Irska</v>
          </cell>
          <cell r="K56" t="str">
            <v>Severní Irsko</v>
          </cell>
          <cell r="L56" t="str">
            <v>Nordirland</v>
          </cell>
          <cell r="M56" t="str">
            <v>Noord-Ierland</v>
          </cell>
          <cell r="N56" t="str">
            <v>Irlande du nord</v>
          </cell>
          <cell r="O56" t="str">
            <v>ჩრდილოეთ ირლანდია</v>
          </cell>
          <cell r="P56" t="str">
            <v>Nordirland</v>
          </cell>
          <cell r="Q56" t="str">
            <v>Βόρεια Ιρλανδία</v>
          </cell>
          <cell r="R56" t="str">
            <v>אירלנד הצפונית</v>
          </cell>
          <cell r="S56" t="str">
            <v>Észak-Írország</v>
          </cell>
          <cell r="T56" t="str">
            <v>Irlandia Utara</v>
          </cell>
          <cell r="U56" t="str">
            <v>Norður Írland</v>
          </cell>
          <cell r="V56" t="str">
            <v>Irlanda del nord</v>
          </cell>
          <cell r="W56" t="str">
            <v>북 아일랜드</v>
          </cell>
          <cell r="X56" t="str">
            <v>Šiaurės Airija</v>
          </cell>
          <cell r="Y56" t="str">
            <v>Северна Ирска</v>
          </cell>
          <cell r="Z56" t="str">
            <v>Irlanda ta 'Fuq</v>
          </cell>
          <cell r="AA56" t="str">
            <v>Nord-Irland</v>
          </cell>
          <cell r="AB56" t="str">
            <v>ایرلند شمالی</v>
          </cell>
          <cell r="AC56" t="str">
            <v>Irlandia Północna</v>
          </cell>
          <cell r="AD56" t="str">
            <v>Irlanda do Norte</v>
          </cell>
          <cell r="AE56" t="str">
            <v>Irlanda de Nord</v>
          </cell>
          <cell r="AF56" t="str">
            <v>Северна Ирска</v>
          </cell>
          <cell r="AG56" t="str">
            <v>Severné Írsko</v>
          </cell>
          <cell r="AH56" t="str">
            <v>Severna Irska</v>
          </cell>
          <cell r="AI56" t="str">
            <v>Irlanda del Norte</v>
          </cell>
          <cell r="AJ56" t="str">
            <v>Norra Irland</v>
          </cell>
          <cell r="AK56" t="str">
            <v>ไอร์แลนด์เหนือ</v>
          </cell>
          <cell r="AL56" t="str">
            <v>Kuzey Irlanda</v>
          </cell>
          <cell r="AM56" t="str">
            <v>Bắc Ireland</v>
          </cell>
          <cell r="AN56" t="str">
            <v>Північна Ірландія</v>
          </cell>
          <cell r="AO56" t="str">
            <v>شمالی آئر لینڈ</v>
          </cell>
        </row>
        <row r="57">
          <cell r="A57" t="str">
            <v>Switzerland</v>
          </cell>
          <cell r="B57" t="str">
            <v>Zvicër</v>
          </cell>
          <cell r="C57" t="str">
            <v>سويسرا</v>
          </cell>
          <cell r="D57" t="str">
            <v>Շվեյցարիա</v>
          </cell>
          <cell r="E57" t="str">
            <v>İsveçrə</v>
          </cell>
          <cell r="F57" t="str">
            <v>Швейцария</v>
          </cell>
          <cell r="G57" t="str">
            <v>Suïssa</v>
          </cell>
          <cell r="H57" t="str">
            <v>瑞士</v>
          </cell>
          <cell r="I57" t="str">
            <v>瑞士</v>
          </cell>
          <cell r="J57" t="str">
            <v>Švajcarska</v>
          </cell>
          <cell r="K57" t="str">
            <v>Švýcarsko</v>
          </cell>
          <cell r="L57" t="str">
            <v>Schweiz</v>
          </cell>
          <cell r="M57" t="str">
            <v>Zwitserland</v>
          </cell>
          <cell r="N57" t="str">
            <v>Suisse</v>
          </cell>
          <cell r="O57" t="str">
            <v>შვეიცარია</v>
          </cell>
          <cell r="P57" t="str">
            <v>Schweiz</v>
          </cell>
          <cell r="Q57" t="str">
            <v>Ελβετία</v>
          </cell>
          <cell r="R57" t="str">
            <v>שוויץ</v>
          </cell>
          <cell r="S57" t="str">
            <v>Svájc</v>
          </cell>
          <cell r="T57" t="str">
            <v>Swiss</v>
          </cell>
          <cell r="U57" t="str">
            <v>Sviss</v>
          </cell>
          <cell r="V57" t="str">
            <v>Svizzera</v>
          </cell>
          <cell r="W57" t="str">
            <v>스위스</v>
          </cell>
          <cell r="X57" t="str">
            <v>Šveicarija</v>
          </cell>
          <cell r="Y57" t="str">
            <v>Швајцарија</v>
          </cell>
          <cell r="Z57" t="str">
            <v>Isvizzera</v>
          </cell>
          <cell r="AA57" t="str">
            <v>Sveits</v>
          </cell>
          <cell r="AB57" t="str">
            <v>سویس</v>
          </cell>
          <cell r="AC57" t="str">
            <v>Szwajcaria</v>
          </cell>
          <cell r="AD57" t="str">
            <v>Suíça</v>
          </cell>
          <cell r="AE57" t="str">
            <v>Elveția</v>
          </cell>
          <cell r="AF57" t="str">
            <v>Швајцарска</v>
          </cell>
          <cell r="AG57" t="str">
            <v>švajčiarsko</v>
          </cell>
          <cell r="AH57" t="str">
            <v>Švica</v>
          </cell>
          <cell r="AI57" t="str">
            <v>Suiza</v>
          </cell>
          <cell r="AJ57" t="str">
            <v>Schweiz</v>
          </cell>
          <cell r="AK57" t="str">
            <v>ประเทศสวิสเซอร์แลนด์</v>
          </cell>
          <cell r="AL57" t="str">
            <v>İsviçre</v>
          </cell>
          <cell r="AM57" t="str">
            <v>Thụy Sĩ</v>
          </cell>
          <cell r="AN57" t="str">
            <v>Швейцарія</v>
          </cell>
          <cell r="AO57" t="str">
            <v>سوئٹزرلینڈ</v>
          </cell>
        </row>
        <row r="58">
          <cell r="A58" t="str">
            <v>Czech Republic</v>
          </cell>
          <cell r="B58" t="str">
            <v>Republika Çeke</v>
          </cell>
          <cell r="C58" t="str">
            <v>جمهورية التشيك</v>
          </cell>
          <cell r="D58" t="str">
            <v>Չեխիայի Հանրապետություն</v>
          </cell>
          <cell r="E58" t="str">
            <v>Çexiya Respublikası</v>
          </cell>
          <cell r="F58" t="str">
            <v>Чехия</v>
          </cell>
          <cell r="G58" t="str">
            <v>República Txeca</v>
          </cell>
          <cell r="H58" t="str">
            <v>捷克共和国</v>
          </cell>
          <cell r="I58" t="str">
            <v>捷克共和國</v>
          </cell>
          <cell r="J58" t="str">
            <v>Češka Republika</v>
          </cell>
          <cell r="K58" t="str">
            <v>Česko</v>
          </cell>
          <cell r="L58" t="str">
            <v>Tjekkiet</v>
          </cell>
          <cell r="M58" t="str">
            <v>Tsjechische Republiek</v>
          </cell>
          <cell r="N58" t="str">
            <v>Rép. Tchèque</v>
          </cell>
          <cell r="O58" t="str">
            <v>ჩეხეთის რესპუბლიკა</v>
          </cell>
          <cell r="P58" t="str">
            <v>Tschechien</v>
          </cell>
          <cell r="Q58" t="str">
            <v>Τσεχική Δημοκρατία</v>
          </cell>
          <cell r="R58" t="str">
            <v>הרפובליקה הצ'כית</v>
          </cell>
          <cell r="S58" t="str">
            <v>Cseh Köztársaság</v>
          </cell>
          <cell r="T58" t="str">
            <v>Republik Ceko</v>
          </cell>
          <cell r="U58" t="str">
            <v>Tékkland</v>
          </cell>
          <cell r="V58" t="str">
            <v>Repubblica Ceca</v>
          </cell>
          <cell r="W58" t="str">
            <v>체코 공화국</v>
          </cell>
          <cell r="X58" t="str">
            <v>Čekijos Respublika</v>
          </cell>
          <cell r="Y58" t="str">
            <v>Република Чешка</v>
          </cell>
          <cell r="Z58" t="str">
            <v>Repubblika Ċeka</v>
          </cell>
          <cell r="AA58" t="str">
            <v>Tsjekkia</v>
          </cell>
          <cell r="AB58" t="str">
            <v>جمهوری چک</v>
          </cell>
          <cell r="AC58" t="str">
            <v>Czechy</v>
          </cell>
          <cell r="AD58" t="str">
            <v>República Checa</v>
          </cell>
          <cell r="AE58" t="str">
            <v>Republica Cehă</v>
          </cell>
          <cell r="AF58" t="str">
            <v>Чешка</v>
          </cell>
          <cell r="AG58" t="str">
            <v>Česká republika</v>
          </cell>
          <cell r="AH58" t="str">
            <v>Češka</v>
          </cell>
          <cell r="AI58" t="str">
            <v>República Checa</v>
          </cell>
          <cell r="AJ58" t="str">
            <v>Tjeckien</v>
          </cell>
          <cell r="AK58" t="str">
            <v>สาธารณรัฐเช็ก</v>
          </cell>
          <cell r="AL58" t="str">
            <v>Çek Cumhuriyeti</v>
          </cell>
          <cell r="AM58" t="str">
            <v>Cộng hòa Séc</v>
          </cell>
          <cell r="AN58" t="str">
            <v>Чеська Республіка</v>
          </cell>
          <cell r="AO58" t="str">
            <v>جمہوریہ چیک</v>
          </cell>
        </row>
        <row r="59">
          <cell r="A59" t="str">
            <v>Republic of Ireland</v>
          </cell>
          <cell r="B59" t="str">
            <v>Republika e Irlandës</v>
          </cell>
          <cell r="C59" t="str">
            <v>جمهورية ايرلندا</v>
          </cell>
          <cell r="D59" t="str">
            <v>Իռլանդիա</v>
          </cell>
          <cell r="E59" t="str">
            <v>İrlandiya Respublikası</v>
          </cell>
          <cell r="F59" t="str">
            <v>Република Ирландия</v>
          </cell>
          <cell r="G59" t="str">
            <v>República d'Irlanda</v>
          </cell>
          <cell r="H59" t="str">
            <v>爱尔兰</v>
          </cell>
          <cell r="I59" t="str">
            <v>愛爾蘭</v>
          </cell>
          <cell r="J59" t="str">
            <v>Republika Irska</v>
          </cell>
          <cell r="K59" t="str">
            <v>Irsko</v>
          </cell>
          <cell r="L59" t="str">
            <v>Irland</v>
          </cell>
          <cell r="M59" t="str">
            <v>republiek Ierland</v>
          </cell>
          <cell r="N59" t="str">
            <v>Rép.d'Irlande</v>
          </cell>
          <cell r="O59" t="str">
            <v>ირლანდიის რესპუბლიკა</v>
          </cell>
          <cell r="P59" t="str">
            <v>Irische Republik</v>
          </cell>
          <cell r="Q59" t="str">
            <v>Δημοκρατία της Ιρλανδίας</v>
          </cell>
          <cell r="R59" t="str">
            <v>רפובליקת אירלנד</v>
          </cell>
          <cell r="S59" t="str">
            <v>Ír Köztársaság</v>
          </cell>
          <cell r="T59" t="str">
            <v>Republik Irlandia</v>
          </cell>
          <cell r="U59" t="str">
            <v>Írland</v>
          </cell>
          <cell r="V59" t="str">
            <v>repubblica d'Irlanda</v>
          </cell>
          <cell r="W59" t="str">
            <v>아일랜드</v>
          </cell>
          <cell r="X59" t="str">
            <v>Airijos Respublika</v>
          </cell>
          <cell r="Y59" t="str">
            <v>Република Ирска</v>
          </cell>
          <cell r="Z59" t="str">
            <v>Repubblika tal-Irlanda</v>
          </cell>
          <cell r="AA59" t="str">
            <v>Republikken Irland</v>
          </cell>
          <cell r="AB59" t="str">
            <v>جمهوری ایرلند</v>
          </cell>
          <cell r="AC59" t="str">
            <v>Irlandia</v>
          </cell>
          <cell r="AD59" t="str">
            <v>República da Irlanda</v>
          </cell>
          <cell r="AE59" t="str">
            <v>Republica Irlanda</v>
          </cell>
          <cell r="AF59" t="str">
            <v>Република Ирска</v>
          </cell>
          <cell r="AG59" t="str">
            <v>Írsko</v>
          </cell>
          <cell r="AH59" t="str">
            <v>Republika Irska</v>
          </cell>
          <cell r="AI59" t="str">
            <v>Republica de Irlanda</v>
          </cell>
          <cell r="AJ59" t="str">
            <v>republiken Irland</v>
          </cell>
          <cell r="AK59" t="str">
            <v>สาธารณรัฐไอร์แลนด์</v>
          </cell>
          <cell r="AL59" t="str">
            <v>irlanda Cumhuriyeti</v>
          </cell>
          <cell r="AM59" t="str">
            <v>Cộng hòa Ireland</v>
          </cell>
          <cell r="AN59" t="str">
            <v>Ірландія</v>
          </cell>
          <cell r="AO59" t="str">
            <v>جمہوریہ آئرلینڈ</v>
          </cell>
        </row>
        <row r="60">
          <cell r="A60" t="str">
            <v>Iceland</v>
          </cell>
          <cell r="B60" t="str">
            <v>Islandë</v>
          </cell>
          <cell r="C60" t="str">
            <v>أيسلندا</v>
          </cell>
          <cell r="D60" t="str">
            <v>Իսլանդիան</v>
          </cell>
          <cell r="E60" t="str">
            <v>İslandiya</v>
          </cell>
          <cell r="F60" t="str">
            <v>Исландия</v>
          </cell>
          <cell r="G60" t="str">
            <v>Islàndia</v>
          </cell>
          <cell r="H60" t="str">
            <v>冰岛</v>
          </cell>
          <cell r="I60" t="str">
            <v>冰島</v>
          </cell>
          <cell r="J60" t="str">
            <v>Island</v>
          </cell>
          <cell r="K60" t="str">
            <v>Island</v>
          </cell>
          <cell r="L60" t="str">
            <v>Island</v>
          </cell>
          <cell r="M60" t="str">
            <v>IJsland</v>
          </cell>
          <cell r="N60" t="str">
            <v>Islande</v>
          </cell>
          <cell r="O60" t="str">
            <v>ისლანდიის</v>
          </cell>
          <cell r="P60" t="str">
            <v>Island</v>
          </cell>
          <cell r="Q60" t="str">
            <v>Ισλανδία</v>
          </cell>
          <cell r="R60" t="str">
            <v>אִיסלַנד</v>
          </cell>
          <cell r="S60" t="str">
            <v>Izland</v>
          </cell>
          <cell r="T60" t="str">
            <v>Islandia</v>
          </cell>
          <cell r="U60" t="str">
            <v>Ísland</v>
          </cell>
          <cell r="V60" t="str">
            <v>Islanda</v>
          </cell>
          <cell r="W60" t="str">
            <v>아이슬란드</v>
          </cell>
          <cell r="X60" t="str">
            <v>Islandija</v>
          </cell>
          <cell r="Y60" t="str">
            <v>Исланд</v>
          </cell>
          <cell r="Z60" t="str">
            <v>Islanda</v>
          </cell>
          <cell r="AA60" t="str">
            <v>Island</v>
          </cell>
          <cell r="AB60" t="str">
            <v>ایسلند</v>
          </cell>
          <cell r="AC60" t="str">
            <v>Islandia</v>
          </cell>
          <cell r="AD60" t="str">
            <v>Islândia</v>
          </cell>
          <cell r="AE60" t="str">
            <v>Islanda</v>
          </cell>
          <cell r="AF60" t="str">
            <v>Исланд</v>
          </cell>
          <cell r="AG60" t="str">
            <v>Island</v>
          </cell>
          <cell r="AH60" t="str">
            <v>Islandija</v>
          </cell>
          <cell r="AI60" t="str">
            <v>Islandia</v>
          </cell>
          <cell r="AJ60" t="str">
            <v>island</v>
          </cell>
          <cell r="AK60" t="str">
            <v>ประเทศไอซ์แลนด์</v>
          </cell>
          <cell r="AL60" t="str">
            <v>İzlanda</v>
          </cell>
          <cell r="AM60" t="str">
            <v>Iceland</v>
          </cell>
          <cell r="AN60" t="str">
            <v>Ісландія</v>
          </cell>
          <cell r="AO60" t="str">
            <v>آئس لینڈ</v>
          </cell>
        </row>
        <row r="61">
          <cell r="A61" t="str">
            <v>Austria</v>
          </cell>
          <cell r="B61" t="str">
            <v>Austri</v>
          </cell>
          <cell r="C61" t="str">
            <v>النمسا</v>
          </cell>
          <cell r="D61" t="str">
            <v>austria</v>
          </cell>
          <cell r="E61" t="str">
            <v>Avstriya</v>
          </cell>
          <cell r="F61" t="str">
            <v>Австрия</v>
          </cell>
          <cell r="G61" t="str">
            <v>Àustria</v>
          </cell>
          <cell r="H61" t="str">
            <v>奥地利</v>
          </cell>
          <cell r="I61" t="str">
            <v>奧地利</v>
          </cell>
          <cell r="J61" t="str">
            <v>Austrija</v>
          </cell>
          <cell r="K61" t="str">
            <v>Rakousko</v>
          </cell>
          <cell r="L61" t="str">
            <v>Østrig</v>
          </cell>
          <cell r="M61" t="str">
            <v>Oostenrijk</v>
          </cell>
          <cell r="N61" t="str">
            <v>Autriche</v>
          </cell>
          <cell r="O61" t="str">
            <v>ავსტრიაში</v>
          </cell>
          <cell r="P61" t="str">
            <v>Österreich</v>
          </cell>
          <cell r="Q61" t="str">
            <v>Αυστρία</v>
          </cell>
          <cell r="R61" t="str">
            <v>אוֹסְטְרֵיָה</v>
          </cell>
          <cell r="S61" t="str">
            <v>Ausztria</v>
          </cell>
          <cell r="T61" t="str">
            <v>Austria</v>
          </cell>
          <cell r="U61" t="str">
            <v>Austurríki</v>
          </cell>
          <cell r="V61" t="str">
            <v>Austria</v>
          </cell>
          <cell r="W61" t="str">
            <v>오스트리아</v>
          </cell>
          <cell r="X61" t="str">
            <v>Austrija</v>
          </cell>
          <cell r="Y61" t="str">
            <v>Австрија</v>
          </cell>
          <cell r="Z61" t="str">
            <v>awstrija</v>
          </cell>
          <cell r="AA61" t="str">
            <v>Østerrike</v>
          </cell>
          <cell r="AB61" t="str">
            <v>اتریش</v>
          </cell>
          <cell r="AC61" t="str">
            <v>Austria</v>
          </cell>
          <cell r="AD61" t="str">
            <v>Áustria</v>
          </cell>
          <cell r="AE61" t="str">
            <v>Austria</v>
          </cell>
          <cell r="AF61" t="str">
            <v>Аустрија</v>
          </cell>
          <cell r="AG61" t="str">
            <v>Rakúsko</v>
          </cell>
          <cell r="AH61" t="str">
            <v>Avstrija</v>
          </cell>
          <cell r="AI61" t="str">
            <v>Austria</v>
          </cell>
          <cell r="AJ61" t="str">
            <v>österrike</v>
          </cell>
          <cell r="AK61" t="str">
            <v>ออสเตรีย</v>
          </cell>
          <cell r="AL61" t="str">
            <v>Avusturya</v>
          </cell>
          <cell r="AM61" t="str">
            <v>Áo</v>
          </cell>
          <cell r="AN61" t="str">
            <v>Австрія</v>
          </cell>
          <cell r="AO61" t="str">
            <v>آسٹریا</v>
          </cell>
        </row>
        <row r="62">
          <cell r="A62" t="str">
            <v>France</v>
          </cell>
          <cell r="B62" t="str">
            <v>Francë</v>
          </cell>
          <cell r="C62" t="str">
            <v>فرنسا</v>
          </cell>
          <cell r="D62" t="str">
            <v>France</v>
          </cell>
          <cell r="E62" t="str">
            <v>Fransa</v>
          </cell>
          <cell r="F62" t="str">
            <v>Франция</v>
          </cell>
          <cell r="G62" t="str">
            <v>França</v>
          </cell>
          <cell r="H62" t="str">
            <v>法国</v>
          </cell>
          <cell r="I62" t="str">
            <v>法國</v>
          </cell>
          <cell r="J62" t="str">
            <v>Francuska</v>
          </cell>
          <cell r="K62" t="str">
            <v>Francie</v>
          </cell>
          <cell r="L62" t="str">
            <v>Frankrig</v>
          </cell>
          <cell r="M62" t="str">
            <v>Frankrijk</v>
          </cell>
          <cell r="N62" t="str">
            <v>France</v>
          </cell>
          <cell r="O62" t="str">
            <v>საფრანგეთი</v>
          </cell>
          <cell r="P62" t="str">
            <v>Frankreich</v>
          </cell>
          <cell r="Q62" t="str">
            <v>Γαλλία</v>
          </cell>
          <cell r="R62" t="str">
            <v>צרפת</v>
          </cell>
          <cell r="S62" t="str">
            <v>Franciaország</v>
          </cell>
          <cell r="T62" t="str">
            <v>Perancis</v>
          </cell>
          <cell r="U62" t="str">
            <v>France</v>
          </cell>
          <cell r="V62" t="str">
            <v>Francia</v>
          </cell>
          <cell r="W62" t="str">
            <v>프랑스</v>
          </cell>
          <cell r="X62" t="str">
            <v>Prancūzija</v>
          </cell>
          <cell r="Y62" t="str">
            <v>Франција</v>
          </cell>
          <cell r="Z62" t="str">
            <v>Franza</v>
          </cell>
          <cell r="AA62" t="str">
            <v>Frankrike</v>
          </cell>
          <cell r="AB62" t="str">
            <v>فرانسه</v>
          </cell>
          <cell r="AC62" t="str">
            <v>Francja</v>
          </cell>
          <cell r="AD62" t="str">
            <v>França</v>
          </cell>
          <cell r="AE62" t="str">
            <v>Franța</v>
          </cell>
          <cell r="AF62" t="str">
            <v>Француска</v>
          </cell>
          <cell r="AG62" t="str">
            <v>francúzsko</v>
          </cell>
          <cell r="AH62" t="str">
            <v>France</v>
          </cell>
          <cell r="AI62" t="str">
            <v>Francia</v>
          </cell>
          <cell r="AJ62" t="str">
            <v>Frankrike</v>
          </cell>
          <cell r="AK62" t="str">
            <v>ฝรั่งเศส</v>
          </cell>
          <cell r="AL62" t="str">
            <v>Fransa</v>
          </cell>
          <cell r="AM62" t="str">
            <v>Pháp</v>
          </cell>
          <cell r="AN62" t="str">
            <v>Франція</v>
          </cell>
          <cell r="AO62" t="str">
            <v>فرانس</v>
          </cell>
        </row>
        <row r="64">
          <cell r="A64" t="str">
            <v>Poland</v>
          </cell>
          <cell r="B64" t="str">
            <v>Poloni</v>
          </cell>
          <cell r="C64" t="str">
            <v>بولندا</v>
          </cell>
          <cell r="D64" t="str">
            <v>poland</v>
          </cell>
          <cell r="E64" t="str">
            <v>Polşa</v>
          </cell>
          <cell r="F64" t="str">
            <v>Полша</v>
          </cell>
          <cell r="G64" t="str">
            <v>Polònia</v>
          </cell>
          <cell r="H64" t="str">
            <v>波兰</v>
          </cell>
          <cell r="I64" t="str">
            <v>波蘭</v>
          </cell>
          <cell r="J64" t="str">
            <v>Poljska</v>
          </cell>
          <cell r="K64" t="str">
            <v>Polsko</v>
          </cell>
          <cell r="L64" t="str">
            <v>Polen</v>
          </cell>
          <cell r="M64" t="str">
            <v>Polen</v>
          </cell>
          <cell r="N64" t="str">
            <v>Pologne</v>
          </cell>
          <cell r="O64" t="str">
            <v>პოლონეთი</v>
          </cell>
          <cell r="P64" t="str">
            <v>Polen</v>
          </cell>
          <cell r="Q64" t="str">
            <v>Πολωνία</v>
          </cell>
          <cell r="R64" t="str">
            <v>פולין</v>
          </cell>
          <cell r="S64" t="str">
            <v>Lengyelország</v>
          </cell>
          <cell r="T64" t="str">
            <v>Polandia</v>
          </cell>
          <cell r="U64" t="str">
            <v>poland</v>
          </cell>
          <cell r="V64" t="str">
            <v>Polonia</v>
          </cell>
          <cell r="W64" t="str">
            <v>폴란드</v>
          </cell>
          <cell r="X64" t="str">
            <v>Lenkija</v>
          </cell>
          <cell r="Y64" t="str">
            <v>Полска</v>
          </cell>
          <cell r="Z64" t="str">
            <v>Il-Polonja</v>
          </cell>
          <cell r="AA64" t="str">
            <v>Polen</v>
          </cell>
          <cell r="AB64" t="str">
            <v>لهستان</v>
          </cell>
          <cell r="AC64" t="str">
            <v>Polska</v>
          </cell>
          <cell r="AD64" t="str">
            <v>Polônia</v>
          </cell>
          <cell r="AE64" t="str">
            <v>Polonia</v>
          </cell>
          <cell r="AF64" t="str">
            <v>Пољска</v>
          </cell>
          <cell r="AG64" t="str">
            <v>Poľsko</v>
          </cell>
          <cell r="AH64" t="str">
            <v>Poljska</v>
          </cell>
          <cell r="AI64" t="str">
            <v>Polonia</v>
          </cell>
          <cell r="AJ64" t="str">
            <v>polen</v>
          </cell>
          <cell r="AK64" t="str">
            <v>โปแลนด์</v>
          </cell>
          <cell r="AL64" t="str">
            <v>Polonya</v>
          </cell>
          <cell r="AM64" t="str">
            <v>Ba Lan</v>
          </cell>
          <cell r="AN64" t="str">
            <v>Польща</v>
          </cell>
          <cell r="AO64" t="str">
            <v>پولینڈ</v>
          </cell>
        </row>
        <row r="66">
          <cell r="A66" t="str">
            <v>England</v>
          </cell>
          <cell r="B66" t="str">
            <v>Angli</v>
          </cell>
          <cell r="C66" t="str">
            <v>انجلترا</v>
          </cell>
          <cell r="D66" t="str">
            <v>Անգլիա</v>
          </cell>
          <cell r="E66" t="str">
            <v>İngiltərə</v>
          </cell>
          <cell r="F66" t="str">
            <v>Англия</v>
          </cell>
          <cell r="G66" t="str">
            <v>Anglaterra</v>
          </cell>
          <cell r="H66" t="str">
            <v>英国</v>
          </cell>
          <cell r="I66" t="str">
            <v>英國</v>
          </cell>
          <cell r="J66" t="str">
            <v>Engleska</v>
          </cell>
          <cell r="K66" t="str">
            <v>Anglie</v>
          </cell>
          <cell r="L66" t="str">
            <v>England</v>
          </cell>
          <cell r="M66" t="str">
            <v>Engeland</v>
          </cell>
          <cell r="N66" t="str">
            <v>Angleterre</v>
          </cell>
          <cell r="O66" t="str">
            <v>ინგლისი</v>
          </cell>
          <cell r="P66" t="str">
            <v>England</v>
          </cell>
          <cell r="Q66" t="str">
            <v>Αγγλία</v>
          </cell>
          <cell r="R66" t="str">
            <v>אנגליה</v>
          </cell>
          <cell r="S66" t="str">
            <v>Anglia</v>
          </cell>
          <cell r="T66" t="str">
            <v>Inggris</v>
          </cell>
          <cell r="U66" t="str">
            <v>England</v>
          </cell>
          <cell r="V66" t="str">
            <v>Inghilterra</v>
          </cell>
          <cell r="W66" t="str">
            <v>영국</v>
          </cell>
          <cell r="X66" t="str">
            <v>Anglija</v>
          </cell>
          <cell r="Y66" t="str">
            <v>Англија</v>
          </cell>
          <cell r="Z66" t="str">
            <v>Ingilterra</v>
          </cell>
          <cell r="AA66" t="str">
            <v>England</v>
          </cell>
          <cell r="AB66" t="str">
            <v>انگلستان</v>
          </cell>
          <cell r="AC66" t="str">
            <v>Anglia</v>
          </cell>
          <cell r="AD66" t="str">
            <v>Inglaterra</v>
          </cell>
          <cell r="AE66" t="str">
            <v>Anglia</v>
          </cell>
          <cell r="AF66" t="str">
            <v>Енглеска</v>
          </cell>
          <cell r="AG66" t="str">
            <v>Anglicko</v>
          </cell>
          <cell r="AH66" t="str">
            <v>Anglija</v>
          </cell>
          <cell r="AI66" t="str">
            <v>Inglaterra</v>
          </cell>
          <cell r="AJ66" t="str">
            <v>England</v>
          </cell>
          <cell r="AK66" t="str">
            <v>อังกฤษ</v>
          </cell>
          <cell r="AL66" t="str">
            <v>İngiltere</v>
          </cell>
          <cell r="AM66" t="str">
            <v>Anh</v>
          </cell>
          <cell r="AN66" t="str">
            <v>Англія</v>
          </cell>
          <cell r="AO66" t="str">
            <v>انگلینڈ</v>
          </cell>
        </row>
        <row r="67">
          <cell r="A67" t="str">
            <v>Belgium</v>
          </cell>
          <cell r="B67" t="str">
            <v>Belgjikë</v>
          </cell>
          <cell r="C67" t="str">
            <v>بلجيكا</v>
          </cell>
          <cell r="D67" t="str">
            <v>Բելգիա</v>
          </cell>
          <cell r="E67" t="str">
            <v>Belçika</v>
          </cell>
          <cell r="F67" t="str">
            <v>Белгия</v>
          </cell>
          <cell r="G67" t="str">
            <v>Bèlgica</v>
          </cell>
          <cell r="H67" t="str">
            <v>比利时</v>
          </cell>
          <cell r="I67" t="str">
            <v>比利時</v>
          </cell>
          <cell r="J67" t="str">
            <v>Belgija</v>
          </cell>
          <cell r="K67" t="str">
            <v>Belgie</v>
          </cell>
          <cell r="L67" t="str">
            <v>Belgien</v>
          </cell>
          <cell r="M67" t="str">
            <v>België</v>
          </cell>
          <cell r="N67" t="str">
            <v>Belgique</v>
          </cell>
          <cell r="O67" t="str">
            <v>ბელგიის</v>
          </cell>
          <cell r="P67" t="str">
            <v>Belgien</v>
          </cell>
          <cell r="Q67" t="str">
            <v>Βέλγιο</v>
          </cell>
          <cell r="R67" t="str">
            <v>בלגיה</v>
          </cell>
          <cell r="S67" t="str">
            <v>Belgium</v>
          </cell>
          <cell r="T67" t="str">
            <v>Belgia</v>
          </cell>
          <cell r="U67" t="str">
            <v>Belgium</v>
          </cell>
          <cell r="V67" t="str">
            <v>Belgio</v>
          </cell>
          <cell r="W67" t="str">
            <v>벨기에</v>
          </cell>
          <cell r="X67" t="str">
            <v>Belgija</v>
          </cell>
          <cell r="Y67" t="str">
            <v>белгија</v>
          </cell>
          <cell r="Z67" t="str">
            <v>Il-Belġju</v>
          </cell>
          <cell r="AA67" t="str">
            <v>Belgia</v>
          </cell>
          <cell r="AB67" t="str">
            <v>بلژیک</v>
          </cell>
          <cell r="AC67" t="str">
            <v>Belgia</v>
          </cell>
          <cell r="AD67" t="str">
            <v>Bélgica</v>
          </cell>
          <cell r="AE67" t="str">
            <v>Belgia</v>
          </cell>
          <cell r="AF67" t="str">
            <v>Белгија</v>
          </cell>
          <cell r="AG67" t="str">
            <v>belgicko</v>
          </cell>
          <cell r="AH67" t="str">
            <v>Belgija</v>
          </cell>
          <cell r="AI67" t="str">
            <v>Bélgica</v>
          </cell>
          <cell r="AJ67" t="str">
            <v>Belgien</v>
          </cell>
          <cell r="AK67" t="str">
            <v>เบลเยี่ยม</v>
          </cell>
          <cell r="AL67" t="str">
            <v>Belçika</v>
          </cell>
          <cell r="AM67" t="str">
            <v>Bỉ</v>
          </cell>
          <cell r="AN67" t="str">
            <v>Бельгія</v>
          </cell>
          <cell r="AO67" t="str">
            <v>بیلجئیم</v>
          </cell>
        </row>
        <row r="68">
          <cell r="A68" t="str">
            <v>Sweden</v>
          </cell>
          <cell r="B68" t="str">
            <v>Suedi</v>
          </cell>
          <cell r="C68" t="str">
            <v>السويد</v>
          </cell>
          <cell r="D68" t="str">
            <v>sweden</v>
          </cell>
          <cell r="E68" t="str">
            <v>İsveç</v>
          </cell>
          <cell r="F68" t="str">
            <v>Швеция</v>
          </cell>
          <cell r="G68" t="str">
            <v>Suècia</v>
          </cell>
          <cell r="H68" t="str">
            <v>瑞典</v>
          </cell>
          <cell r="I68" t="str">
            <v>瑞典</v>
          </cell>
          <cell r="J68" t="str">
            <v>Švedska</v>
          </cell>
          <cell r="K68" t="str">
            <v>Švédsko</v>
          </cell>
          <cell r="L68" t="str">
            <v>Sverige</v>
          </cell>
          <cell r="M68" t="str">
            <v>Zweden</v>
          </cell>
          <cell r="N68" t="str">
            <v>Suède</v>
          </cell>
          <cell r="O68" t="str">
            <v>შვედეთი</v>
          </cell>
          <cell r="P68" t="str">
            <v>Schweden</v>
          </cell>
          <cell r="Q68" t="str">
            <v>Σουηδία</v>
          </cell>
          <cell r="R68" t="str">
            <v>שוודיה</v>
          </cell>
          <cell r="S68" t="str">
            <v>Svédország</v>
          </cell>
          <cell r="T68" t="str">
            <v>Swedia</v>
          </cell>
          <cell r="U68" t="str">
            <v>Svíþjóð</v>
          </cell>
          <cell r="V68" t="str">
            <v>Svezia</v>
          </cell>
          <cell r="W68" t="str">
            <v>스웨덴</v>
          </cell>
          <cell r="X68" t="str">
            <v>Švedija</v>
          </cell>
          <cell r="Y68" t="str">
            <v>Шведска</v>
          </cell>
          <cell r="Z68" t="str">
            <v>l-Isvezja</v>
          </cell>
          <cell r="AA68" t="str">
            <v>Sverige</v>
          </cell>
          <cell r="AB68" t="str">
            <v>سوئد</v>
          </cell>
          <cell r="AC68" t="str">
            <v>Szwecja</v>
          </cell>
          <cell r="AD68" t="str">
            <v>Suécia</v>
          </cell>
          <cell r="AE68" t="str">
            <v>Suedia</v>
          </cell>
          <cell r="AF68" t="str">
            <v>Шведска</v>
          </cell>
          <cell r="AG68" t="str">
            <v>Švédsko</v>
          </cell>
          <cell r="AH68" t="str">
            <v>Švedska</v>
          </cell>
          <cell r="AI68" t="str">
            <v>Suecia</v>
          </cell>
          <cell r="AJ68" t="str">
            <v>sverige</v>
          </cell>
          <cell r="AK68" t="str">
            <v>สวีเดน</v>
          </cell>
          <cell r="AL68" t="str">
            <v>İsveç</v>
          </cell>
          <cell r="AM68" t="str">
            <v>Thụy Điển</v>
          </cell>
          <cell r="AN68" t="str">
            <v>Швеція</v>
          </cell>
          <cell r="AO68" t="str">
            <v>سویڈن</v>
          </cell>
        </row>
        <row r="69">
          <cell r="A69" t="str">
            <v>Russia</v>
          </cell>
          <cell r="B69" t="str">
            <v>Rusi</v>
          </cell>
          <cell r="C69" t="str">
            <v>روسيا</v>
          </cell>
          <cell r="D69" t="str">
            <v>Ռուսաստան</v>
          </cell>
          <cell r="E69" t="str">
            <v>Rusiya</v>
          </cell>
          <cell r="F69" t="str">
            <v>Русия</v>
          </cell>
          <cell r="G69" t="str">
            <v>Rússia</v>
          </cell>
          <cell r="H69" t="str">
            <v>俄国</v>
          </cell>
          <cell r="I69" t="str">
            <v>俄國</v>
          </cell>
          <cell r="J69" t="str">
            <v>Rusija</v>
          </cell>
          <cell r="K69" t="str">
            <v>Rusko</v>
          </cell>
          <cell r="L69" t="str">
            <v>Rusland</v>
          </cell>
          <cell r="M69" t="str">
            <v>Rusland</v>
          </cell>
          <cell r="N69" t="str">
            <v>Russie</v>
          </cell>
          <cell r="O69" t="str">
            <v>რუსეთის</v>
          </cell>
          <cell r="P69" t="str">
            <v>Russland</v>
          </cell>
          <cell r="Q69" t="str">
            <v>Ρωσία</v>
          </cell>
          <cell r="R69" t="str">
            <v>רוסיה</v>
          </cell>
          <cell r="S69" t="str">
            <v>Oroszország</v>
          </cell>
          <cell r="T69" t="str">
            <v>Rusia</v>
          </cell>
          <cell r="U69" t="str">
            <v>russia</v>
          </cell>
          <cell r="V69" t="str">
            <v>Russia</v>
          </cell>
          <cell r="W69" t="str">
            <v>러시아</v>
          </cell>
          <cell r="X69" t="str">
            <v>Rusija</v>
          </cell>
          <cell r="Y69" t="str">
            <v>Русија</v>
          </cell>
          <cell r="Z69" t="str">
            <v>Russja</v>
          </cell>
          <cell r="AA69" t="str">
            <v>Russland</v>
          </cell>
          <cell r="AB69" t="str">
            <v>روسیه،</v>
          </cell>
          <cell r="AC69" t="str">
            <v>Rosja</v>
          </cell>
          <cell r="AD69" t="str">
            <v>Rússia</v>
          </cell>
          <cell r="AE69" t="str">
            <v>Rusia</v>
          </cell>
          <cell r="AF69" t="str">
            <v>Русија</v>
          </cell>
          <cell r="AG69" t="str">
            <v>rusko</v>
          </cell>
          <cell r="AH69" t="str">
            <v>Rusija</v>
          </cell>
          <cell r="AI69" t="str">
            <v>Rusia</v>
          </cell>
          <cell r="AJ69" t="str">
            <v>Ryssland</v>
          </cell>
          <cell r="AK69" t="str">
            <v>ประเทศรัสเซีย</v>
          </cell>
          <cell r="AL69" t="str">
            <v>Rusya</v>
          </cell>
          <cell r="AM69" t="str">
            <v>Nga</v>
          </cell>
          <cell r="AN69" t="str">
            <v>Росія</v>
          </cell>
          <cell r="AO69" t="str">
            <v>روس</v>
          </cell>
        </row>
        <row r="70">
          <cell r="A70" t="str">
            <v>1A</v>
          </cell>
          <cell r="B70" t="str">
            <v>1A</v>
          </cell>
          <cell r="C70" t="str">
            <v>1A</v>
          </cell>
          <cell r="D70" t="str">
            <v>1A</v>
          </cell>
          <cell r="E70" t="str">
            <v>1A</v>
          </cell>
          <cell r="F70" t="str">
            <v>1A</v>
          </cell>
          <cell r="G70" t="str">
            <v>1A</v>
          </cell>
          <cell r="H70" t="str">
            <v>1A</v>
          </cell>
          <cell r="I70" t="str">
            <v>1A</v>
          </cell>
          <cell r="J70" t="str">
            <v>1A</v>
          </cell>
          <cell r="K70" t="str">
            <v>1A</v>
          </cell>
          <cell r="L70" t="str">
            <v>1A</v>
          </cell>
          <cell r="M70" t="str">
            <v>A1</v>
          </cell>
          <cell r="N70" t="str">
            <v>1A</v>
          </cell>
          <cell r="O70" t="str">
            <v>1A</v>
          </cell>
          <cell r="P70" t="str">
            <v>1A</v>
          </cell>
          <cell r="Q70" t="str">
            <v>1A</v>
          </cell>
          <cell r="R70" t="str">
            <v>1A</v>
          </cell>
          <cell r="S70" t="str">
            <v>1A</v>
          </cell>
          <cell r="T70" t="str">
            <v>1A</v>
          </cell>
          <cell r="U70" t="str">
            <v>1A</v>
          </cell>
          <cell r="V70" t="str">
            <v>1A</v>
          </cell>
          <cell r="W70" t="str">
            <v>A 그룹 1위</v>
          </cell>
          <cell r="X70" t="str">
            <v>1A</v>
          </cell>
          <cell r="Y70" t="str">
            <v>1A</v>
          </cell>
          <cell r="Z70" t="str">
            <v>1A</v>
          </cell>
          <cell r="AA70" t="str">
            <v>1A</v>
          </cell>
          <cell r="AB70" t="str">
            <v>اول گروه A</v>
          </cell>
          <cell r="AC70" t="str">
            <v>1A</v>
          </cell>
          <cell r="AD70" t="str">
            <v>1A</v>
          </cell>
          <cell r="AE70" t="str">
            <v>1A</v>
          </cell>
          <cell r="AF70" t="str">
            <v>1A</v>
          </cell>
          <cell r="AG70" t="str">
            <v>1A</v>
          </cell>
          <cell r="AH70" t="str">
            <v>1A</v>
          </cell>
          <cell r="AI70" t="str">
            <v>1A</v>
          </cell>
          <cell r="AJ70" t="str">
            <v>1A</v>
          </cell>
          <cell r="AK70" t="str">
            <v>ที่ 1 สาย A</v>
          </cell>
          <cell r="AL70" t="str">
            <v>A1</v>
          </cell>
          <cell r="AM70" t="str">
            <v>1A</v>
          </cell>
          <cell r="AN70" t="str">
            <v>1A</v>
          </cell>
          <cell r="AO70" t="str">
            <v>۱الف</v>
          </cell>
        </row>
        <row r="71">
          <cell r="A71" t="str">
            <v>2A</v>
          </cell>
          <cell r="B71" t="str">
            <v>2A</v>
          </cell>
          <cell r="C71" t="str">
            <v>2A</v>
          </cell>
          <cell r="D71" t="str">
            <v>2A</v>
          </cell>
          <cell r="E71" t="str">
            <v>2A</v>
          </cell>
          <cell r="F71" t="str">
            <v>2A</v>
          </cell>
          <cell r="G71" t="str">
            <v>2A</v>
          </cell>
          <cell r="H71" t="str">
            <v>2A</v>
          </cell>
          <cell r="I71" t="str">
            <v>2A</v>
          </cell>
          <cell r="J71" t="str">
            <v>2A</v>
          </cell>
          <cell r="K71" t="str">
            <v>2A</v>
          </cell>
          <cell r="L71" t="str">
            <v>2A</v>
          </cell>
          <cell r="M71" t="str">
            <v>A2</v>
          </cell>
          <cell r="N71" t="str">
            <v>2A</v>
          </cell>
          <cell r="O71" t="str">
            <v>2A</v>
          </cell>
          <cell r="P71" t="str">
            <v>2A</v>
          </cell>
          <cell r="Q71" t="str">
            <v>2A</v>
          </cell>
          <cell r="R71" t="str">
            <v>2A</v>
          </cell>
          <cell r="S71" t="str">
            <v>2A</v>
          </cell>
          <cell r="T71" t="str">
            <v>2A</v>
          </cell>
          <cell r="U71" t="str">
            <v>2A</v>
          </cell>
          <cell r="V71" t="str">
            <v>2A</v>
          </cell>
          <cell r="W71" t="str">
            <v>A 그룹 2위</v>
          </cell>
          <cell r="X71" t="str">
            <v>2A</v>
          </cell>
          <cell r="Y71" t="str">
            <v>2A</v>
          </cell>
          <cell r="Z71" t="str">
            <v>2A</v>
          </cell>
          <cell r="AA71" t="str">
            <v>2A</v>
          </cell>
          <cell r="AB71" t="str">
            <v>دوم گروه A</v>
          </cell>
          <cell r="AC71" t="str">
            <v>2A</v>
          </cell>
          <cell r="AD71" t="str">
            <v>2A</v>
          </cell>
          <cell r="AE71" t="str">
            <v>2A</v>
          </cell>
          <cell r="AF71" t="str">
            <v>2A</v>
          </cell>
          <cell r="AG71" t="str">
            <v>2A</v>
          </cell>
          <cell r="AH71" t="str">
            <v>2A</v>
          </cell>
          <cell r="AI71" t="str">
            <v>2A</v>
          </cell>
          <cell r="AJ71" t="str">
            <v>2A</v>
          </cell>
          <cell r="AK71" t="str">
            <v>ที่ 2 สาย A</v>
          </cell>
          <cell r="AL71" t="str">
            <v>A2</v>
          </cell>
          <cell r="AM71" t="str">
            <v>2A</v>
          </cell>
          <cell r="AN71" t="str">
            <v>2A</v>
          </cell>
          <cell r="AO71" t="str">
            <v>۲الف</v>
          </cell>
        </row>
        <row r="72">
          <cell r="A72" t="str">
            <v>1B</v>
          </cell>
          <cell r="B72" t="str">
            <v>1B</v>
          </cell>
          <cell r="C72" t="str">
            <v>1B</v>
          </cell>
          <cell r="D72" t="str">
            <v>1B</v>
          </cell>
          <cell r="E72" t="str">
            <v>1B</v>
          </cell>
          <cell r="F72" t="str">
            <v>1B</v>
          </cell>
          <cell r="G72" t="str">
            <v>1B</v>
          </cell>
          <cell r="H72" t="str">
            <v>1B</v>
          </cell>
          <cell r="I72" t="str">
            <v>1B</v>
          </cell>
          <cell r="J72" t="str">
            <v>1B</v>
          </cell>
          <cell r="K72" t="str">
            <v>1B</v>
          </cell>
          <cell r="L72" t="str">
            <v>1B</v>
          </cell>
          <cell r="M72" t="str">
            <v>B1</v>
          </cell>
          <cell r="N72" t="str">
            <v>1B</v>
          </cell>
          <cell r="O72" t="str">
            <v>1B</v>
          </cell>
          <cell r="P72" t="str">
            <v>1B</v>
          </cell>
          <cell r="Q72" t="str">
            <v>1B</v>
          </cell>
          <cell r="R72" t="str">
            <v>1B</v>
          </cell>
          <cell r="S72" t="str">
            <v>1B</v>
          </cell>
          <cell r="T72" t="str">
            <v>1B</v>
          </cell>
          <cell r="U72" t="str">
            <v>1B</v>
          </cell>
          <cell r="V72" t="str">
            <v>1B</v>
          </cell>
          <cell r="W72" t="str">
            <v>B 그룹 1위</v>
          </cell>
          <cell r="X72" t="str">
            <v>1B</v>
          </cell>
          <cell r="Y72" t="str">
            <v>1B</v>
          </cell>
          <cell r="Z72" t="str">
            <v>1B</v>
          </cell>
          <cell r="AA72" t="str">
            <v>1B</v>
          </cell>
          <cell r="AB72" t="str">
            <v>اول گروه B</v>
          </cell>
          <cell r="AC72" t="str">
            <v>1B</v>
          </cell>
          <cell r="AD72" t="str">
            <v>1B</v>
          </cell>
          <cell r="AE72" t="str">
            <v>1B</v>
          </cell>
          <cell r="AF72" t="str">
            <v>1B</v>
          </cell>
          <cell r="AG72" t="str">
            <v>1B</v>
          </cell>
          <cell r="AH72" t="str">
            <v>1B</v>
          </cell>
          <cell r="AI72" t="str">
            <v>1B</v>
          </cell>
          <cell r="AJ72" t="str">
            <v>1B</v>
          </cell>
          <cell r="AK72" t="str">
            <v>ที่ 1 สาย B</v>
          </cell>
          <cell r="AL72" t="str">
            <v>B1</v>
          </cell>
          <cell r="AM72" t="str">
            <v>1B</v>
          </cell>
          <cell r="AN72" t="str">
            <v>1B</v>
          </cell>
          <cell r="AO72" t="str">
            <v>۱ب</v>
          </cell>
        </row>
        <row r="73">
          <cell r="A73" t="str">
            <v>2B</v>
          </cell>
          <cell r="B73" t="str">
            <v>2B</v>
          </cell>
          <cell r="C73" t="str">
            <v>2B</v>
          </cell>
          <cell r="D73" t="str">
            <v>2B</v>
          </cell>
          <cell r="E73" t="str">
            <v>2B</v>
          </cell>
          <cell r="F73" t="str">
            <v>2B</v>
          </cell>
          <cell r="G73" t="str">
            <v>2B</v>
          </cell>
          <cell r="H73" t="str">
            <v>2B</v>
          </cell>
          <cell r="I73" t="str">
            <v>2B</v>
          </cell>
          <cell r="J73" t="str">
            <v>2B</v>
          </cell>
          <cell r="K73" t="str">
            <v>2B</v>
          </cell>
          <cell r="L73" t="str">
            <v>2B</v>
          </cell>
          <cell r="M73" t="str">
            <v>B2</v>
          </cell>
          <cell r="N73" t="str">
            <v>2B</v>
          </cell>
          <cell r="O73" t="str">
            <v>2B</v>
          </cell>
          <cell r="P73" t="str">
            <v>2B</v>
          </cell>
          <cell r="Q73" t="str">
            <v>2B</v>
          </cell>
          <cell r="R73" t="str">
            <v>2B</v>
          </cell>
          <cell r="S73" t="str">
            <v>2B</v>
          </cell>
          <cell r="T73" t="str">
            <v>2B</v>
          </cell>
          <cell r="U73" t="str">
            <v>2B</v>
          </cell>
          <cell r="V73" t="str">
            <v>2B</v>
          </cell>
          <cell r="W73" t="str">
            <v>B 그룹 2위</v>
          </cell>
          <cell r="X73" t="str">
            <v>2B</v>
          </cell>
          <cell r="Y73" t="str">
            <v>2B</v>
          </cell>
          <cell r="Z73" t="str">
            <v>2B</v>
          </cell>
          <cell r="AA73" t="str">
            <v>2B</v>
          </cell>
          <cell r="AB73" t="str">
            <v>دوم گروهB</v>
          </cell>
          <cell r="AC73" t="str">
            <v>2B</v>
          </cell>
          <cell r="AD73" t="str">
            <v>2B</v>
          </cell>
          <cell r="AE73" t="str">
            <v>2B</v>
          </cell>
          <cell r="AF73" t="str">
            <v>2B</v>
          </cell>
          <cell r="AG73" t="str">
            <v>2B</v>
          </cell>
          <cell r="AH73" t="str">
            <v>2B</v>
          </cell>
          <cell r="AI73" t="str">
            <v>2B</v>
          </cell>
          <cell r="AJ73" t="str">
            <v>2B</v>
          </cell>
          <cell r="AK73" t="str">
            <v>ที่ 2 สาย B</v>
          </cell>
          <cell r="AL73" t="str">
            <v>B2</v>
          </cell>
          <cell r="AM73" t="str">
            <v>2B</v>
          </cell>
          <cell r="AN73" t="str">
            <v>2B</v>
          </cell>
          <cell r="AO73" t="str">
            <v>۲ب</v>
          </cell>
        </row>
        <row r="74">
          <cell r="A74" t="str">
            <v>1C</v>
          </cell>
          <cell r="B74" t="str">
            <v>1C</v>
          </cell>
          <cell r="C74" t="str">
            <v>1C</v>
          </cell>
          <cell r="D74" t="str">
            <v>1C</v>
          </cell>
          <cell r="E74" t="str">
            <v>1C</v>
          </cell>
          <cell r="F74" t="str">
            <v>1C</v>
          </cell>
          <cell r="G74" t="str">
            <v>1C</v>
          </cell>
          <cell r="H74" t="str">
            <v>1C</v>
          </cell>
          <cell r="I74" t="str">
            <v>1C</v>
          </cell>
          <cell r="J74" t="str">
            <v>1C</v>
          </cell>
          <cell r="K74" t="str">
            <v>1C</v>
          </cell>
          <cell r="L74" t="str">
            <v>1C</v>
          </cell>
          <cell r="M74" t="str">
            <v>C1</v>
          </cell>
          <cell r="N74" t="str">
            <v>1C</v>
          </cell>
          <cell r="O74" t="str">
            <v>1C</v>
          </cell>
          <cell r="P74" t="str">
            <v>1C</v>
          </cell>
          <cell r="Q74" t="str">
            <v>1Γ</v>
          </cell>
          <cell r="R74" t="str">
            <v>1C</v>
          </cell>
          <cell r="S74" t="str">
            <v>1C</v>
          </cell>
          <cell r="T74" t="str">
            <v>1C</v>
          </cell>
          <cell r="U74" t="str">
            <v>1C</v>
          </cell>
          <cell r="V74" t="str">
            <v>1C</v>
          </cell>
          <cell r="W74" t="str">
            <v>C 그룹 1위</v>
          </cell>
          <cell r="X74" t="str">
            <v>1C</v>
          </cell>
          <cell r="Y74" t="str">
            <v>1C</v>
          </cell>
          <cell r="Z74" t="str">
            <v>1Ċ</v>
          </cell>
          <cell r="AA74" t="str">
            <v>1C</v>
          </cell>
          <cell r="AB74" t="str">
            <v>اول گروه C</v>
          </cell>
          <cell r="AC74" t="str">
            <v>1C</v>
          </cell>
          <cell r="AD74" t="str">
            <v>1C</v>
          </cell>
          <cell r="AE74" t="str">
            <v>1C</v>
          </cell>
          <cell r="AF74" t="str">
            <v>1C</v>
          </cell>
          <cell r="AG74" t="str">
            <v>1C</v>
          </cell>
          <cell r="AH74" t="str">
            <v>1C</v>
          </cell>
          <cell r="AI74" t="str">
            <v>1C</v>
          </cell>
          <cell r="AJ74" t="str">
            <v>1C</v>
          </cell>
          <cell r="AK74" t="str">
            <v>ที่ 1 สาย C</v>
          </cell>
          <cell r="AL74" t="str">
            <v>C1</v>
          </cell>
          <cell r="AM74" t="str">
            <v>1C</v>
          </cell>
          <cell r="AN74" t="str">
            <v>1C</v>
          </cell>
          <cell r="AO74" t="str">
            <v>۱ج</v>
          </cell>
        </row>
        <row r="75">
          <cell r="A75" t="str">
            <v>2C</v>
          </cell>
          <cell r="B75" t="str">
            <v>2C</v>
          </cell>
          <cell r="C75" t="str">
            <v>2C</v>
          </cell>
          <cell r="D75" t="str">
            <v>2C</v>
          </cell>
          <cell r="E75" t="str">
            <v>2C</v>
          </cell>
          <cell r="F75" t="str">
            <v>2C</v>
          </cell>
          <cell r="G75" t="str">
            <v>2C</v>
          </cell>
          <cell r="H75" t="str">
            <v>2C</v>
          </cell>
          <cell r="I75" t="str">
            <v>2C</v>
          </cell>
          <cell r="J75" t="str">
            <v>2C</v>
          </cell>
          <cell r="K75" t="str">
            <v>2C</v>
          </cell>
          <cell r="L75" t="str">
            <v>2C</v>
          </cell>
          <cell r="M75" t="str">
            <v>C2</v>
          </cell>
          <cell r="N75" t="str">
            <v>2C</v>
          </cell>
          <cell r="O75" t="str">
            <v>2C</v>
          </cell>
          <cell r="P75" t="str">
            <v>2C</v>
          </cell>
          <cell r="Q75" t="str">
            <v>2Γ</v>
          </cell>
          <cell r="R75" t="str">
            <v>2C</v>
          </cell>
          <cell r="S75" t="str">
            <v>2C</v>
          </cell>
          <cell r="T75" t="str">
            <v>2C</v>
          </cell>
          <cell r="U75" t="str">
            <v>2C</v>
          </cell>
          <cell r="V75" t="str">
            <v>2C</v>
          </cell>
          <cell r="W75" t="str">
            <v>C 그룹 2위</v>
          </cell>
          <cell r="X75" t="str">
            <v>2C</v>
          </cell>
          <cell r="Y75" t="str">
            <v>2C</v>
          </cell>
          <cell r="Z75" t="str">
            <v>2Ċ</v>
          </cell>
          <cell r="AA75" t="str">
            <v>2C</v>
          </cell>
          <cell r="AB75" t="str">
            <v>دوم گروه C</v>
          </cell>
          <cell r="AC75" t="str">
            <v>2C</v>
          </cell>
          <cell r="AD75" t="str">
            <v>2C</v>
          </cell>
          <cell r="AE75" t="str">
            <v>2C</v>
          </cell>
          <cell r="AF75" t="str">
            <v>2C</v>
          </cell>
          <cell r="AG75" t="str">
            <v>2C</v>
          </cell>
          <cell r="AH75" t="str">
            <v>2C</v>
          </cell>
          <cell r="AI75" t="str">
            <v>2C</v>
          </cell>
          <cell r="AJ75" t="str">
            <v>2C</v>
          </cell>
          <cell r="AK75" t="str">
            <v>ที่ 2 สาย C</v>
          </cell>
          <cell r="AL75" t="str">
            <v>C2</v>
          </cell>
          <cell r="AM75" t="str">
            <v>2C</v>
          </cell>
          <cell r="AN75" t="str">
            <v>2C</v>
          </cell>
          <cell r="AO75" t="str">
            <v>۲ج</v>
          </cell>
        </row>
        <row r="76">
          <cell r="A76" t="str">
            <v>1D</v>
          </cell>
          <cell r="B76" t="str">
            <v>1D</v>
          </cell>
          <cell r="C76" t="str">
            <v>1D</v>
          </cell>
          <cell r="D76" t="str">
            <v>1D</v>
          </cell>
          <cell r="E76" t="str">
            <v>1D</v>
          </cell>
          <cell r="F76" t="str">
            <v>1D</v>
          </cell>
          <cell r="G76" t="str">
            <v>1D</v>
          </cell>
          <cell r="H76" t="str">
            <v>1D</v>
          </cell>
          <cell r="I76" t="str">
            <v>1D</v>
          </cell>
          <cell r="J76" t="str">
            <v>1D</v>
          </cell>
          <cell r="K76" t="str">
            <v>1D</v>
          </cell>
          <cell r="L76" t="str">
            <v>1D</v>
          </cell>
          <cell r="M76" t="str">
            <v>D1</v>
          </cell>
          <cell r="N76" t="str">
            <v>1D</v>
          </cell>
          <cell r="O76" t="str">
            <v>1D</v>
          </cell>
          <cell r="P76" t="str">
            <v>1D</v>
          </cell>
          <cell r="Q76" t="str">
            <v>1Δ</v>
          </cell>
          <cell r="R76" t="str">
            <v>1D</v>
          </cell>
          <cell r="S76" t="str">
            <v>1D</v>
          </cell>
          <cell r="T76" t="str">
            <v>1D</v>
          </cell>
          <cell r="U76" t="str">
            <v>1D</v>
          </cell>
          <cell r="V76" t="str">
            <v>1D</v>
          </cell>
          <cell r="W76" t="str">
            <v>D 그룹 1위</v>
          </cell>
          <cell r="X76" t="str">
            <v>1D</v>
          </cell>
          <cell r="Y76" t="str">
            <v>1D</v>
          </cell>
          <cell r="Z76" t="str">
            <v>1D</v>
          </cell>
          <cell r="AA76" t="str">
            <v>1D</v>
          </cell>
          <cell r="AB76" t="str">
            <v>اول گروه D</v>
          </cell>
          <cell r="AC76" t="str">
            <v>1D</v>
          </cell>
          <cell r="AD76" t="str">
            <v>1D</v>
          </cell>
          <cell r="AE76" t="str">
            <v>1D</v>
          </cell>
          <cell r="AF76" t="str">
            <v>1D</v>
          </cell>
          <cell r="AG76" t="str">
            <v>1D</v>
          </cell>
          <cell r="AH76" t="str">
            <v>1D</v>
          </cell>
          <cell r="AI76" t="str">
            <v>1D</v>
          </cell>
          <cell r="AJ76" t="str">
            <v>1D</v>
          </cell>
          <cell r="AK76" t="str">
            <v>ที่ 1 สาย D</v>
          </cell>
          <cell r="AL76" t="str">
            <v>D1</v>
          </cell>
          <cell r="AM76" t="str">
            <v>1D</v>
          </cell>
          <cell r="AN76" t="str">
            <v>1D</v>
          </cell>
          <cell r="AO76" t="str">
            <v>۱د</v>
          </cell>
        </row>
        <row r="77">
          <cell r="A77" t="str">
            <v>2D</v>
          </cell>
          <cell r="B77" t="str">
            <v>2D</v>
          </cell>
          <cell r="C77" t="str">
            <v>2D</v>
          </cell>
          <cell r="D77" t="str">
            <v>2D</v>
          </cell>
          <cell r="E77" t="str">
            <v>2D</v>
          </cell>
          <cell r="F77" t="str">
            <v>2D</v>
          </cell>
          <cell r="G77" t="str">
            <v>2D</v>
          </cell>
          <cell r="H77" t="str">
            <v>2D</v>
          </cell>
          <cell r="I77" t="str">
            <v>2D</v>
          </cell>
          <cell r="J77" t="str">
            <v>2D</v>
          </cell>
          <cell r="K77" t="str">
            <v>2D</v>
          </cell>
          <cell r="L77" t="str">
            <v>2D</v>
          </cell>
          <cell r="M77" t="str">
            <v>D2</v>
          </cell>
          <cell r="N77" t="str">
            <v>2D</v>
          </cell>
          <cell r="O77" t="str">
            <v>2D</v>
          </cell>
          <cell r="P77" t="str">
            <v>2D</v>
          </cell>
          <cell r="Q77" t="str">
            <v>2Δ</v>
          </cell>
          <cell r="R77" t="str">
            <v>2D</v>
          </cell>
          <cell r="S77" t="str">
            <v>2D</v>
          </cell>
          <cell r="T77" t="str">
            <v>2D</v>
          </cell>
          <cell r="U77" t="str">
            <v>2D</v>
          </cell>
          <cell r="V77" t="str">
            <v>2D</v>
          </cell>
          <cell r="W77" t="str">
            <v>D 그룹 2위</v>
          </cell>
          <cell r="X77" t="str">
            <v>2D</v>
          </cell>
          <cell r="Y77" t="str">
            <v>2D</v>
          </cell>
          <cell r="Z77" t="str">
            <v>2D</v>
          </cell>
          <cell r="AA77" t="str">
            <v>2D</v>
          </cell>
          <cell r="AB77" t="str">
            <v>دوم گروه D</v>
          </cell>
          <cell r="AC77" t="str">
            <v>2D</v>
          </cell>
          <cell r="AD77" t="str">
            <v>2D</v>
          </cell>
          <cell r="AE77" t="str">
            <v>2D</v>
          </cell>
          <cell r="AF77" t="str">
            <v>2D</v>
          </cell>
          <cell r="AG77" t="str">
            <v>2D</v>
          </cell>
          <cell r="AH77" t="str">
            <v>2D</v>
          </cell>
          <cell r="AI77" t="str">
            <v>2D</v>
          </cell>
          <cell r="AJ77" t="str">
            <v>2D</v>
          </cell>
          <cell r="AK77" t="str">
            <v>ที่ 2 สาย D</v>
          </cell>
          <cell r="AL77" t="str">
            <v>D2</v>
          </cell>
          <cell r="AM77" t="str">
            <v>2D</v>
          </cell>
          <cell r="AN77" t="str">
            <v>2D</v>
          </cell>
          <cell r="AO77" t="str">
            <v>۲د</v>
          </cell>
        </row>
        <row r="78">
          <cell r="A78" t="str">
            <v>1E</v>
          </cell>
          <cell r="B78" t="str">
            <v>1E</v>
          </cell>
          <cell r="C78" t="str">
            <v>1E</v>
          </cell>
          <cell r="D78" t="str">
            <v>1E</v>
          </cell>
          <cell r="E78" t="str">
            <v>1E</v>
          </cell>
          <cell r="F78" t="str">
            <v>1E</v>
          </cell>
          <cell r="G78" t="str">
            <v>1E</v>
          </cell>
          <cell r="H78" t="str">
            <v>1E</v>
          </cell>
          <cell r="I78" t="str">
            <v>1E</v>
          </cell>
          <cell r="J78" t="str">
            <v>1E</v>
          </cell>
          <cell r="K78" t="str">
            <v>1E</v>
          </cell>
          <cell r="L78" t="str">
            <v>1E</v>
          </cell>
          <cell r="M78" t="str">
            <v>E1</v>
          </cell>
          <cell r="N78" t="str">
            <v>1E</v>
          </cell>
          <cell r="O78" t="str">
            <v>1E</v>
          </cell>
          <cell r="P78" t="str">
            <v>1E</v>
          </cell>
          <cell r="Q78" t="str">
            <v>1Ε</v>
          </cell>
          <cell r="R78" t="str">
            <v>1E</v>
          </cell>
          <cell r="S78" t="str">
            <v>1E</v>
          </cell>
          <cell r="T78" t="str">
            <v>1E</v>
          </cell>
          <cell r="U78" t="str">
            <v>1E</v>
          </cell>
          <cell r="V78" t="str">
            <v>1E</v>
          </cell>
          <cell r="W78" t="str">
            <v>E 그룹 1위</v>
          </cell>
          <cell r="X78" t="str">
            <v>1E</v>
          </cell>
          <cell r="Y78" t="str">
            <v>1E</v>
          </cell>
          <cell r="Z78" t="str">
            <v>1E</v>
          </cell>
          <cell r="AA78" t="str">
            <v>1E</v>
          </cell>
          <cell r="AB78" t="str">
            <v>اول گروه E</v>
          </cell>
          <cell r="AC78" t="str">
            <v>1E</v>
          </cell>
          <cell r="AD78" t="str">
            <v>1E</v>
          </cell>
          <cell r="AE78" t="str">
            <v>1E</v>
          </cell>
          <cell r="AF78" t="str">
            <v>1E</v>
          </cell>
          <cell r="AG78" t="str">
            <v>1E</v>
          </cell>
          <cell r="AH78" t="str">
            <v>1E</v>
          </cell>
          <cell r="AI78" t="str">
            <v>1E</v>
          </cell>
          <cell r="AJ78" t="str">
            <v>1E</v>
          </cell>
          <cell r="AK78" t="str">
            <v>ที่ 1 สาย E</v>
          </cell>
          <cell r="AL78" t="str">
            <v>E1</v>
          </cell>
          <cell r="AM78" t="str">
            <v>1E</v>
          </cell>
          <cell r="AN78" t="str">
            <v>1E</v>
          </cell>
          <cell r="AO78" t="str">
            <v>۱ھ</v>
          </cell>
        </row>
        <row r="79">
          <cell r="A79" t="str">
            <v>2E</v>
          </cell>
          <cell r="B79" t="str">
            <v>2E</v>
          </cell>
          <cell r="C79" t="str">
            <v>2E</v>
          </cell>
          <cell r="D79" t="str">
            <v>2E</v>
          </cell>
          <cell r="E79" t="str">
            <v>2E</v>
          </cell>
          <cell r="F79" t="str">
            <v>2E</v>
          </cell>
          <cell r="G79" t="str">
            <v>2E</v>
          </cell>
          <cell r="H79" t="str">
            <v>2E</v>
          </cell>
          <cell r="I79" t="str">
            <v>2E</v>
          </cell>
          <cell r="J79" t="str">
            <v>2E</v>
          </cell>
          <cell r="K79" t="str">
            <v>2E</v>
          </cell>
          <cell r="L79" t="str">
            <v>2E</v>
          </cell>
          <cell r="M79" t="str">
            <v>E2</v>
          </cell>
          <cell r="N79" t="str">
            <v>2E</v>
          </cell>
          <cell r="O79" t="str">
            <v>2E</v>
          </cell>
          <cell r="P79" t="str">
            <v>2E</v>
          </cell>
          <cell r="Q79" t="str">
            <v>2Ε</v>
          </cell>
          <cell r="R79" t="str">
            <v>2E</v>
          </cell>
          <cell r="S79" t="str">
            <v>2E</v>
          </cell>
          <cell r="T79" t="str">
            <v>2E</v>
          </cell>
          <cell r="U79" t="str">
            <v>2E</v>
          </cell>
          <cell r="V79" t="str">
            <v>2E</v>
          </cell>
          <cell r="W79" t="str">
            <v>E 그룹 2위</v>
          </cell>
          <cell r="X79" t="str">
            <v>2E</v>
          </cell>
          <cell r="Y79" t="str">
            <v>2E</v>
          </cell>
          <cell r="Z79" t="str">
            <v>2E</v>
          </cell>
          <cell r="AA79" t="str">
            <v>2E</v>
          </cell>
          <cell r="AB79" t="str">
            <v>دوم گروه E</v>
          </cell>
          <cell r="AC79" t="str">
            <v>2E</v>
          </cell>
          <cell r="AD79" t="str">
            <v>2E</v>
          </cell>
          <cell r="AE79" t="str">
            <v>2E</v>
          </cell>
          <cell r="AF79" t="str">
            <v>2E</v>
          </cell>
          <cell r="AG79" t="str">
            <v>2E</v>
          </cell>
          <cell r="AH79" t="str">
            <v>2E</v>
          </cell>
          <cell r="AI79" t="str">
            <v>2E</v>
          </cell>
          <cell r="AJ79" t="str">
            <v>2E</v>
          </cell>
          <cell r="AK79" t="str">
            <v>ที่ 2 สาย E</v>
          </cell>
          <cell r="AL79" t="str">
            <v>E2</v>
          </cell>
          <cell r="AM79" t="str">
            <v>2E</v>
          </cell>
          <cell r="AN79" t="str">
            <v>2E</v>
          </cell>
          <cell r="AO79" t="str">
            <v>۲ھ</v>
          </cell>
        </row>
        <row r="80">
          <cell r="A80" t="str">
            <v>1F</v>
          </cell>
          <cell r="B80" t="str">
            <v>1F</v>
          </cell>
          <cell r="C80" t="str">
            <v>1F</v>
          </cell>
          <cell r="D80" t="str">
            <v>1F</v>
          </cell>
          <cell r="E80" t="str">
            <v>1F</v>
          </cell>
          <cell r="F80" t="str">
            <v>1F</v>
          </cell>
          <cell r="G80" t="str">
            <v>1F</v>
          </cell>
          <cell r="H80" t="str">
            <v>1F</v>
          </cell>
          <cell r="I80" t="str">
            <v>1F</v>
          </cell>
          <cell r="J80" t="str">
            <v>1F</v>
          </cell>
          <cell r="K80" t="str">
            <v>1F</v>
          </cell>
          <cell r="L80" t="str">
            <v>1F</v>
          </cell>
          <cell r="M80" t="str">
            <v>F1</v>
          </cell>
          <cell r="N80" t="str">
            <v>1F</v>
          </cell>
          <cell r="O80" t="str">
            <v>1F</v>
          </cell>
          <cell r="P80" t="str">
            <v>1F</v>
          </cell>
          <cell r="Q80" t="str">
            <v>1ΣΤ</v>
          </cell>
          <cell r="R80" t="str">
            <v>1F</v>
          </cell>
          <cell r="S80" t="str">
            <v>1F</v>
          </cell>
          <cell r="T80" t="str">
            <v>1F</v>
          </cell>
          <cell r="U80" t="str">
            <v>1F</v>
          </cell>
          <cell r="V80" t="str">
            <v>1F</v>
          </cell>
          <cell r="W80" t="str">
            <v>F 그룹 1위</v>
          </cell>
          <cell r="X80" t="str">
            <v>1F</v>
          </cell>
          <cell r="Y80" t="str">
            <v>1F</v>
          </cell>
          <cell r="Z80" t="str">
            <v>1F</v>
          </cell>
          <cell r="AA80" t="str">
            <v>1F</v>
          </cell>
          <cell r="AB80" t="str">
            <v>اول گروه F</v>
          </cell>
          <cell r="AC80" t="str">
            <v>1F</v>
          </cell>
          <cell r="AD80" t="str">
            <v>1F</v>
          </cell>
          <cell r="AE80" t="str">
            <v>1F</v>
          </cell>
          <cell r="AF80" t="str">
            <v>1F</v>
          </cell>
          <cell r="AG80" t="str">
            <v>1F</v>
          </cell>
          <cell r="AH80" t="str">
            <v>1F</v>
          </cell>
          <cell r="AI80" t="str">
            <v>1F</v>
          </cell>
          <cell r="AJ80" t="str">
            <v>1F</v>
          </cell>
          <cell r="AK80" t="str">
            <v>ที่ 1 สาย F</v>
          </cell>
          <cell r="AL80" t="str">
            <v>F1</v>
          </cell>
          <cell r="AM80" t="str">
            <v>1F</v>
          </cell>
          <cell r="AN80" t="str">
            <v>1F</v>
          </cell>
          <cell r="AO80" t="str">
            <v>۱و</v>
          </cell>
        </row>
        <row r="81">
          <cell r="A81" t="str">
            <v>2F</v>
          </cell>
          <cell r="B81" t="str">
            <v>2F</v>
          </cell>
          <cell r="C81" t="str">
            <v>2F</v>
          </cell>
          <cell r="D81" t="str">
            <v>2F</v>
          </cell>
          <cell r="E81" t="str">
            <v>2F</v>
          </cell>
          <cell r="F81" t="str">
            <v>2F</v>
          </cell>
          <cell r="G81" t="str">
            <v>2F</v>
          </cell>
          <cell r="H81" t="str">
            <v>2F</v>
          </cell>
          <cell r="I81" t="str">
            <v>2F</v>
          </cell>
          <cell r="J81" t="str">
            <v>2F</v>
          </cell>
          <cell r="K81" t="str">
            <v>2F</v>
          </cell>
          <cell r="L81" t="str">
            <v>2F</v>
          </cell>
          <cell r="M81" t="str">
            <v>F2</v>
          </cell>
          <cell r="N81" t="str">
            <v>2F</v>
          </cell>
          <cell r="O81" t="str">
            <v>2F</v>
          </cell>
          <cell r="P81" t="str">
            <v>2F</v>
          </cell>
          <cell r="Q81" t="str">
            <v>2ΣΤ</v>
          </cell>
          <cell r="R81" t="str">
            <v>2F</v>
          </cell>
          <cell r="S81" t="str">
            <v>2F</v>
          </cell>
          <cell r="T81" t="str">
            <v>2F</v>
          </cell>
          <cell r="U81" t="str">
            <v>2F</v>
          </cell>
          <cell r="V81" t="str">
            <v>2F</v>
          </cell>
          <cell r="W81" t="str">
            <v>F 그룹 2위</v>
          </cell>
          <cell r="X81" t="str">
            <v>2F</v>
          </cell>
          <cell r="Y81" t="str">
            <v>2F</v>
          </cell>
          <cell r="Z81" t="str">
            <v>2F</v>
          </cell>
          <cell r="AA81" t="str">
            <v>2F</v>
          </cell>
          <cell r="AB81" t="str">
            <v>دوم گروه F</v>
          </cell>
          <cell r="AC81" t="str">
            <v>2F</v>
          </cell>
          <cell r="AD81" t="str">
            <v>2F</v>
          </cell>
          <cell r="AE81" t="str">
            <v>2F</v>
          </cell>
          <cell r="AF81" t="str">
            <v>2F</v>
          </cell>
          <cell r="AG81" t="str">
            <v>2F</v>
          </cell>
          <cell r="AH81" t="str">
            <v>2F</v>
          </cell>
          <cell r="AI81" t="str">
            <v>2F</v>
          </cell>
          <cell r="AJ81" t="str">
            <v>2F</v>
          </cell>
          <cell r="AK81" t="str">
            <v>ที่ 2 สาย F</v>
          </cell>
          <cell r="AL81" t="str">
            <v>F2</v>
          </cell>
          <cell r="AM81" t="str">
            <v>2F</v>
          </cell>
          <cell r="AN81" t="str">
            <v>2F</v>
          </cell>
          <cell r="AO81" t="str">
            <v>۲و</v>
          </cell>
        </row>
        <row r="82">
          <cell r="A82" t="str">
            <v>1G</v>
          </cell>
          <cell r="B82" t="str">
            <v>1G</v>
          </cell>
          <cell r="C82" t="str">
            <v>1G</v>
          </cell>
          <cell r="D82" t="str">
            <v>1G</v>
          </cell>
          <cell r="E82" t="str">
            <v>1G</v>
          </cell>
          <cell r="F82" t="str">
            <v>1G</v>
          </cell>
          <cell r="G82" t="str">
            <v>1G</v>
          </cell>
          <cell r="H82" t="str">
            <v>1G</v>
          </cell>
          <cell r="I82" t="str">
            <v>1G</v>
          </cell>
          <cell r="J82" t="str">
            <v>1G</v>
          </cell>
          <cell r="K82" t="str">
            <v>1G</v>
          </cell>
          <cell r="L82" t="str">
            <v>1G</v>
          </cell>
          <cell r="M82" t="str">
            <v>G1</v>
          </cell>
          <cell r="N82" t="str">
            <v>1G</v>
          </cell>
          <cell r="O82" t="str">
            <v>1G</v>
          </cell>
          <cell r="P82" t="str">
            <v>1G</v>
          </cell>
          <cell r="Q82" t="str">
            <v>1Ζ</v>
          </cell>
          <cell r="R82" t="str">
            <v>1G</v>
          </cell>
          <cell r="S82" t="str">
            <v>1G</v>
          </cell>
          <cell r="T82" t="str">
            <v>1G</v>
          </cell>
          <cell r="U82" t="str">
            <v>1G</v>
          </cell>
          <cell r="V82" t="str">
            <v>1G</v>
          </cell>
          <cell r="W82" t="str">
            <v>G 그룹 1위</v>
          </cell>
          <cell r="X82" t="str">
            <v>1G</v>
          </cell>
          <cell r="Y82" t="str">
            <v>1G</v>
          </cell>
          <cell r="Z82" t="str">
            <v>1Ġ</v>
          </cell>
          <cell r="AA82" t="str">
            <v>1G</v>
          </cell>
          <cell r="AB82" t="str">
            <v>اول گروه G</v>
          </cell>
          <cell r="AC82" t="str">
            <v>1G</v>
          </cell>
          <cell r="AD82" t="str">
            <v>1G</v>
          </cell>
          <cell r="AE82" t="str">
            <v>1G</v>
          </cell>
          <cell r="AF82" t="str">
            <v>1G</v>
          </cell>
          <cell r="AG82" t="str">
            <v>1G</v>
          </cell>
          <cell r="AH82" t="str">
            <v>1G</v>
          </cell>
          <cell r="AI82" t="str">
            <v>1G</v>
          </cell>
          <cell r="AJ82" t="str">
            <v>1G</v>
          </cell>
          <cell r="AK82" t="str">
            <v>ที่ 1 สาย G</v>
          </cell>
          <cell r="AL82" t="str">
            <v>G1</v>
          </cell>
          <cell r="AM82" t="str">
            <v>1G</v>
          </cell>
          <cell r="AN82" t="str">
            <v>1G</v>
          </cell>
          <cell r="AO82" t="str">
            <v>۱ز</v>
          </cell>
        </row>
        <row r="83">
          <cell r="A83" t="str">
            <v>2G</v>
          </cell>
          <cell r="B83" t="str">
            <v>2G</v>
          </cell>
          <cell r="C83" t="str">
            <v>2G</v>
          </cell>
          <cell r="D83" t="str">
            <v>2G</v>
          </cell>
          <cell r="E83" t="str">
            <v>2G</v>
          </cell>
          <cell r="F83" t="str">
            <v>2G</v>
          </cell>
          <cell r="G83" t="str">
            <v>2G</v>
          </cell>
          <cell r="H83" t="str">
            <v>2G</v>
          </cell>
          <cell r="I83" t="str">
            <v>2G</v>
          </cell>
          <cell r="J83" t="str">
            <v>2G</v>
          </cell>
          <cell r="K83" t="str">
            <v>2G</v>
          </cell>
          <cell r="L83" t="str">
            <v>2G</v>
          </cell>
          <cell r="M83" t="str">
            <v>G2</v>
          </cell>
          <cell r="N83" t="str">
            <v>2G</v>
          </cell>
          <cell r="O83" t="str">
            <v>2G</v>
          </cell>
          <cell r="P83" t="str">
            <v>2G</v>
          </cell>
          <cell r="Q83" t="str">
            <v>2Ζ</v>
          </cell>
          <cell r="R83" t="str">
            <v>2G</v>
          </cell>
          <cell r="S83" t="str">
            <v>2G</v>
          </cell>
          <cell r="T83" t="str">
            <v>2G</v>
          </cell>
          <cell r="U83" t="str">
            <v>2G</v>
          </cell>
          <cell r="V83" t="str">
            <v>2G</v>
          </cell>
          <cell r="W83" t="str">
            <v>G 그룹 2위</v>
          </cell>
          <cell r="X83" t="str">
            <v>2G</v>
          </cell>
          <cell r="Y83" t="str">
            <v>2G</v>
          </cell>
          <cell r="Z83" t="str">
            <v>2Ġ</v>
          </cell>
          <cell r="AA83" t="str">
            <v>2G</v>
          </cell>
          <cell r="AB83" t="str">
            <v>دوم گروه G</v>
          </cell>
          <cell r="AC83" t="str">
            <v>2G</v>
          </cell>
          <cell r="AD83" t="str">
            <v>2G</v>
          </cell>
          <cell r="AE83" t="str">
            <v>2G</v>
          </cell>
          <cell r="AF83" t="str">
            <v>2G</v>
          </cell>
          <cell r="AG83" t="str">
            <v>2G</v>
          </cell>
          <cell r="AH83" t="str">
            <v>2G</v>
          </cell>
          <cell r="AI83" t="str">
            <v>2G</v>
          </cell>
          <cell r="AJ83" t="str">
            <v>2G</v>
          </cell>
          <cell r="AK83" t="str">
            <v>ที่ 2 สาย G</v>
          </cell>
          <cell r="AL83" t="str">
            <v>G2</v>
          </cell>
          <cell r="AM83" t="str">
            <v>2G</v>
          </cell>
          <cell r="AN83" t="str">
            <v>2G</v>
          </cell>
          <cell r="AO83" t="str">
            <v>۲ز</v>
          </cell>
        </row>
        <row r="84">
          <cell r="A84" t="str">
            <v>1H</v>
          </cell>
          <cell r="B84" t="str">
            <v>1H</v>
          </cell>
          <cell r="C84" t="str">
            <v>1H</v>
          </cell>
          <cell r="D84" t="str">
            <v>1H</v>
          </cell>
          <cell r="E84" t="str">
            <v>1H</v>
          </cell>
          <cell r="F84" t="str">
            <v>1H</v>
          </cell>
          <cell r="G84" t="str">
            <v>1H</v>
          </cell>
          <cell r="H84" t="str">
            <v>1H</v>
          </cell>
          <cell r="I84" t="str">
            <v>1H</v>
          </cell>
          <cell r="J84" t="str">
            <v>1H</v>
          </cell>
          <cell r="K84" t="str">
            <v>1H</v>
          </cell>
          <cell r="L84" t="str">
            <v>1H</v>
          </cell>
          <cell r="M84" t="str">
            <v>H1</v>
          </cell>
          <cell r="N84" t="str">
            <v>1H</v>
          </cell>
          <cell r="O84" t="str">
            <v>1H</v>
          </cell>
          <cell r="P84" t="str">
            <v>1H</v>
          </cell>
          <cell r="Q84" t="str">
            <v>1H</v>
          </cell>
          <cell r="R84" t="str">
            <v>1H</v>
          </cell>
          <cell r="S84" t="str">
            <v>1H</v>
          </cell>
          <cell r="T84" t="str">
            <v>1H</v>
          </cell>
          <cell r="U84" t="str">
            <v>1H</v>
          </cell>
          <cell r="V84" t="str">
            <v>1H</v>
          </cell>
          <cell r="W84" t="str">
            <v>H 그룹 1위</v>
          </cell>
          <cell r="X84" t="str">
            <v>1H</v>
          </cell>
          <cell r="Y84" t="str">
            <v>1H</v>
          </cell>
          <cell r="Z84" t="str">
            <v>1Ħ</v>
          </cell>
          <cell r="AA84" t="str">
            <v>1H</v>
          </cell>
          <cell r="AB84" t="str">
            <v>اول گروه H</v>
          </cell>
          <cell r="AC84" t="str">
            <v>1H</v>
          </cell>
          <cell r="AD84" t="str">
            <v>1H</v>
          </cell>
          <cell r="AE84" t="str">
            <v>1H</v>
          </cell>
          <cell r="AF84" t="str">
            <v>1H</v>
          </cell>
          <cell r="AG84" t="str">
            <v>1H</v>
          </cell>
          <cell r="AH84" t="str">
            <v>1H</v>
          </cell>
          <cell r="AI84" t="str">
            <v>1H</v>
          </cell>
          <cell r="AJ84" t="str">
            <v>1H</v>
          </cell>
          <cell r="AK84" t="str">
            <v>ที่ 1 สาย H</v>
          </cell>
          <cell r="AL84" t="str">
            <v>H1</v>
          </cell>
          <cell r="AM84" t="str">
            <v>1H</v>
          </cell>
          <cell r="AN84" t="str">
            <v>1H</v>
          </cell>
          <cell r="AO84" t="str">
            <v>۱ح</v>
          </cell>
        </row>
        <row r="85">
          <cell r="A85" t="str">
            <v>2H</v>
          </cell>
          <cell r="B85" t="str">
            <v>2H</v>
          </cell>
          <cell r="C85" t="str">
            <v>2H</v>
          </cell>
          <cell r="D85" t="str">
            <v>2H</v>
          </cell>
          <cell r="E85" t="str">
            <v>2H</v>
          </cell>
          <cell r="F85" t="str">
            <v>2H</v>
          </cell>
          <cell r="G85" t="str">
            <v>2H</v>
          </cell>
          <cell r="H85" t="str">
            <v>2H</v>
          </cell>
          <cell r="I85" t="str">
            <v>2H</v>
          </cell>
          <cell r="J85" t="str">
            <v>2H</v>
          </cell>
          <cell r="K85" t="str">
            <v>2H</v>
          </cell>
          <cell r="L85" t="str">
            <v>2H</v>
          </cell>
          <cell r="M85" t="str">
            <v>H2</v>
          </cell>
          <cell r="N85" t="str">
            <v>2H</v>
          </cell>
          <cell r="O85" t="str">
            <v>2H</v>
          </cell>
          <cell r="P85" t="str">
            <v>2H</v>
          </cell>
          <cell r="Q85" t="str">
            <v>2H</v>
          </cell>
          <cell r="R85" t="str">
            <v>2H</v>
          </cell>
          <cell r="S85" t="str">
            <v>2H</v>
          </cell>
          <cell r="T85" t="str">
            <v>2H</v>
          </cell>
          <cell r="U85" t="str">
            <v>2H</v>
          </cell>
          <cell r="V85" t="str">
            <v>2H</v>
          </cell>
          <cell r="W85" t="str">
            <v>H 그룹 2위</v>
          </cell>
          <cell r="X85" t="str">
            <v>2H</v>
          </cell>
          <cell r="Y85" t="str">
            <v>2H</v>
          </cell>
          <cell r="Z85" t="str">
            <v>1Ħ</v>
          </cell>
          <cell r="AA85" t="str">
            <v>2H</v>
          </cell>
          <cell r="AB85" t="str">
            <v>دوم گروه H</v>
          </cell>
          <cell r="AC85" t="str">
            <v>2H</v>
          </cell>
          <cell r="AD85" t="str">
            <v>2H</v>
          </cell>
          <cell r="AE85" t="str">
            <v>2H</v>
          </cell>
          <cell r="AF85" t="str">
            <v>2H</v>
          </cell>
          <cell r="AG85" t="str">
            <v>2H</v>
          </cell>
          <cell r="AH85" t="str">
            <v>2H</v>
          </cell>
          <cell r="AI85" t="str">
            <v>2H</v>
          </cell>
          <cell r="AJ85" t="str">
            <v>2H</v>
          </cell>
          <cell r="AK85" t="str">
            <v>ที่ 2 สาย H</v>
          </cell>
          <cell r="AL85" t="str">
            <v>H2</v>
          </cell>
          <cell r="AM85" t="str">
            <v>2H</v>
          </cell>
          <cell r="AN85" t="str">
            <v>2H</v>
          </cell>
          <cell r="AO85" t="str">
            <v>۲ح</v>
          </cell>
        </row>
        <row r="86">
          <cell r="A86" t="str">
            <v>W37</v>
          </cell>
          <cell r="B86" t="str">
            <v>F37</v>
          </cell>
          <cell r="C86" t="str">
            <v>W37</v>
          </cell>
          <cell r="D86" t="str">
            <v>W37</v>
          </cell>
          <cell r="E86" t="str">
            <v>Q37</v>
          </cell>
          <cell r="F86" t="str">
            <v>W37</v>
          </cell>
          <cell r="G86" t="str">
            <v>G37</v>
          </cell>
          <cell r="H86" t="str">
            <v>37胜者</v>
          </cell>
          <cell r="I86" t="str">
            <v>W37</v>
          </cell>
          <cell r="J86" t="str">
            <v>W37</v>
          </cell>
          <cell r="K86" t="str">
            <v>V37</v>
          </cell>
          <cell r="L86" t="str">
            <v>V37</v>
          </cell>
          <cell r="M86" t="str">
            <v>W37</v>
          </cell>
          <cell r="N86" t="str">
            <v>W37</v>
          </cell>
          <cell r="O86" t="str">
            <v>მ37</v>
          </cell>
          <cell r="P86" t="str">
            <v>W37</v>
          </cell>
          <cell r="Q86" t="str">
            <v>Ν37</v>
          </cell>
          <cell r="R86" t="str">
            <v>W37</v>
          </cell>
          <cell r="S86" t="str">
            <v>GY37</v>
          </cell>
          <cell r="T86" t="str">
            <v>W37</v>
          </cell>
          <cell r="U86" t="str">
            <v>W37</v>
          </cell>
          <cell r="V86" t="str">
            <v>W37</v>
          </cell>
          <cell r="W86" t="str">
            <v>16강전 경기1 승자</v>
          </cell>
          <cell r="X86" t="str">
            <v>L37</v>
          </cell>
          <cell r="Y86" t="str">
            <v>П37</v>
          </cell>
          <cell r="Z86" t="str">
            <v>R37</v>
          </cell>
          <cell r="AA86" t="str">
            <v>V37</v>
          </cell>
          <cell r="AB86" t="str">
            <v>برنده بازی 37</v>
          </cell>
          <cell r="AC86" t="str">
            <v>W37</v>
          </cell>
          <cell r="AD86" t="str">
            <v>W37</v>
          </cell>
          <cell r="AE86" t="str">
            <v>C37</v>
          </cell>
          <cell r="AF86" t="str">
            <v>P37</v>
          </cell>
          <cell r="AG86" t="str">
            <v>V37</v>
          </cell>
          <cell r="AH86" t="str">
            <v>W37</v>
          </cell>
          <cell r="AI86" t="str">
            <v>W37</v>
          </cell>
          <cell r="AJ86" t="str">
            <v>W37</v>
          </cell>
          <cell r="AK86" t="str">
            <v>ผู้ชนะนัดที่ 37</v>
          </cell>
          <cell r="AL86" t="str">
            <v>G37</v>
          </cell>
          <cell r="AM86" t="str">
            <v>T37</v>
          </cell>
          <cell r="AN86" t="str">
            <v>Переможець 37</v>
          </cell>
          <cell r="AO86" t="str">
            <v>۴۹ جیت</v>
          </cell>
        </row>
        <row r="87">
          <cell r="A87" t="str">
            <v>W39</v>
          </cell>
          <cell r="B87" t="str">
            <v>F39</v>
          </cell>
          <cell r="C87" t="str">
            <v>W39</v>
          </cell>
          <cell r="D87" t="str">
            <v>W39</v>
          </cell>
          <cell r="E87" t="str">
            <v>Q39</v>
          </cell>
          <cell r="F87" t="str">
            <v>W39</v>
          </cell>
          <cell r="G87" t="str">
            <v>G39</v>
          </cell>
          <cell r="H87" t="str">
            <v>39胜者</v>
          </cell>
          <cell r="I87" t="str">
            <v>W39</v>
          </cell>
          <cell r="J87" t="str">
            <v>W39</v>
          </cell>
          <cell r="K87" t="str">
            <v>V39</v>
          </cell>
          <cell r="L87" t="str">
            <v>V39</v>
          </cell>
          <cell r="M87" t="str">
            <v>W39</v>
          </cell>
          <cell r="N87" t="str">
            <v>W39</v>
          </cell>
          <cell r="O87" t="str">
            <v>მ39</v>
          </cell>
          <cell r="P87" t="str">
            <v>W39</v>
          </cell>
          <cell r="Q87" t="str">
            <v>Ν39</v>
          </cell>
          <cell r="R87" t="str">
            <v>W39</v>
          </cell>
          <cell r="S87" t="str">
            <v>GY39</v>
          </cell>
          <cell r="T87" t="str">
            <v>W39</v>
          </cell>
          <cell r="U87" t="str">
            <v>W39</v>
          </cell>
          <cell r="V87" t="str">
            <v>W39</v>
          </cell>
          <cell r="W87" t="str">
            <v>16강전 경기2 승자</v>
          </cell>
          <cell r="X87" t="str">
            <v>L39</v>
          </cell>
          <cell r="Y87" t="str">
            <v>П39</v>
          </cell>
          <cell r="Z87" t="str">
            <v>R39</v>
          </cell>
          <cell r="AA87" t="str">
            <v>V39</v>
          </cell>
          <cell r="AB87" t="str">
            <v>برنده بازی 39</v>
          </cell>
          <cell r="AC87" t="str">
            <v>W39</v>
          </cell>
          <cell r="AD87" t="str">
            <v>W39</v>
          </cell>
          <cell r="AE87" t="str">
            <v>C39</v>
          </cell>
          <cell r="AF87" t="str">
            <v>P39</v>
          </cell>
          <cell r="AG87" t="str">
            <v>V39</v>
          </cell>
          <cell r="AH87" t="str">
            <v>W39</v>
          </cell>
          <cell r="AI87" t="str">
            <v>W39</v>
          </cell>
          <cell r="AJ87" t="str">
            <v>W39</v>
          </cell>
          <cell r="AK87" t="str">
            <v>ผู้ชนะนัดที่ 39</v>
          </cell>
          <cell r="AL87" t="str">
            <v>G39</v>
          </cell>
          <cell r="AM87" t="str">
            <v>T39</v>
          </cell>
          <cell r="AN87" t="str">
            <v>Переможець 39</v>
          </cell>
          <cell r="AO87" t="str">
            <v>۵۰ جیت</v>
          </cell>
        </row>
        <row r="88">
          <cell r="A88" t="str">
            <v>W41</v>
          </cell>
          <cell r="B88" t="str">
            <v>F41</v>
          </cell>
          <cell r="C88" t="str">
            <v>W41</v>
          </cell>
          <cell r="D88" t="str">
            <v>W41</v>
          </cell>
          <cell r="E88" t="str">
            <v>Q41</v>
          </cell>
          <cell r="F88" t="str">
            <v>W41</v>
          </cell>
          <cell r="G88" t="str">
            <v>G41</v>
          </cell>
          <cell r="H88" t="str">
            <v>41胜者</v>
          </cell>
          <cell r="I88" t="str">
            <v>W41</v>
          </cell>
          <cell r="J88" t="str">
            <v>W41</v>
          </cell>
          <cell r="K88" t="str">
            <v>V41</v>
          </cell>
          <cell r="L88" t="str">
            <v>V41</v>
          </cell>
          <cell r="M88" t="str">
            <v>W41</v>
          </cell>
          <cell r="N88" t="str">
            <v>W41</v>
          </cell>
          <cell r="O88" t="str">
            <v>მ41</v>
          </cell>
          <cell r="P88" t="str">
            <v>W41</v>
          </cell>
          <cell r="Q88" t="str">
            <v>Ν41</v>
          </cell>
          <cell r="R88" t="str">
            <v>W41</v>
          </cell>
          <cell r="S88" t="str">
            <v>GY41</v>
          </cell>
          <cell r="T88" t="str">
            <v>W41</v>
          </cell>
          <cell r="U88" t="str">
            <v>W41</v>
          </cell>
          <cell r="V88" t="str">
            <v>W41</v>
          </cell>
          <cell r="W88" t="str">
            <v>16강전 경기3 승자</v>
          </cell>
          <cell r="X88" t="str">
            <v>L41</v>
          </cell>
          <cell r="Y88" t="str">
            <v>П41</v>
          </cell>
          <cell r="Z88" t="str">
            <v>R41</v>
          </cell>
          <cell r="AA88" t="str">
            <v>V41</v>
          </cell>
          <cell r="AB88" t="str">
            <v>برنده بازی 41</v>
          </cell>
          <cell r="AC88" t="str">
            <v>W41</v>
          </cell>
          <cell r="AD88" t="str">
            <v>W41</v>
          </cell>
          <cell r="AE88" t="str">
            <v>C41</v>
          </cell>
          <cell r="AF88" t="str">
            <v>P41</v>
          </cell>
          <cell r="AG88" t="str">
            <v>V41</v>
          </cell>
          <cell r="AH88" t="str">
            <v>W41</v>
          </cell>
          <cell r="AI88" t="str">
            <v>W41</v>
          </cell>
          <cell r="AJ88" t="str">
            <v>W41</v>
          </cell>
          <cell r="AK88" t="str">
            <v>ผู้ชนะนัดที่ 41</v>
          </cell>
          <cell r="AL88" t="str">
            <v>G41</v>
          </cell>
          <cell r="AM88" t="str">
            <v>T41</v>
          </cell>
          <cell r="AN88" t="str">
            <v>Переможець 41</v>
          </cell>
          <cell r="AO88" t="str">
            <v>۵۱ جیت</v>
          </cell>
        </row>
        <row r="89">
          <cell r="A89" t="str">
            <v>W43</v>
          </cell>
          <cell r="B89" t="str">
            <v>F43</v>
          </cell>
          <cell r="C89" t="str">
            <v>W43</v>
          </cell>
          <cell r="D89" t="str">
            <v>W43</v>
          </cell>
          <cell r="E89" t="str">
            <v>Q43</v>
          </cell>
          <cell r="F89" t="str">
            <v>W43</v>
          </cell>
          <cell r="G89" t="str">
            <v>G43</v>
          </cell>
          <cell r="H89" t="str">
            <v>43胜者</v>
          </cell>
          <cell r="I89" t="str">
            <v>W43</v>
          </cell>
          <cell r="J89" t="str">
            <v>W43</v>
          </cell>
          <cell r="K89" t="str">
            <v>V43</v>
          </cell>
          <cell r="L89" t="str">
            <v>V43</v>
          </cell>
          <cell r="M89" t="str">
            <v>W43</v>
          </cell>
          <cell r="N89" t="str">
            <v>W43</v>
          </cell>
          <cell r="O89" t="str">
            <v>მ43</v>
          </cell>
          <cell r="P89" t="str">
            <v>W43</v>
          </cell>
          <cell r="Q89" t="str">
            <v>Ν43</v>
          </cell>
          <cell r="R89" t="str">
            <v>W43</v>
          </cell>
          <cell r="S89" t="str">
            <v>GY43</v>
          </cell>
          <cell r="T89" t="str">
            <v>W43</v>
          </cell>
          <cell r="U89" t="str">
            <v>W43</v>
          </cell>
          <cell r="V89" t="str">
            <v>W43</v>
          </cell>
          <cell r="W89" t="str">
            <v>16강전 경기4 승자</v>
          </cell>
          <cell r="X89" t="str">
            <v>L43</v>
          </cell>
          <cell r="Y89" t="str">
            <v>П43</v>
          </cell>
          <cell r="Z89" t="str">
            <v>R43</v>
          </cell>
          <cell r="AA89" t="str">
            <v>V43</v>
          </cell>
          <cell r="AB89" t="str">
            <v>برنده بازی 43</v>
          </cell>
          <cell r="AC89" t="str">
            <v>W43</v>
          </cell>
          <cell r="AD89" t="str">
            <v>W43</v>
          </cell>
          <cell r="AE89" t="str">
            <v>C43</v>
          </cell>
          <cell r="AF89" t="str">
            <v>P43</v>
          </cell>
          <cell r="AG89" t="str">
            <v>V43</v>
          </cell>
          <cell r="AH89" t="str">
            <v>W43</v>
          </cell>
          <cell r="AI89" t="str">
            <v>W43</v>
          </cell>
          <cell r="AJ89" t="str">
            <v>W43</v>
          </cell>
          <cell r="AK89" t="str">
            <v>ผู้ชนะนัดที่ 43</v>
          </cell>
          <cell r="AL89" t="str">
            <v>G43</v>
          </cell>
          <cell r="AM89" t="str">
            <v>T43</v>
          </cell>
          <cell r="AN89" t="str">
            <v>Переможець 43</v>
          </cell>
          <cell r="AO89" t="str">
            <v>۵۲ جیت</v>
          </cell>
        </row>
        <row r="90">
          <cell r="A90" t="str">
            <v>W38</v>
          </cell>
          <cell r="B90" t="str">
            <v>F38</v>
          </cell>
          <cell r="C90" t="str">
            <v>W38</v>
          </cell>
          <cell r="D90" t="str">
            <v>W38</v>
          </cell>
          <cell r="E90" t="str">
            <v>Q38</v>
          </cell>
          <cell r="F90" t="str">
            <v>W38</v>
          </cell>
          <cell r="G90" t="str">
            <v>G38</v>
          </cell>
          <cell r="H90" t="str">
            <v>38胜者</v>
          </cell>
          <cell r="I90" t="str">
            <v>W38</v>
          </cell>
          <cell r="J90" t="str">
            <v>W38</v>
          </cell>
          <cell r="K90" t="str">
            <v>V38</v>
          </cell>
          <cell r="L90" t="str">
            <v>V38</v>
          </cell>
          <cell r="M90" t="str">
            <v>W38</v>
          </cell>
          <cell r="N90" t="str">
            <v>W38</v>
          </cell>
          <cell r="O90" t="str">
            <v>მ38</v>
          </cell>
          <cell r="P90" t="str">
            <v>W38</v>
          </cell>
          <cell r="Q90" t="str">
            <v>Ν38</v>
          </cell>
          <cell r="R90" t="str">
            <v>W38</v>
          </cell>
          <cell r="S90" t="str">
            <v>GY38</v>
          </cell>
          <cell r="T90" t="str">
            <v>W38</v>
          </cell>
          <cell r="U90" t="str">
            <v>W38</v>
          </cell>
          <cell r="V90" t="str">
            <v>W38</v>
          </cell>
          <cell r="W90" t="str">
            <v>16강전 경기5 승자</v>
          </cell>
          <cell r="X90" t="str">
            <v>L38</v>
          </cell>
          <cell r="Y90" t="str">
            <v>П38</v>
          </cell>
          <cell r="Z90" t="str">
            <v>R38</v>
          </cell>
          <cell r="AA90" t="str">
            <v>V38</v>
          </cell>
          <cell r="AB90" t="str">
            <v>برنده بازی 38</v>
          </cell>
          <cell r="AC90" t="str">
            <v>W38</v>
          </cell>
          <cell r="AD90" t="str">
            <v>W38</v>
          </cell>
          <cell r="AE90" t="str">
            <v>C38</v>
          </cell>
          <cell r="AF90" t="str">
            <v>P38</v>
          </cell>
          <cell r="AG90" t="str">
            <v>V38</v>
          </cell>
          <cell r="AH90" t="str">
            <v>W38</v>
          </cell>
          <cell r="AI90" t="str">
            <v>W38</v>
          </cell>
          <cell r="AJ90" t="str">
            <v>W38</v>
          </cell>
          <cell r="AK90" t="str">
            <v>ผู้ชนะนัดที่ 38</v>
          </cell>
          <cell r="AL90" t="str">
            <v>G38</v>
          </cell>
          <cell r="AM90" t="str">
            <v>T38</v>
          </cell>
          <cell r="AN90" t="str">
            <v>Переможець 38</v>
          </cell>
          <cell r="AO90" t="str">
            <v>۵۳ جیت</v>
          </cell>
        </row>
        <row r="91">
          <cell r="A91" t="str">
            <v>W42</v>
          </cell>
          <cell r="B91" t="str">
            <v>F42</v>
          </cell>
          <cell r="C91" t="str">
            <v>W42</v>
          </cell>
          <cell r="D91" t="str">
            <v>W42</v>
          </cell>
          <cell r="E91" t="str">
            <v>Q42</v>
          </cell>
          <cell r="F91" t="str">
            <v>W42</v>
          </cell>
          <cell r="G91" t="str">
            <v>G42</v>
          </cell>
          <cell r="H91" t="str">
            <v>42胜者</v>
          </cell>
          <cell r="I91" t="str">
            <v>W42</v>
          </cell>
          <cell r="J91" t="str">
            <v>W42</v>
          </cell>
          <cell r="K91" t="str">
            <v>V42</v>
          </cell>
          <cell r="L91" t="str">
            <v>V42</v>
          </cell>
          <cell r="M91" t="str">
            <v>W42</v>
          </cell>
          <cell r="N91" t="str">
            <v>W42</v>
          </cell>
          <cell r="O91" t="str">
            <v>მ42</v>
          </cell>
          <cell r="P91" t="str">
            <v>W42</v>
          </cell>
          <cell r="Q91" t="str">
            <v>Ν42</v>
          </cell>
          <cell r="R91" t="str">
            <v>W42</v>
          </cell>
          <cell r="S91" t="str">
            <v>GY42</v>
          </cell>
          <cell r="T91" t="str">
            <v>W42</v>
          </cell>
          <cell r="U91" t="str">
            <v>W42</v>
          </cell>
          <cell r="V91" t="str">
            <v>W42</v>
          </cell>
          <cell r="W91" t="str">
            <v>16강전 경기6 승자</v>
          </cell>
          <cell r="X91" t="str">
            <v>L42</v>
          </cell>
          <cell r="Y91" t="str">
            <v>П42</v>
          </cell>
          <cell r="Z91" t="str">
            <v>R42</v>
          </cell>
          <cell r="AA91" t="str">
            <v>V42</v>
          </cell>
          <cell r="AB91" t="str">
            <v>برنده بازی 42</v>
          </cell>
          <cell r="AC91" t="str">
            <v>W42</v>
          </cell>
          <cell r="AD91" t="str">
            <v>W42</v>
          </cell>
          <cell r="AE91" t="str">
            <v>C42</v>
          </cell>
          <cell r="AF91" t="str">
            <v>P42</v>
          </cell>
          <cell r="AG91" t="str">
            <v>V42</v>
          </cell>
          <cell r="AH91" t="str">
            <v>W42</v>
          </cell>
          <cell r="AI91" t="str">
            <v>W42</v>
          </cell>
          <cell r="AJ91" t="str">
            <v>W42</v>
          </cell>
          <cell r="AK91" t="str">
            <v>ผู้ชนะนัดที่ 42</v>
          </cell>
          <cell r="AL91" t="str">
            <v>G42</v>
          </cell>
          <cell r="AM91" t="str">
            <v>T42</v>
          </cell>
          <cell r="AN91" t="str">
            <v>Переможець 42</v>
          </cell>
          <cell r="AO91" t="str">
            <v>۵۴ جیت</v>
          </cell>
        </row>
        <row r="92">
          <cell r="A92" t="str">
            <v>W40</v>
          </cell>
          <cell r="B92" t="str">
            <v>F40</v>
          </cell>
          <cell r="C92" t="str">
            <v>W40</v>
          </cell>
          <cell r="D92" t="str">
            <v>W40</v>
          </cell>
          <cell r="E92" t="str">
            <v>Q40</v>
          </cell>
          <cell r="F92" t="str">
            <v>W40</v>
          </cell>
          <cell r="G92" t="str">
            <v>G40</v>
          </cell>
          <cell r="H92" t="str">
            <v>40胜者</v>
          </cell>
          <cell r="I92" t="str">
            <v>W40</v>
          </cell>
          <cell r="J92" t="str">
            <v>W40</v>
          </cell>
          <cell r="K92" t="str">
            <v>V40</v>
          </cell>
          <cell r="L92" t="str">
            <v>V40</v>
          </cell>
          <cell r="M92" t="str">
            <v>W40</v>
          </cell>
          <cell r="N92" t="str">
            <v>W40</v>
          </cell>
          <cell r="O92" t="str">
            <v>მ40</v>
          </cell>
          <cell r="P92" t="str">
            <v>W40</v>
          </cell>
          <cell r="Q92" t="str">
            <v>Ν40</v>
          </cell>
          <cell r="R92" t="str">
            <v>W40</v>
          </cell>
          <cell r="S92" t="str">
            <v>GY40</v>
          </cell>
          <cell r="T92" t="str">
            <v>W40</v>
          </cell>
          <cell r="U92" t="str">
            <v>W40</v>
          </cell>
          <cell r="V92" t="str">
            <v>W40</v>
          </cell>
          <cell r="W92" t="str">
            <v>16강전 경기7 승자</v>
          </cell>
          <cell r="X92" t="str">
            <v>L40</v>
          </cell>
          <cell r="Y92" t="str">
            <v>П40</v>
          </cell>
          <cell r="Z92" t="str">
            <v>R40</v>
          </cell>
          <cell r="AA92" t="str">
            <v>V40</v>
          </cell>
          <cell r="AB92" t="str">
            <v>برنده بازی 40</v>
          </cell>
          <cell r="AC92" t="str">
            <v>W40</v>
          </cell>
          <cell r="AD92" t="str">
            <v>W40</v>
          </cell>
          <cell r="AE92" t="str">
            <v>C40</v>
          </cell>
          <cell r="AF92" t="str">
            <v>P40</v>
          </cell>
          <cell r="AG92" t="str">
            <v>V40</v>
          </cell>
          <cell r="AH92" t="str">
            <v>W40</v>
          </cell>
          <cell r="AI92" t="str">
            <v>W40</v>
          </cell>
          <cell r="AJ92" t="str">
            <v>W40</v>
          </cell>
          <cell r="AK92" t="str">
            <v>ผู้ชนะนัดที่ 40</v>
          </cell>
          <cell r="AL92" t="str">
            <v>G40</v>
          </cell>
          <cell r="AM92" t="str">
            <v>T40</v>
          </cell>
          <cell r="AN92" t="str">
            <v>Переможець 40</v>
          </cell>
          <cell r="AO92" t="str">
            <v>۵۵ جیت</v>
          </cell>
        </row>
        <row r="93">
          <cell r="A93" t="str">
            <v>W44</v>
          </cell>
          <cell r="B93" t="str">
            <v>F44</v>
          </cell>
          <cell r="C93" t="str">
            <v>W44</v>
          </cell>
          <cell r="D93" t="str">
            <v>W44</v>
          </cell>
          <cell r="E93" t="str">
            <v>Q44</v>
          </cell>
          <cell r="F93" t="str">
            <v>W44</v>
          </cell>
          <cell r="G93" t="str">
            <v>G44</v>
          </cell>
          <cell r="H93" t="str">
            <v>44胜者</v>
          </cell>
          <cell r="I93" t="str">
            <v>W44</v>
          </cell>
          <cell r="J93" t="str">
            <v>W44</v>
          </cell>
          <cell r="K93" t="str">
            <v>V44</v>
          </cell>
          <cell r="L93" t="str">
            <v>V44</v>
          </cell>
          <cell r="M93" t="str">
            <v>W44</v>
          </cell>
          <cell r="N93" t="str">
            <v>W44</v>
          </cell>
          <cell r="O93" t="str">
            <v>მ44</v>
          </cell>
          <cell r="P93" t="str">
            <v>W44</v>
          </cell>
          <cell r="Q93" t="str">
            <v>Ν44</v>
          </cell>
          <cell r="R93" t="str">
            <v>W44</v>
          </cell>
          <cell r="S93" t="str">
            <v>GY44</v>
          </cell>
          <cell r="T93" t="str">
            <v>W44</v>
          </cell>
          <cell r="U93" t="str">
            <v>W44</v>
          </cell>
          <cell r="V93" t="str">
            <v>W44</v>
          </cell>
          <cell r="W93" t="str">
            <v>16강전 경기8 승자</v>
          </cell>
          <cell r="X93" t="str">
            <v>L44</v>
          </cell>
          <cell r="Y93" t="str">
            <v>П44</v>
          </cell>
          <cell r="Z93" t="str">
            <v>R44</v>
          </cell>
          <cell r="AA93" t="str">
            <v>V44</v>
          </cell>
          <cell r="AB93" t="str">
            <v>برنده بازی 44</v>
          </cell>
          <cell r="AC93" t="str">
            <v>W44</v>
          </cell>
          <cell r="AD93" t="str">
            <v>W44</v>
          </cell>
          <cell r="AE93" t="str">
            <v>C44</v>
          </cell>
          <cell r="AF93" t="str">
            <v>P44</v>
          </cell>
          <cell r="AG93" t="str">
            <v>V44</v>
          </cell>
          <cell r="AH93" t="str">
            <v>W44</v>
          </cell>
          <cell r="AI93" t="str">
            <v>W44</v>
          </cell>
          <cell r="AJ93" t="str">
            <v>W44</v>
          </cell>
          <cell r="AK93" t="str">
            <v>ผู้ชนะนัดที่ 44</v>
          </cell>
          <cell r="AL93" t="str">
            <v>G44</v>
          </cell>
          <cell r="AM93" t="str">
            <v>T44</v>
          </cell>
          <cell r="AN93" t="str">
            <v>Переможець 44</v>
          </cell>
          <cell r="AO93" t="str">
            <v>۵۶ جیت</v>
          </cell>
        </row>
        <row r="94">
          <cell r="A94" t="str">
            <v>W45</v>
          </cell>
          <cell r="B94" t="str">
            <v>F45</v>
          </cell>
          <cell r="C94" t="str">
            <v>W45</v>
          </cell>
          <cell r="D94" t="str">
            <v>W45</v>
          </cell>
          <cell r="E94" t="str">
            <v>Q45</v>
          </cell>
          <cell r="F94" t="str">
            <v>W45</v>
          </cell>
          <cell r="G94" t="str">
            <v>G45</v>
          </cell>
          <cell r="H94" t="str">
            <v>45胜者</v>
          </cell>
          <cell r="I94" t="str">
            <v>W45</v>
          </cell>
          <cell r="J94" t="str">
            <v>W45</v>
          </cell>
          <cell r="K94" t="str">
            <v>V45</v>
          </cell>
          <cell r="L94" t="str">
            <v>V45</v>
          </cell>
          <cell r="M94" t="str">
            <v>W45</v>
          </cell>
          <cell r="N94" t="str">
            <v>W45</v>
          </cell>
          <cell r="O94" t="str">
            <v>მ45</v>
          </cell>
          <cell r="P94" t="str">
            <v>W45</v>
          </cell>
          <cell r="Q94" t="str">
            <v>Ν45</v>
          </cell>
          <cell r="R94" t="str">
            <v>W45</v>
          </cell>
          <cell r="S94" t="str">
            <v>GY45</v>
          </cell>
          <cell r="T94" t="str">
            <v>W45</v>
          </cell>
          <cell r="U94" t="str">
            <v>W45</v>
          </cell>
          <cell r="V94" t="str">
            <v>W45</v>
          </cell>
          <cell r="W94" t="str">
            <v>8강전 경기1 승자</v>
          </cell>
          <cell r="X94" t="str">
            <v>L45</v>
          </cell>
          <cell r="Y94" t="str">
            <v>П45</v>
          </cell>
          <cell r="Z94" t="str">
            <v>R45</v>
          </cell>
          <cell r="AA94" t="str">
            <v>V45</v>
          </cell>
          <cell r="AB94" t="str">
            <v>برنده بازی 45</v>
          </cell>
          <cell r="AC94" t="str">
            <v>W45</v>
          </cell>
          <cell r="AD94" t="str">
            <v>W45</v>
          </cell>
          <cell r="AE94" t="str">
            <v>C45</v>
          </cell>
          <cell r="AF94" t="str">
            <v>P45</v>
          </cell>
          <cell r="AG94" t="str">
            <v>V45</v>
          </cell>
          <cell r="AH94" t="str">
            <v>W45</v>
          </cell>
          <cell r="AI94" t="str">
            <v>W45</v>
          </cell>
          <cell r="AJ94" t="str">
            <v>W45</v>
          </cell>
          <cell r="AK94" t="str">
            <v>ผู้ชนะนัดที่ 45</v>
          </cell>
          <cell r="AL94" t="str">
            <v>G45</v>
          </cell>
          <cell r="AM94" t="str">
            <v>T45</v>
          </cell>
          <cell r="AN94" t="str">
            <v>Переможець 45</v>
          </cell>
          <cell r="AO94" t="str">
            <v>۵۷ جیت</v>
          </cell>
        </row>
        <row r="95">
          <cell r="A95" t="str">
            <v>W46</v>
          </cell>
          <cell r="B95" t="str">
            <v>F46</v>
          </cell>
          <cell r="C95" t="str">
            <v>W46</v>
          </cell>
          <cell r="D95" t="str">
            <v>W46</v>
          </cell>
          <cell r="E95" t="str">
            <v>Q46</v>
          </cell>
          <cell r="F95" t="str">
            <v>W46</v>
          </cell>
          <cell r="G95" t="str">
            <v>G46</v>
          </cell>
          <cell r="H95" t="str">
            <v>46胜者</v>
          </cell>
          <cell r="I95" t="str">
            <v>W46</v>
          </cell>
          <cell r="J95" t="str">
            <v>W46</v>
          </cell>
          <cell r="K95" t="str">
            <v>V46</v>
          </cell>
          <cell r="L95" t="str">
            <v>V46</v>
          </cell>
          <cell r="M95" t="str">
            <v>W46</v>
          </cell>
          <cell r="N95" t="str">
            <v>W46</v>
          </cell>
          <cell r="O95" t="str">
            <v>მ46</v>
          </cell>
          <cell r="P95" t="str">
            <v>W46</v>
          </cell>
          <cell r="Q95" t="str">
            <v>Ν46</v>
          </cell>
          <cell r="R95" t="str">
            <v>W46</v>
          </cell>
          <cell r="S95" t="str">
            <v>GY46</v>
          </cell>
          <cell r="T95" t="str">
            <v>W46</v>
          </cell>
          <cell r="U95" t="str">
            <v>W46</v>
          </cell>
          <cell r="V95" t="str">
            <v>W46</v>
          </cell>
          <cell r="W95" t="str">
            <v>8강전 경기2 승자</v>
          </cell>
          <cell r="X95" t="str">
            <v>L46</v>
          </cell>
          <cell r="Y95" t="str">
            <v>П46</v>
          </cell>
          <cell r="Z95" t="str">
            <v>R46</v>
          </cell>
          <cell r="AA95" t="str">
            <v>V46</v>
          </cell>
          <cell r="AB95" t="str">
            <v>برنده بازی 46</v>
          </cell>
          <cell r="AC95" t="str">
            <v>W46</v>
          </cell>
          <cell r="AD95" t="str">
            <v>W46</v>
          </cell>
          <cell r="AE95" t="str">
            <v>C46</v>
          </cell>
          <cell r="AF95" t="str">
            <v>P46</v>
          </cell>
          <cell r="AG95" t="str">
            <v>V46</v>
          </cell>
          <cell r="AH95" t="str">
            <v>W46</v>
          </cell>
          <cell r="AI95" t="str">
            <v>W46</v>
          </cell>
          <cell r="AJ95" t="str">
            <v>W46</v>
          </cell>
          <cell r="AK95" t="str">
            <v>ผู้ชนะนัดที่ 46</v>
          </cell>
          <cell r="AL95" t="str">
            <v>G46</v>
          </cell>
          <cell r="AM95" t="str">
            <v>T46</v>
          </cell>
          <cell r="AN95" t="str">
            <v>Переможець 46</v>
          </cell>
          <cell r="AO95" t="str">
            <v>۵۸ جیت</v>
          </cell>
        </row>
        <row r="96">
          <cell r="A96" t="str">
            <v>W47</v>
          </cell>
          <cell r="B96" t="str">
            <v>F47</v>
          </cell>
          <cell r="C96" t="str">
            <v>W47</v>
          </cell>
          <cell r="D96" t="str">
            <v>W47</v>
          </cell>
          <cell r="E96" t="str">
            <v>Q47</v>
          </cell>
          <cell r="F96" t="str">
            <v>W47</v>
          </cell>
          <cell r="G96" t="str">
            <v>G47</v>
          </cell>
          <cell r="H96" t="str">
            <v>47胜者</v>
          </cell>
          <cell r="I96" t="str">
            <v>W47</v>
          </cell>
          <cell r="J96" t="str">
            <v>W47</v>
          </cell>
          <cell r="K96" t="str">
            <v>V47</v>
          </cell>
          <cell r="L96" t="str">
            <v>V47</v>
          </cell>
          <cell r="M96" t="str">
            <v>W47</v>
          </cell>
          <cell r="N96" t="str">
            <v>W47</v>
          </cell>
          <cell r="O96" t="str">
            <v>მ47</v>
          </cell>
          <cell r="P96" t="str">
            <v>W47</v>
          </cell>
          <cell r="Q96" t="str">
            <v>Ν47</v>
          </cell>
          <cell r="R96" t="str">
            <v>W47</v>
          </cell>
          <cell r="S96" t="str">
            <v>GY47</v>
          </cell>
          <cell r="T96" t="str">
            <v>W47</v>
          </cell>
          <cell r="U96" t="str">
            <v>W47</v>
          </cell>
          <cell r="V96" t="str">
            <v>W47</v>
          </cell>
          <cell r="W96" t="str">
            <v>8강전 경기3 승자</v>
          </cell>
          <cell r="X96" t="str">
            <v>L47</v>
          </cell>
          <cell r="Y96" t="str">
            <v>П47</v>
          </cell>
          <cell r="Z96" t="str">
            <v>R47</v>
          </cell>
          <cell r="AA96" t="str">
            <v>V47</v>
          </cell>
          <cell r="AB96" t="str">
            <v>برنده بازی 47</v>
          </cell>
          <cell r="AC96" t="str">
            <v>W47</v>
          </cell>
          <cell r="AD96" t="str">
            <v>W47</v>
          </cell>
          <cell r="AE96" t="str">
            <v>C47</v>
          </cell>
          <cell r="AF96" t="str">
            <v>P47</v>
          </cell>
          <cell r="AG96" t="str">
            <v>V47</v>
          </cell>
          <cell r="AH96" t="str">
            <v>W47</v>
          </cell>
          <cell r="AI96" t="str">
            <v>W47</v>
          </cell>
          <cell r="AJ96" t="str">
            <v>W47</v>
          </cell>
          <cell r="AK96" t="str">
            <v>ผู้ชนะนัดที่ 47</v>
          </cell>
          <cell r="AL96" t="str">
            <v>G47</v>
          </cell>
          <cell r="AM96" t="str">
            <v>T47</v>
          </cell>
          <cell r="AN96" t="str">
            <v>Переможець 47</v>
          </cell>
          <cell r="AO96" t="str">
            <v>۵۹ جیت</v>
          </cell>
        </row>
        <row r="97">
          <cell r="A97" t="str">
            <v>W48</v>
          </cell>
          <cell r="B97" t="str">
            <v>F48</v>
          </cell>
          <cell r="C97" t="str">
            <v>W48</v>
          </cell>
          <cell r="D97" t="str">
            <v>W48</v>
          </cell>
          <cell r="E97" t="str">
            <v>Q48</v>
          </cell>
          <cell r="F97" t="str">
            <v>W48</v>
          </cell>
          <cell r="G97" t="str">
            <v>G48</v>
          </cell>
          <cell r="H97" t="str">
            <v>48胜者</v>
          </cell>
          <cell r="I97" t="str">
            <v>W48</v>
          </cell>
          <cell r="J97" t="str">
            <v>W48</v>
          </cell>
          <cell r="K97" t="str">
            <v>V48</v>
          </cell>
          <cell r="L97" t="str">
            <v>V48</v>
          </cell>
          <cell r="M97" t="str">
            <v>W48</v>
          </cell>
          <cell r="N97" t="str">
            <v>W48</v>
          </cell>
          <cell r="O97" t="str">
            <v>მ48</v>
          </cell>
          <cell r="P97" t="str">
            <v>W48</v>
          </cell>
          <cell r="Q97" t="str">
            <v>Ν48</v>
          </cell>
          <cell r="R97" t="str">
            <v>W48</v>
          </cell>
          <cell r="S97" t="str">
            <v>GY48</v>
          </cell>
          <cell r="T97" t="str">
            <v>W48</v>
          </cell>
          <cell r="U97" t="str">
            <v>W48</v>
          </cell>
          <cell r="V97" t="str">
            <v>W48</v>
          </cell>
          <cell r="W97" t="str">
            <v>8강전 경기4 승자</v>
          </cell>
          <cell r="X97" t="str">
            <v>L48</v>
          </cell>
          <cell r="Y97" t="str">
            <v>П48</v>
          </cell>
          <cell r="Z97" t="str">
            <v>R48</v>
          </cell>
          <cell r="AA97" t="str">
            <v>V48</v>
          </cell>
          <cell r="AB97" t="str">
            <v>برنده بازی 48</v>
          </cell>
          <cell r="AC97" t="str">
            <v>W48</v>
          </cell>
          <cell r="AD97" t="str">
            <v>W48</v>
          </cell>
          <cell r="AE97" t="str">
            <v>C48</v>
          </cell>
          <cell r="AF97" t="str">
            <v>P48</v>
          </cell>
          <cell r="AG97" t="str">
            <v>V48</v>
          </cell>
          <cell r="AH97" t="str">
            <v>W48</v>
          </cell>
          <cell r="AI97" t="str">
            <v>W48</v>
          </cell>
          <cell r="AJ97" t="str">
            <v>W48</v>
          </cell>
          <cell r="AK97" t="str">
            <v>ผู้ชนะนัดที่ 48</v>
          </cell>
          <cell r="AL97" t="str">
            <v>G48</v>
          </cell>
          <cell r="AM97" t="str">
            <v>T48</v>
          </cell>
          <cell r="AN97" t="str">
            <v>Переможець 48</v>
          </cell>
          <cell r="AO97" t="str">
            <v>۶۰ جیت</v>
          </cell>
        </row>
        <row r="98">
          <cell r="A98" t="str">
            <v>W49</v>
          </cell>
          <cell r="B98" t="str">
            <v>F49</v>
          </cell>
          <cell r="C98" t="str">
            <v>W49</v>
          </cell>
          <cell r="D98" t="str">
            <v>W49</v>
          </cell>
          <cell r="E98" t="str">
            <v>Q49</v>
          </cell>
          <cell r="F98" t="str">
            <v>W49</v>
          </cell>
          <cell r="G98" t="str">
            <v>G49</v>
          </cell>
          <cell r="H98" t="str">
            <v>49胜者</v>
          </cell>
          <cell r="I98" t="str">
            <v>W49</v>
          </cell>
          <cell r="J98" t="str">
            <v>W49</v>
          </cell>
          <cell r="K98" t="str">
            <v>V49</v>
          </cell>
          <cell r="L98" t="str">
            <v>V49</v>
          </cell>
          <cell r="M98" t="str">
            <v>W49</v>
          </cell>
          <cell r="N98" t="str">
            <v>W49</v>
          </cell>
          <cell r="O98" t="str">
            <v>მ49</v>
          </cell>
          <cell r="P98" t="str">
            <v>W49</v>
          </cell>
          <cell r="Q98" t="str">
            <v>Ν49</v>
          </cell>
          <cell r="R98" t="str">
            <v>W49</v>
          </cell>
          <cell r="S98" t="str">
            <v>GY49</v>
          </cell>
          <cell r="T98" t="str">
            <v>W49</v>
          </cell>
          <cell r="U98" t="str">
            <v>W49</v>
          </cell>
          <cell r="V98" t="str">
            <v>W49</v>
          </cell>
          <cell r="W98" t="str">
            <v>준결승 경기1 승자</v>
          </cell>
          <cell r="X98" t="str">
            <v>L49</v>
          </cell>
          <cell r="Y98" t="str">
            <v>П49</v>
          </cell>
          <cell r="Z98" t="str">
            <v>R49</v>
          </cell>
          <cell r="AA98" t="str">
            <v>V49</v>
          </cell>
          <cell r="AB98" t="str">
            <v>برنده بازی 49</v>
          </cell>
          <cell r="AC98" t="str">
            <v>W49</v>
          </cell>
          <cell r="AD98" t="str">
            <v>W49</v>
          </cell>
          <cell r="AE98" t="str">
            <v>C49</v>
          </cell>
          <cell r="AF98" t="str">
            <v>P49</v>
          </cell>
          <cell r="AG98" t="str">
            <v>V49</v>
          </cell>
          <cell r="AH98" t="str">
            <v>W49</v>
          </cell>
          <cell r="AI98" t="str">
            <v>W49</v>
          </cell>
          <cell r="AJ98" t="str">
            <v>W49</v>
          </cell>
          <cell r="AK98" t="str">
            <v>ผู้ชนะนัดที่ 49</v>
          </cell>
          <cell r="AL98" t="str">
            <v>G49</v>
          </cell>
          <cell r="AM98" t="str">
            <v>T49</v>
          </cell>
          <cell r="AN98" t="str">
            <v>Переможець 49</v>
          </cell>
          <cell r="AO98" t="str">
            <v>۶۱ جیت</v>
          </cell>
        </row>
        <row r="99">
          <cell r="A99" t="str">
            <v>W50</v>
          </cell>
          <cell r="B99" t="str">
            <v>F50</v>
          </cell>
          <cell r="C99" t="str">
            <v>W50</v>
          </cell>
          <cell r="D99" t="str">
            <v>W50</v>
          </cell>
          <cell r="E99" t="str">
            <v>Q50</v>
          </cell>
          <cell r="F99" t="str">
            <v>W50</v>
          </cell>
          <cell r="G99" t="str">
            <v>G50</v>
          </cell>
          <cell r="H99" t="str">
            <v>50胜者</v>
          </cell>
          <cell r="I99" t="str">
            <v>W50</v>
          </cell>
          <cell r="J99" t="str">
            <v>W50</v>
          </cell>
          <cell r="K99" t="str">
            <v>V50</v>
          </cell>
          <cell r="L99" t="str">
            <v>V50</v>
          </cell>
          <cell r="M99" t="str">
            <v>W50</v>
          </cell>
          <cell r="N99" t="str">
            <v>W50</v>
          </cell>
          <cell r="O99" t="str">
            <v>მ50</v>
          </cell>
          <cell r="P99" t="str">
            <v>W50</v>
          </cell>
          <cell r="Q99" t="str">
            <v>Ν50</v>
          </cell>
          <cell r="R99" t="str">
            <v>W50</v>
          </cell>
          <cell r="S99" t="str">
            <v>GY50</v>
          </cell>
          <cell r="T99" t="str">
            <v>W50</v>
          </cell>
          <cell r="U99" t="str">
            <v>W50</v>
          </cell>
          <cell r="V99" t="str">
            <v>W50</v>
          </cell>
          <cell r="W99" t="str">
            <v>준결승 경기2 승자</v>
          </cell>
          <cell r="X99" t="str">
            <v>L50</v>
          </cell>
          <cell r="Y99" t="str">
            <v>П50</v>
          </cell>
          <cell r="Z99" t="str">
            <v>R50</v>
          </cell>
          <cell r="AA99" t="str">
            <v>V50</v>
          </cell>
          <cell r="AB99" t="str">
            <v>برنده بازی 50</v>
          </cell>
          <cell r="AC99" t="str">
            <v>W50</v>
          </cell>
          <cell r="AD99" t="str">
            <v>W50</v>
          </cell>
          <cell r="AE99" t="str">
            <v>C50</v>
          </cell>
          <cell r="AF99" t="str">
            <v>P50</v>
          </cell>
          <cell r="AG99" t="str">
            <v>V50</v>
          </cell>
          <cell r="AH99" t="str">
            <v>W50</v>
          </cell>
          <cell r="AI99" t="str">
            <v>W50</v>
          </cell>
          <cell r="AJ99" t="str">
            <v>W50</v>
          </cell>
          <cell r="AK99" t="str">
            <v>ผู้ชนะนัดที่ 50</v>
          </cell>
          <cell r="AL99" t="str">
            <v>G50</v>
          </cell>
          <cell r="AM99" t="str">
            <v>T50</v>
          </cell>
          <cell r="AN99" t="str">
            <v>Переможець 50</v>
          </cell>
          <cell r="AO99" t="str">
            <v>۶۲ جیت</v>
          </cell>
        </row>
        <row r="100">
          <cell r="A100" t="str">
            <v>L61</v>
          </cell>
          <cell r="B100" t="str">
            <v>H61</v>
          </cell>
          <cell r="C100" t="str">
            <v>L61</v>
          </cell>
          <cell r="D100" t="str">
            <v>L61</v>
          </cell>
          <cell r="E100" t="str">
            <v>M61</v>
          </cell>
          <cell r="F100" t="str">
            <v>L61</v>
          </cell>
          <cell r="G100" t="str">
            <v>P61</v>
          </cell>
          <cell r="H100" t="str">
            <v>61负者</v>
          </cell>
          <cell r="I100" t="str">
            <v>L61</v>
          </cell>
          <cell r="J100" t="str">
            <v>L61</v>
          </cell>
          <cell r="K100" t="str">
            <v>P61</v>
          </cell>
          <cell r="L100" t="str">
            <v>T61</v>
          </cell>
          <cell r="M100" t="str">
            <v>V61</v>
          </cell>
          <cell r="N100" t="str">
            <v>L61</v>
          </cell>
          <cell r="O100" t="str">
            <v>წ61</v>
          </cell>
          <cell r="P100" t="str">
            <v>L61</v>
          </cell>
          <cell r="Q100" t="str">
            <v>Η61</v>
          </cell>
          <cell r="R100" t="str">
            <v>L61</v>
          </cell>
          <cell r="S100" t="str">
            <v>V61</v>
          </cell>
          <cell r="T100" t="str">
            <v>L61</v>
          </cell>
          <cell r="U100" t="str">
            <v>L61</v>
          </cell>
          <cell r="V100" t="str">
            <v>L61</v>
          </cell>
          <cell r="W100" t="str">
            <v>준결승 경기1 패자</v>
          </cell>
          <cell r="X100" t="str">
            <v>P61</v>
          </cell>
          <cell r="Y100" t="str">
            <v>И61</v>
          </cell>
          <cell r="Z100" t="str">
            <v>T61</v>
          </cell>
          <cell r="AA100" t="str">
            <v>T61</v>
          </cell>
          <cell r="AB100" t="str">
            <v>بازنده بازی 61</v>
          </cell>
          <cell r="AC100" t="str">
            <v>L61</v>
          </cell>
          <cell r="AD100" t="str">
            <v>L61</v>
          </cell>
          <cell r="AE100" t="str">
            <v>P61</v>
          </cell>
          <cell r="AF100" t="str">
            <v>I61</v>
          </cell>
          <cell r="AG100" t="str">
            <v>P61</v>
          </cell>
          <cell r="AH100" t="str">
            <v>L61</v>
          </cell>
          <cell r="AI100" t="str">
            <v>L61</v>
          </cell>
          <cell r="AJ100" t="str">
            <v>L61</v>
          </cell>
          <cell r="AK100" t="str">
            <v>ผู้แพ้นัดที่ 61</v>
          </cell>
          <cell r="AL100" t="str">
            <v>M61</v>
          </cell>
          <cell r="AM100" t="str">
            <v>B61</v>
          </cell>
          <cell r="AN100" t="str">
            <v>Переможений 61</v>
          </cell>
          <cell r="AO100" t="str">
            <v>۶۱ ہار</v>
          </cell>
        </row>
        <row r="101">
          <cell r="A101" t="str">
            <v>L62</v>
          </cell>
          <cell r="B101" t="str">
            <v>H62</v>
          </cell>
          <cell r="C101" t="str">
            <v>L62</v>
          </cell>
          <cell r="D101" t="str">
            <v>L62</v>
          </cell>
          <cell r="E101" t="str">
            <v>M62</v>
          </cell>
          <cell r="F101" t="str">
            <v>L62</v>
          </cell>
          <cell r="G101" t="str">
            <v>P62</v>
          </cell>
          <cell r="H101" t="str">
            <v>62负者</v>
          </cell>
          <cell r="I101" t="str">
            <v>L62</v>
          </cell>
          <cell r="J101" t="str">
            <v>L62</v>
          </cell>
          <cell r="K101" t="str">
            <v>P62</v>
          </cell>
          <cell r="L101" t="str">
            <v>T62</v>
          </cell>
          <cell r="M101" t="str">
            <v>V62</v>
          </cell>
          <cell r="N101" t="str">
            <v>L62</v>
          </cell>
          <cell r="O101" t="str">
            <v>წ62</v>
          </cell>
          <cell r="P101" t="str">
            <v>L62</v>
          </cell>
          <cell r="Q101" t="str">
            <v>Η62</v>
          </cell>
          <cell r="R101" t="str">
            <v>L62</v>
          </cell>
          <cell r="S101" t="str">
            <v>V62</v>
          </cell>
          <cell r="T101" t="str">
            <v>L62</v>
          </cell>
          <cell r="U101" t="str">
            <v>L62</v>
          </cell>
          <cell r="V101" t="str">
            <v>L62</v>
          </cell>
          <cell r="W101" t="str">
            <v>준결승 경기2 패자</v>
          </cell>
          <cell r="X101" t="str">
            <v>P62</v>
          </cell>
          <cell r="Y101" t="str">
            <v>И62</v>
          </cell>
          <cell r="Z101" t="str">
            <v>T62</v>
          </cell>
          <cell r="AA101" t="str">
            <v>T62</v>
          </cell>
          <cell r="AB101" t="str">
            <v>بازنده بازی 62</v>
          </cell>
          <cell r="AC101" t="str">
            <v>L62</v>
          </cell>
          <cell r="AD101" t="str">
            <v>L62</v>
          </cell>
          <cell r="AE101" t="str">
            <v>P62</v>
          </cell>
          <cell r="AF101" t="str">
            <v>I62</v>
          </cell>
          <cell r="AG101" t="str">
            <v>P62</v>
          </cell>
          <cell r="AH101" t="str">
            <v>L62</v>
          </cell>
          <cell r="AI101" t="str">
            <v>L62</v>
          </cell>
          <cell r="AJ101" t="str">
            <v>L62</v>
          </cell>
          <cell r="AK101" t="str">
            <v>ผู้แพ้นัดที่ 62</v>
          </cell>
          <cell r="AL101" t="str">
            <v>M62</v>
          </cell>
          <cell r="AM101" t="str">
            <v>B62</v>
          </cell>
          <cell r="AN101" t="str">
            <v>Переможений 62</v>
          </cell>
          <cell r="AO101" t="str">
            <v>۶۲ ہار</v>
          </cell>
        </row>
        <row r="102">
          <cell r="A102" t="str">
            <v>Champion 2021</v>
          </cell>
          <cell r="B102" t="str">
            <v>Champion 2021</v>
          </cell>
          <cell r="C102" t="str">
            <v>بطل 2021</v>
          </cell>
          <cell r="D102" t="str">
            <v>Champion 2021-</v>
          </cell>
          <cell r="E102" t="str">
            <v>Champion 2021</v>
          </cell>
          <cell r="F102" t="str">
            <v>Шампион 2021</v>
          </cell>
          <cell r="G102" t="str">
            <v>Campió 2021</v>
          </cell>
          <cell r="H102" t="str">
            <v>2021年冠军</v>
          </cell>
          <cell r="I102" t="str">
            <v>2021年冠軍</v>
          </cell>
          <cell r="J102" t="str">
            <v>Prvak 2021</v>
          </cell>
          <cell r="K102" t="str">
            <v>Champion 2021</v>
          </cell>
          <cell r="L102" t="str">
            <v>Champion 2021</v>
          </cell>
          <cell r="M102" t="str">
            <v>Champion 2021</v>
          </cell>
          <cell r="N102" t="str">
            <v>Champion 2021</v>
          </cell>
          <cell r="O102" t="str">
            <v>ჩემპიონი 2021</v>
          </cell>
          <cell r="P102" t="str">
            <v>Meister 2021</v>
          </cell>
          <cell r="Q102" t="str">
            <v>Πρωταθλητής 2021</v>
          </cell>
          <cell r="R102" t="str">
            <v>אלוף 2021</v>
          </cell>
          <cell r="S102" t="str">
            <v>Champion 2021</v>
          </cell>
          <cell r="T102" t="str">
            <v>Juara 2021</v>
          </cell>
          <cell r="U102" t="str">
            <v>Meistari 2021</v>
          </cell>
          <cell r="V102" t="str">
            <v>Campione 2021</v>
          </cell>
          <cell r="W102" t="str">
            <v>챔피언 2021</v>
          </cell>
          <cell r="X102" t="str">
            <v>Čempionas 2021</v>
          </cell>
          <cell r="Y102" t="str">
            <v>Шампион 2021</v>
          </cell>
          <cell r="Z102" t="str">
            <v>Champion 2021</v>
          </cell>
          <cell r="AA102" t="str">
            <v>Champion 2021</v>
          </cell>
          <cell r="AB102" t="str">
            <v>قهرمان 2021</v>
          </cell>
          <cell r="AC102" t="str">
            <v>Champion 2021</v>
          </cell>
          <cell r="AD102" t="str">
            <v>Champion 2021</v>
          </cell>
          <cell r="AE102" t="str">
            <v>Campionul 2021</v>
          </cell>
          <cell r="AF102" t="str">
            <v>Цхампион 2021</v>
          </cell>
          <cell r="AG102" t="str">
            <v>Champion 2021</v>
          </cell>
          <cell r="AH102" t="str">
            <v>Champion 2021</v>
          </cell>
          <cell r="AI102" t="str">
            <v>Campeón 2021</v>
          </cell>
          <cell r="AJ102" t="str">
            <v>Champion 2021</v>
          </cell>
          <cell r="AK102" t="str">
            <v>แชมป์ 2021</v>
          </cell>
          <cell r="AL102" t="str">
            <v>Şampiyon 2021</v>
          </cell>
          <cell r="AM102" t="str">
            <v>Champion 2021</v>
          </cell>
          <cell r="AN102" t="str">
            <v>Чемпіон 2021</v>
          </cell>
          <cell r="AO102" t="str">
            <v>چیمپیئن 2021</v>
          </cell>
        </row>
        <row r="103">
          <cell r="A103" t="str">
            <v>Rome</v>
          </cell>
          <cell r="B103" t="str">
            <v>Roma</v>
          </cell>
          <cell r="C103" t="str">
            <v>روما</v>
          </cell>
          <cell r="D103" t="str">
            <v>Հռոմ</v>
          </cell>
          <cell r="E103" t="str">
            <v>Rome</v>
          </cell>
          <cell r="F103" t="str">
            <v>Рим</v>
          </cell>
          <cell r="G103" t="str">
            <v>Roma</v>
          </cell>
          <cell r="H103" t="str">
            <v>罗马</v>
          </cell>
          <cell r="I103" t="str">
            <v>羅馬</v>
          </cell>
          <cell r="J103" t="str">
            <v>Rim</v>
          </cell>
          <cell r="K103" t="str">
            <v>Řím</v>
          </cell>
          <cell r="L103" t="str">
            <v>Rom</v>
          </cell>
          <cell r="M103" t="str">
            <v>Rome</v>
          </cell>
          <cell r="N103" t="str">
            <v>Rome</v>
          </cell>
          <cell r="O103" t="str">
            <v>რომი</v>
          </cell>
          <cell r="P103" t="str">
            <v>Rom</v>
          </cell>
          <cell r="Q103" t="str">
            <v>Ρώμη</v>
          </cell>
          <cell r="R103" t="str">
            <v>רומא</v>
          </cell>
          <cell r="S103" t="str">
            <v>Róma</v>
          </cell>
          <cell r="T103" t="str">
            <v>Roma</v>
          </cell>
          <cell r="U103" t="str">
            <v>Rome</v>
          </cell>
          <cell r="V103" t="str">
            <v>Roma</v>
          </cell>
          <cell r="W103" t="str">
            <v>로마</v>
          </cell>
          <cell r="X103" t="str">
            <v>Roma</v>
          </cell>
          <cell r="Y103" t="str">
            <v>Рим</v>
          </cell>
          <cell r="Z103" t="str">
            <v>Ruma</v>
          </cell>
          <cell r="AA103" t="str">
            <v>Roma</v>
          </cell>
          <cell r="AB103" t="str">
            <v>رم</v>
          </cell>
          <cell r="AC103" t="str">
            <v>Rzym</v>
          </cell>
          <cell r="AD103" t="str">
            <v>Roma</v>
          </cell>
          <cell r="AE103" t="str">
            <v>Roma</v>
          </cell>
          <cell r="AF103" t="str">
            <v>Рим</v>
          </cell>
          <cell r="AG103" t="str">
            <v>Rím</v>
          </cell>
          <cell r="AH103" t="str">
            <v>Rim</v>
          </cell>
          <cell r="AI103" t="str">
            <v>Roma</v>
          </cell>
          <cell r="AJ103" t="str">
            <v>Rom</v>
          </cell>
          <cell r="AK103" t="str">
            <v>กรุงโรม</v>
          </cell>
          <cell r="AL103" t="str">
            <v>Roma</v>
          </cell>
          <cell r="AM103" t="str">
            <v>La Mã</v>
          </cell>
          <cell r="AN103" t="str">
            <v>Рим</v>
          </cell>
          <cell r="AO103" t="str">
            <v>روم</v>
          </cell>
        </row>
        <row r="104">
          <cell r="A104" t="str">
            <v>Baku</v>
          </cell>
          <cell r="B104" t="str">
            <v>Baku</v>
          </cell>
          <cell r="C104" t="str">
            <v>باكو</v>
          </cell>
          <cell r="D104" t="str">
            <v>Baku</v>
          </cell>
          <cell r="E104" t="str">
            <v>Bakı</v>
          </cell>
          <cell r="F104" t="str">
            <v>Баку</v>
          </cell>
          <cell r="G104" t="str">
            <v>Bakú</v>
          </cell>
          <cell r="H104" t="str">
            <v>巴库</v>
          </cell>
          <cell r="I104" t="str">
            <v>巴庫</v>
          </cell>
          <cell r="J104" t="str">
            <v>Baku</v>
          </cell>
          <cell r="K104" t="str">
            <v>Baku</v>
          </cell>
          <cell r="L104" t="str">
            <v>Baku</v>
          </cell>
          <cell r="M104" t="str">
            <v>Baku</v>
          </cell>
          <cell r="N104" t="str">
            <v>Bakou</v>
          </cell>
          <cell r="O104" t="str">
            <v>ბაკო</v>
          </cell>
          <cell r="P104" t="str">
            <v>Baku</v>
          </cell>
          <cell r="Q104" t="str">
            <v>Μπακού</v>
          </cell>
          <cell r="R104" t="str">
            <v>באקו</v>
          </cell>
          <cell r="S104" t="str">
            <v>Baku</v>
          </cell>
          <cell r="T104" t="str">
            <v>Baku</v>
          </cell>
          <cell r="U104" t="str">
            <v>Baku</v>
          </cell>
          <cell r="V104" t="str">
            <v>Baku</v>
          </cell>
          <cell r="W104" t="str">
            <v>바쿠</v>
          </cell>
          <cell r="X104" t="str">
            <v>Baku</v>
          </cell>
          <cell r="Y104" t="str">
            <v>Баку</v>
          </cell>
          <cell r="Z104" t="str">
            <v>Baku</v>
          </cell>
          <cell r="AA104" t="str">
            <v>Baku</v>
          </cell>
          <cell r="AB104" t="str">
            <v>باکو</v>
          </cell>
          <cell r="AC104" t="str">
            <v>Baku</v>
          </cell>
          <cell r="AD104" t="str">
            <v>Baku</v>
          </cell>
          <cell r="AE104" t="str">
            <v>Baku</v>
          </cell>
          <cell r="AF104" t="str">
            <v>Баку</v>
          </cell>
          <cell r="AG104" t="str">
            <v>Baku</v>
          </cell>
          <cell r="AH104" t="str">
            <v>Baku</v>
          </cell>
          <cell r="AI104" t="str">
            <v>Bakú</v>
          </cell>
          <cell r="AJ104" t="str">
            <v>Baku</v>
          </cell>
          <cell r="AK104" t="str">
            <v>บากู</v>
          </cell>
          <cell r="AL104" t="str">
            <v>Bakü</v>
          </cell>
          <cell r="AM104" t="str">
            <v>Baku</v>
          </cell>
          <cell r="AN104" t="str">
            <v>Баку</v>
          </cell>
          <cell r="AO104" t="str">
            <v>باکو</v>
          </cell>
        </row>
        <row r="105">
          <cell r="A105" t="str">
            <v>Copenhagen</v>
          </cell>
          <cell r="B105" t="str">
            <v>Kopenhagen</v>
          </cell>
          <cell r="C105" t="str">
            <v>كوبنهاغن</v>
          </cell>
          <cell r="D105" t="str">
            <v>Կոպենհագեն</v>
          </cell>
          <cell r="E105" t="str">
            <v>Kopenhagen</v>
          </cell>
          <cell r="F105" t="str">
            <v>Копенхаген</v>
          </cell>
          <cell r="G105" t="str">
            <v>Copenhaguen</v>
          </cell>
          <cell r="H105" t="str">
            <v>哥本哈根</v>
          </cell>
          <cell r="I105" t="str">
            <v>哥本哈根</v>
          </cell>
          <cell r="J105" t="str">
            <v>Kopenhagen</v>
          </cell>
          <cell r="K105" t="str">
            <v>Kodaň</v>
          </cell>
          <cell r="L105" t="str">
            <v>København</v>
          </cell>
          <cell r="M105" t="str">
            <v>Kopenhagen</v>
          </cell>
          <cell r="N105" t="str">
            <v>Copenhague</v>
          </cell>
          <cell r="O105" t="str">
            <v>კოპენჰაგე</v>
          </cell>
          <cell r="P105" t="str">
            <v>Kopenhagen</v>
          </cell>
          <cell r="Q105" t="str">
            <v>Κοπεγχάγη</v>
          </cell>
          <cell r="R105" t="str">
            <v>קופנהגן</v>
          </cell>
          <cell r="S105" t="str">
            <v>Koppenhága</v>
          </cell>
          <cell r="T105" t="str">
            <v>Copenhagen</v>
          </cell>
          <cell r="U105" t="str">
            <v>Kaupmannahöfn</v>
          </cell>
          <cell r="V105" t="str">
            <v>Copenhagen</v>
          </cell>
          <cell r="W105" t="str">
            <v>코펜하겐</v>
          </cell>
          <cell r="X105" t="str">
            <v>Kopenhaga</v>
          </cell>
          <cell r="Y105" t="str">
            <v>Копенхаген</v>
          </cell>
          <cell r="Z105" t="str">
            <v>Kopenħagen</v>
          </cell>
          <cell r="AA105" t="str">
            <v>København</v>
          </cell>
          <cell r="AB105" t="str">
            <v>کپنهاگ</v>
          </cell>
          <cell r="AC105" t="str">
            <v>Kopenhaga</v>
          </cell>
          <cell r="AD105" t="str">
            <v>Copenhague</v>
          </cell>
          <cell r="AE105" t="str">
            <v>Copenhaga</v>
          </cell>
          <cell r="AF105" t="str">
            <v>Копенхаген</v>
          </cell>
          <cell r="AG105" t="str">
            <v>Kodaň</v>
          </cell>
          <cell r="AH105" t="str">
            <v>Copenhagen</v>
          </cell>
          <cell r="AI105" t="str">
            <v>Copenhague</v>
          </cell>
          <cell r="AJ105" t="str">
            <v>Köpenhamn</v>
          </cell>
          <cell r="AK105" t="str">
            <v>โคเปนเฮเกน</v>
          </cell>
          <cell r="AL105" t="str">
            <v>Kopenhag</v>
          </cell>
          <cell r="AM105" t="str">
            <v>Copenhagen</v>
          </cell>
          <cell r="AN105" t="str">
            <v>Копенгаген</v>
          </cell>
          <cell r="AO105" t="str">
            <v>کوپن ہیگن</v>
          </cell>
        </row>
        <row r="106">
          <cell r="A106" t="str">
            <v>St Petersburg</v>
          </cell>
          <cell r="B106" t="str">
            <v>Shën Petersburg</v>
          </cell>
          <cell r="C106" t="str">
            <v>سان بطرسبرج</v>
          </cell>
          <cell r="D106" t="str">
            <v>Սանկտ Պետերբուրգում</v>
          </cell>
          <cell r="E106" t="str">
            <v>Sankt-Peterburq</v>
          </cell>
          <cell r="F106" t="str">
            <v>Санкт Петербург</v>
          </cell>
          <cell r="G106" t="str">
            <v>Sant Petersburg</v>
          </cell>
          <cell r="H106" t="str">
            <v>圣彼得堡</v>
          </cell>
          <cell r="I106" t="str">
            <v>聖彼得堡</v>
          </cell>
          <cell r="J106" t="str">
            <v>St. Petersburg</v>
          </cell>
          <cell r="K106" t="str">
            <v>Petrohrad</v>
          </cell>
          <cell r="L106" t="str">
            <v>Sankt Petersborg</v>
          </cell>
          <cell r="M106" t="str">
            <v>St. Petersburg</v>
          </cell>
          <cell r="N106" t="str">
            <v>Saint-Pétersbourg</v>
          </cell>
          <cell r="O106" t="str">
            <v>სენ-პეტერბურგი</v>
          </cell>
          <cell r="P106" t="str">
            <v>St. Petersburg</v>
          </cell>
          <cell r="Q106" t="str">
            <v>Αγία Πετρούπολη</v>
          </cell>
          <cell r="R106" t="str">
            <v>סנט פטרסבורג</v>
          </cell>
          <cell r="S106" t="str">
            <v>Szentpétervár</v>
          </cell>
          <cell r="T106" t="str">
            <v>St Petersburg</v>
          </cell>
          <cell r="U106" t="str">
            <v>Sankti Pétursborg</v>
          </cell>
          <cell r="V106" t="str">
            <v>San Pietroburgo</v>
          </cell>
          <cell r="W106" t="str">
            <v>세인트 피터스 버그</v>
          </cell>
          <cell r="X106" t="str">
            <v>Sankt Peterburgas</v>
          </cell>
          <cell r="Y106" t="str">
            <v>Санкт Петербург</v>
          </cell>
          <cell r="Z106" t="str">
            <v>San Pietruburgu</v>
          </cell>
          <cell r="AA106" t="str">
            <v>St. Petersburg</v>
          </cell>
          <cell r="AB106" t="str">
            <v>سنت پترزبورگ</v>
          </cell>
          <cell r="AC106" t="str">
            <v>Petersburg</v>
          </cell>
          <cell r="AD106" t="str">
            <v>São Petersburgo</v>
          </cell>
          <cell r="AE106" t="str">
            <v>St.Petersburg</v>
          </cell>
          <cell r="AF106" t="str">
            <v>Санкт Петербург</v>
          </cell>
          <cell r="AG106" t="str">
            <v>St. Petersburg</v>
          </cell>
          <cell r="AH106" t="str">
            <v>St. Petersburg</v>
          </cell>
          <cell r="AI106" t="str">
            <v>San Petersburgo</v>
          </cell>
          <cell r="AJ106" t="str">
            <v>St. Petersburg</v>
          </cell>
          <cell r="AK106" t="str">
            <v>เซนต์ปีเตอร์สเบิร์ก</v>
          </cell>
          <cell r="AL106" t="str">
            <v>St Petersburg</v>
          </cell>
          <cell r="AM106" t="str">
            <v>St Petersburg</v>
          </cell>
          <cell r="AN106" t="str">
            <v>Санкт-Петербург</v>
          </cell>
          <cell r="AO106" t="str">
            <v>سینٹ پیٹرز برگ</v>
          </cell>
        </row>
        <row r="107">
          <cell r="A107" t="str">
            <v>London</v>
          </cell>
          <cell r="B107" t="str">
            <v>Londër</v>
          </cell>
          <cell r="C107" t="str">
            <v>لندن</v>
          </cell>
          <cell r="D107" t="str">
            <v>London</v>
          </cell>
          <cell r="E107" t="str">
            <v>London</v>
          </cell>
          <cell r="F107" t="str">
            <v>Лондон</v>
          </cell>
          <cell r="G107" t="str">
            <v>Londres</v>
          </cell>
          <cell r="H107" t="str">
            <v>伦敦</v>
          </cell>
          <cell r="I107" t="str">
            <v>倫敦</v>
          </cell>
          <cell r="J107" t="str">
            <v>London</v>
          </cell>
          <cell r="K107" t="str">
            <v>Londýn</v>
          </cell>
          <cell r="L107" t="str">
            <v>London</v>
          </cell>
          <cell r="M107" t="str">
            <v>Londen</v>
          </cell>
          <cell r="N107" t="str">
            <v>Londres</v>
          </cell>
          <cell r="O107" t="str">
            <v>ლონდრები</v>
          </cell>
          <cell r="P107" t="str">
            <v>London</v>
          </cell>
          <cell r="Q107" t="str">
            <v>Λονδίνο</v>
          </cell>
          <cell r="R107" t="str">
            <v>לונדון</v>
          </cell>
          <cell r="S107" t="str">
            <v>London</v>
          </cell>
          <cell r="T107" t="str">
            <v>London</v>
          </cell>
          <cell r="U107" t="str">
            <v>London</v>
          </cell>
          <cell r="V107" t="str">
            <v>Londra</v>
          </cell>
          <cell r="W107" t="str">
            <v>런던</v>
          </cell>
          <cell r="X107" t="str">
            <v>Londonas</v>
          </cell>
          <cell r="Y107" t="str">
            <v>Лондон</v>
          </cell>
          <cell r="Z107" t="str">
            <v>London</v>
          </cell>
          <cell r="AA107" t="str">
            <v>London</v>
          </cell>
          <cell r="AB107" t="str">
            <v>لندن</v>
          </cell>
          <cell r="AC107" t="str">
            <v>Londyn</v>
          </cell>
          <cell r="AD107" t="str">
            <v>Londres</v>
          </cell>
          <cell r="AE107" t="str">
            <v>Londra</v>
          </cell>
          <cell r="AF107" t="str">
            <v>Лондон</v>
          </cell>
          <cell r="AG107" t="str">
            <v>Londýn</v>
          </cell>
          <cell r="AH107" t="str">
            <v>London</v>
          </cell>
          <cell r="AI107" t="str">
            <v>Londres</v>
          </cell>
          <cell r="AJ107" t="str">
            <v>London</v>
          </cell>
          <cell r="AK107" t="str">
            <v>กรุงลอนดอน</v>
          </cell>
          <cell r="AL107" t="str">
            <v>Londra</v>
          </cell>
          <cell r="AM107" t="str">
            <v>London</v>
          </cell>
          <cell r="AN107" t="str">
            <v>Лондон</v>
          </cell>
          <cell r="AO107" t="str">
            <v>لندن</v>
          </cell>
        </row>
        <row r="108">
          <cell r="A108" t="str">
            <v>Bucharest</v>
          </cell>
          <cell r="B108" t="str">
            <v>Bukuresht</v>
          </cell>
          <cell r="C108" t="str">
            <v>بوخارست</v>
          </cell>
          <cell r="D108" t="str">
            <v>Բուխարեստ</v>
          </cell>
          <cell r="E108" t="str">
            <v>Buxarest</v>
          </cell>
          <cell r="F108" t="str">
            <v>Букурещ</v>
          </cell>
          <cell r="G108" t="str">
            <v>Bucarest</v>
          </cell>
          <cell r="H108" t="str">
            <v>布加勒斯特</v>
          </cell>
          <cell r="I108" t="str">
            <v>布加勒斯特</v>
          </cell>
          <cell r="J108" t="str">
            <v>Bukurešt</v>
          </cell>
          <cell r="K108" t="str">
            <v>Bukurešť</v>
          </cell>
          <cell r="L108" t="str">
            <v>Bukarest</v>
          </cell>
          <cell r="M108" t="str">
            <v>Boekarest</v>
          </cell>
          <cell r="N108" t="str">
            <v>Bucarest</v>
          </cell>
          <cell r="O108" t="str">
            <v>ბუკარესტი</v>
          </cell>
          <cell r="P108" t="str">
            <v>Bukarest</v>
          </cell>
          <cell r="Q108" t="str">
            <v>Βουκουρέστι</v>
          </cell>
          <cell r="R108" t="str">
            <v>בוקרשט</v>
          </cell>
          <cell r="S108" t="str">
            <v>Bukarest</v>
          </cell>
          <cell r="T108" t="str">
            <v>Bucharest</v>
          </cell>
          <cell r="U108" t="str">
            <v>Búkarest</v>
          </cell>
          <cell r="V108" t="str">
            <v>Bucarest</v>
          </cell>
          <cell r="W108" t="str">
            <v>부카레스트</v>
          </cell>
          <cell r="X108" t="str">
            <v>Bukareštas</v>
          </cell>
          <cell r="Y108" t="str">
            <v>Букурешт</v>
          </cell>
          <cell r="Z108" t="str">
            <v>Bukarest</v>
          </cell>
          <cell r="AA108" t="str">
            <v>Bucuresti</v>
          </cell>
          <cell r="AB108" t="str">
            <v>بخارست</v>
          </cell>
          <cell r="AC108" t="str">
            <v>Bukareszt</v>
          </cell>
          <cell r="AD108" t="str">
            <v>Bucareste</v>
          </cell>
          <cell r="AE108" t="str">
            <v>Bucureşti</v>
          </cell>
          <cell r="AF108" t="str">
            <v>Букурешт</v>
          </cell>
          <cell r="AG108" t="str">
            <v>Bukurešť</v>
          </cell>
          <cell r="AH108" t="str">
            <v>Bukarešta</v>
          </cell>
          <cell r="AI108" t="str">
            <v>Bucarest</v>
          </cell>
          <cell r="AJ108" t="str">
            <v>Bukarest</v>
          </cell>
          <cell r="AK108" t="str">
            <v>บูคาเรสต์</v>
          </cell>
          <cell r="AL108" t="str">
            <v>Bükreş</v>
          </cell>
          <cell r="AM108" t="str">
            <v>Bucharest</v>
          </cell>
          <cell r="AN108" t="str">
            <v>Бухарест</v>
          </cell>
          <cell r="AO108" t="str">
            <v>بخارسٹ</v>
          </cell>
        </row>
        <row r="109">
          <cell r="A109" t="str">
            <v>Amsterdam</v>
          </cell>
          <cell r="B109" t="str">
            <v>Amsterdam</v>
          </cell>
          <cell r="C109" t="str">
            <v>أمستردام</v>
          </cell>
          <cell r="D109" t="str">
            <v>Ամստերդամ</v>
          </cell>
          <cell r="E109" t="str">
            <v>Amsterdam</v>
          </cell>
          <cell r="F109" t="str">
            <v>Амстердам</v>
          </cell>
          <cell r="G109" t="str">
            <v>Amsterdam</v>
          </cell>
          <cell r="H109" t="str">
            <v>阿姆斯特丹</v>
          </cell>
          <cell r="I109" t="str">
            <v>阿姆斯特丹</v>
          </cell>
          <cell r="J109" t="str">
            <v>Amsterdam</v>
          </cell>
          <cell r="K109" t="str">
            <v>Amsterodam</v>
          </cell>
          <cell r="L109" t="str">
            <v>Amsterdam</v>
          </cell>
          <cell r="M109" t="str">
            <v>Amsterdam</v>
          </cell>
          <cell r="N109" t="str">
            <v>Amsterdam</v>
          </cell>
          <cell r="O109" t="str">
            <v>ამსტერდამი</v>
          </cell>
          <cell r="P109" t="str">
            <v>Amsterdam</v>
          </cell>
          <cell r="Q109" t="str">
            <v>Άμστερνταμ</v>
          </cell>
          <cell r="R109" t="str">
            <v>אמסטרדם</v>
          </cell>
          <cell r="S109" t="str">
            <v>Amszterdam</v>
          </cell>
          <cell r="T109" t="str">
            <v>Amsterdam</v>
          </cell>
          <cell r="U109" t="str">
            <v>Amsterdam</v>
          </cell>
          <cell r="V109" t="str">
            <v>Amsterdam</v>
          </cell>
          <cell r="W109" t="str">
            <v>암스테르담</v>
          </cell>
          <cell r="X109" t="str">
            <v>Amsterdamas</v>
          </cell>
          <cell r="Y109" t="str">
            <v>Амстердам</v>
          </cell>
          <cell r="Z109" t="str">
            <v>Amsterdam</v>
          </cell>
          <cell r="AA109" t="str">
            <v>Amsterdam</v>
          </cell>
          <cell r="AB109" t="str">
            <v>آمستردام</v>
          </cell>
          <cell r="AC109" t="str">
            <v>Amsterdam</v>
          </cell>
          <cell r="AD109" t="str">
            <v>Amsterdam</v>
          </cell>
          <cell r="AE109" t="str">
            <v>Amsterdam</v>
          </cell>
          <cell r="AF109" t="str">
            <v>Амстердам</v>
          </cell>
          <cell r="AG109" t="str">
            <v>Amsterdam</v>
          </cell>
          <cell r="AH109" t="str">
            <v>Amsterdam</v>
          </cell>
          <cell r="AI109" t="str">
            <v>Ámsterdam</v>
          </cell>
          <cell r="AJ109" t="str">
            <v>Amsterdam</v>
          </cell>
          <cell r="AK109" t="str">
            <v>อัมสเตอร์ดัม</v>
          </cell>
          <cell r="AL109" t="str">
            <v>Amsterdam</v>
          </cell>
          <cell r="AM109" t="str">
            <v>Amsterdam</v>
          </cell>
          <cell r="AN109" t="str">
            <v>Амстердам</v>
          </cell>
          <cell r="AO109" t="str">
            <v>ایمسٹرڈیم</v>
          </cell>
        </row>
        <row r="110">
          <cell r="A110" t="str">
            <v>Glasgow</v>
          </cell>
          <cell r="B110" t="str">
            <v>Glasgow</v>
          </cell>
          <cell r="C110" t="str">
            <v>غلاسكو</v>
          </cell>
          <cell r="D110" t="str">
            <v>Glasgow</v>
          </cell>
          <cell r="E110" t="str">
            <v>Glasgow</v>
          </cell>
          <cell r="F110" t="str">
            <v>Глазгоу</v>
          </cell>
          <cell r="G110" t="str">
            <v>Glasgow</v>
          </cell>
          <cell r="H110" t="str">
            <v>格拉斯哥</v>
          </cell>
          <cell r="I110" t="str">
            <v>格拉斯哥</v>
          </cell>
          <cell r="J110" t="str">
            <v>Glazgov</v>
          </cell>
          <cell r="K110" t="str">
            <v>Glasgow</v>
          </cell>
          <cell r="L110" t="str">
            <v>Glasgow</v>
          </cell>
          <cell r="M110" t="str">
            <v>Glasgow</v>
          </cell>
          <cell r="N110" t="str">
            <v>Glasgow</v>
          </cell>
          <cell r="O110" t="str">
            <v>გლაზგო</v>
          </cell>
          <cell r="P110" t="str">
            <v>Glasgow</v>
          </cell>
          <cell r="Q110" t="str">
            <v>Γλασκώβη</v>
          </cell>
          <cell r="R110" t="str">
            <v>גלזגו</v>
          </cell>
          <cell r="S110" t="str">
            <v>Glasgow</v>
          </cell>
          <cell r="T110" t="str">
            <v>Glasgow</v>
          </cell>
          <cell r="U110" t="str">
            <v>Glasgow</v>
          </cell>
          <cell r="V110" t="str">
            <v>Glasgow</v>
          </cell>
          <cell r="W110" t="str">
            <v>글래스고</v>
          </cell>
          <cell r="X110" t="str">
            <v>Glazgas</v>
          </cell>
          <cell r="Y110" t="str">
            <v>Глазгов</v>
          </cell>
          <cell r="Z110" t="str">
            <v>Glasgow</v>
          </cell>
          <cell r="AA110" t="str">
            <v>Glasgow</v>
          </cell>
          <cell r="AB110" t="str">
            <v>گلاسکو</v>
          </cell>
          <cell r="AC110" t="str">
            <v>Glasgow</v>
          </cell>
          <cell r="AD110" t="str">
            <v>Glasgow</v>
          </cell>
          <cell r="AE110" t="str">
            <v>Glasgow</v>
          </cell>
          <cell r="AF110" t="str">
            <v>Глазгов</v>
          </cell>
          <cell r="AG110" t="str">
            <v>Glasgow</v>
          </cell>
          <cell r="AH110" t="str">
            <v>Glasgow</v>
          </cell>
          <cell r="AI110" t="str">
            <v>Glasgow</v>
          </cell>
          <cell r="AJ110" t="str">
            <v>Glasgow</v>
          </cell>
          <cell r="AK110" t="str">
            <v>กลาสโกว์</v>
          </cell>
          <cell r="AL110" t="str">
            <v>Glasgow</v>
          </cell>
          <cell r="AM110" t="str">
            <v>Glasgow</v>
          </cell>
          <cell r="AN110" t="str">
            <v>Глазго</v>
          </cell>
          <cell r="AO110" t="str">
            <v>گلاسگو</v>
          </cell>
        </row>
        <row r="111">
          <cell r="A111" t="str">
            <v>Dublin</v>
          </cell>
          <cell r="B111" t="str">
            <v>Dublin</v>
          </cell>
          <cell r="C111" t="str">
            <v>دبلن</v>
          </cell>
          <cell r="D111" t="str">
            <v>Dublin</v>
          </cell>
          <cell r="E111" t="str">
            <v>Dublin</v>
          </cell>
          <cell r="F111" t="str">
            <v>Дъблин</v>
          </cell>
          <cell r="G111" t="str">
            <v>Dublín</v>
          </cell>
          <cell r="H111" t="str">
            <v>都柏林</v>
          </cell>
          <cell r="I111" t="str">
            <v>都柏林</v>
          </cell>
          <cell r="J111" t="str">
            <v>Dablin</v>
          </cell>
          <cell r="K111" t="str">
            <v>Dublin</v>
          </cell>
          <cell r="L111" t="str">
            <v>Dublin</v>
          </cell>
          <cell r="M111" t="str">
            <v>Dublin</v>
          </cell>
          <cell r="N111" t="str">
            <v>Dublin</v>
          </cell>
          <cell r="O111" t="str">
            <v>დუბლინი</v>
          </cell>
          <cell r="P111" t="str">
            <v>Dublin</v>
          </cell>
          <cell r="Q111" t="str">
            <v>Δουβλίνο</v>
          </cell>
          <cell r="R111" t="str">
            <v>דבלין</v>
          </cell>
          <cell r="S111" t="str">
            <v>Dublin</v>
          </cell>
          <cell r="T111" t="str">
            <v>Dublin</v>
          </cell>
          <cell r="U111" t="str">
            <v>Dublin</v>
          </cell>
          <cell r="V111" t="str">
            <v>Dublino</v>
          </cell>
          <cell r="W111" t="str">
            <v>더블린</v>
          </cell>
          <cell r="X111" t="str">
            <v>Dublinas</v>
          </cell>
          <cell r="Y111" t="str">
            <v>Даблин</v>
          </cell>
          <cell r="Z111" t="str">
            <v>Dublin</v>
          </cell>
          <cell r="AA111" t="str">
            <v>Dublin</v>
          </cell>
          <cell r="AB111" t="str">
            <v>دوبلین</v>
          </cell>
          <cell r="AC111" t="str">
            <v>Dublin</v>
          </cell>
          <cell r="AD111" t="str">
            <v>Dublin</v>
          </cell>
          <cell r="AE111" t="str">
            <v>Dublin</v>
          </cell>
          <cell r="AF111" t="str">
            <v>Даблин</v>
          </cell>
          <cell r="AG111" t="str">
            <v>Dublin</v>
          </cell>
          <cell r="AH111" t="str">
            <v>Dublin</v>
          </cell>
          <cell r="AI111" t="str">
            <v>Dublín</v>
          </cell>
          <cell r="AJ111" t="str">
            <v>Dublin</v>
          </cell>
          <cell r="AK111" t="str">
            <v>ดับลิน</v>
          </cell>
          <cell r="AL111" t="str">
            <v>Dublin</v>
          </cell>
          <cell r="AM111" t="str">
            <v>Dublin</v>
          </cell>
          <cell r="AN111" t="str">
            <v>Дублін</v>
          </cell>
          <cell r="AO111" t="str">
            <v>ڈبلن</v>
          </cell>
        </row>
        <row r="112">
          <cell r="A112" t="str">
            <v>Bilbao</v>
          </cell>
          <cell r="B112" t="str">
            <v>Bilbao</v>
          </cell>
          <cell r="C112" t="str">
            <v>بلباو</v>
          </cell>
          <cell r="D112" t="str">
            <v>Bilbao</v>
          </cell>
          <cell r="E112" t="str">
            <v>Bilbao</v>
          </cell>
          <cell r="F112" t="str">
            <v>Билбао</v>
          </cell>
          <cell r="G112" t="str">
            <v>Bilbao</v>
          </cell>
          <cell r="H112" t="str">
            <v>毕尔巴鄂</v>
          </cell>
          <cell r="I112" t="str">
            <v>畢爾巴鄂</v>
          </cell>
          <cell r="J112" t="str">
            <v>Bilbao</v>
          </cell>
          <cell r="K112" t="str">
            <v>Bilbao</v>
          </cell>
          <cell r="L112" t="str">
            <v>Bilbao</v>
          </cell>
          <cell r="M112" t="str">
            <v>Bilbao</v>
          </cell>
          <cell r="N112" t="str">
            <v>Bilbao</v>
          </cell>
          <cell r="O112" t="str">
            <v>ბილბაო</v>
          </cell>
          <cell r="P112" t="str">
            <v>Bilbao</v>
          </cell>
          <cell r="Q112" t="str">
            <v>Μπιλμπάο</v>
          </cell>
          <cell r="R112" t="str">
            <v>בילבאו</v>
          </cell>
          <cell r="S112" t="str">
            <v>Bilbao</v>
          </cell>
          <cell r="T112" t="str">
            <v>Bilbao</v>
          </cell>
          <cell r="U112" t="str">
            <v>Bilbao</v>
          </cell>
          <cell r="V112" t="str">
            <v>Bilbao</v>
          </cell>
          <cell r="W112" t="str">
            <v>빌바오</v>
          </cell>
          <cell r="X112" t="str">
            <v>Bilbao</v>
          </cell>
          <cell r="Y112" t="str">
            <v>Билбао</v>
          </cell>
          <cell r="Z112" t="str">
            <v>Bilbao</v>
          </cell>
          <cell r="AA112" t="str">
            <v>Bilbao</v>
          </cell>
          <cell r="AB112" t="str">
            <v>بیلبائو</v>
          </cell>
          <cell r="AC112" t="str">
            <v>Bilbao</v>
          </cell>
          <cell r="AD112" t="str">
            <v>Bilbao</v>
          </cell>
          <cell r="AE112" t="str">
            <v>Bilbao</v>
          </cell>
          <cell r="AF112" t="str">
            <v>Билбао</v>
          </cell>
          <cell r="AG112" t="str">
            <v>Bilbao</v>
          </cell>
          <cell r="AH112" t="str">
            <v>Bilbao</v>
          </cell>
          <cell r="AI112" t="str">
            <v>Bilbao</v>
          </cell>
          <cell r="AJ112" t="str">
            <v>Bilbao</v>
          </cell>
          <cell r="AK112" t="str">
            <v>บิลเบา</v>
          </cell>
          <cell r="AL112" t="str">
            <v>Bilbao</v>
          </cell>
          <cell r="AM112" t="str">
            <v>Bilbao</v>
          </cell>
          <cell r="AN112" t="str">
            <v>Більбао</v>
          </cell>
          <cell r="AO112" t="str">
            <v>بلباؤ</v>
          </cell>
        </row>
        <row r="113">
          <cell r="A113" t="str">
            <v>Budapest</v>
          </cell>
          <cell r="B113" t="str">
            <v>Budapest</v>
          </cell>
          <cell r="C113" t="str">
            <v>بودابست</v>
          </cell>
          <cell r="D113" t="str">
            <v>Budapest</v>
          </cell>
          <cell r="E113" t="str">
            <v>Budapeşt</v>
          </cell>
          <cell r="F113" t="str">
            <v>Будапеща</v>
          </cell>
          <cell r="G113" t="str">
            <v>Budapest</v>
          </cell>
          <cell r="H113" t="str">
            <v>布达佩斯</v>
          </cell>
          <cell r="I113" t="str">
            <v>布達佩斯</v>
          </cell>
          <cell r="J113" t="str">
            <v>Budimpešta</v>
          </cell>
          <cell r="K113" t="str">
            <v>Budapest</v>
          </cell>
          <cell r="L113" t="str">
            <v>Budapest</v>
          </cell>
          <cell r="M113" t="str">
            <v>Boedapest</v>
          </cell>
          <cell r="N113" t="str">
            <v>Budapest</v>
          </cell>
          <cell r="O113" t="str">
            <v>ბუდაპეშტი</v>
          </cell>
          <cell r="P113" t="str">
            <v>Budapest</v>
          </cell>
          <cell r="Q113" t="str">
            <v>Βουδαπέστη</v>
          </cell>
          <cell r="R113" t="str">
            <v>בודפשט</v>
          </cell>
          <cell r="S113" t="str">
            <v>Budapest</v>
          </cell>
          <cell r="T113" t="str">
            <v>Budapest</v>
          </cell>
          <cell r="U113" t="str">
            <v>Búdapest</v>
          </cell>
          <cell r="V113" t="str">
            <v>Budapest</v>
          </cell>
          <cell r="W113" t="str">
            <v>부다페스트</v>
          </cell>
          <cell r="X113" t="str">
            <v>Budapeštas</v>
          </cell>
          <cell r="Y113" t="str">
            <v>Будимпешта</v>
          </cell>
          <cell r="Z113" t="str">
            <v>Budapest</v>
          </cell>
          <cell r="AA113" t="str">
            <v>Budapest</v>
          </cell>
          <cell r="AB113" t="str">
            <v>بوداپست</v>
          </cell>
          <cell r="AC113" t="str">
            <v>Budapeszt</v>
          </cell>
          <cell r="AD113" t="str">
            <v>Budapeste</v>
          </cell>
          <cell r="AE113" t="str">
            <v>Budapesta</v>
          </cell>
          <cell r="AF113" t="str">
            <v>Будимпешта</v>
          </cell>
          <cell r="AG113" t="str">
            <v>Budapest</v>
          </cell>
          <cell r="AH113" t="str">
            <v>Budimpešta</v>
          </cell>
          <cell r="AI113" t="str">
            <v>Budapest</v>
          </cell>
          <cell r="AJ113" t="str">
            <v>Budapest</v>
          </cell>
          <cell r="AK113" t="str">
            <v>บูดาเปสต์</v>
          </cell>
          <cell r="AL113" t="str">
            <v>Budapeşte</v>
          </cell>
          <cell r="AM113" t="str">
            <v>Budapest</v>
          </cell>
          <cell r="AN113" t="str">
            <v>Будапешт</v>
          </cell>
          <cell r="AO113" t="str">
            <v>بوڈاپیسٹ</v>
          </cell>
        </row>
        <row r="114">
          <cell r="A114" t="str">
            <v>Munich</v>
          </cell>
          <cell r="B114" t="str">
            <v>Mynih</v>
          </cell>
          <cell r="C114" t="str">
            <v>ميونيخ</v>
          </cell>
          <cell r="D114" t="str">
            <v>Մյունխենի</v>
          </cell>
          <cell r="E114" t="str">
            <v>Munich</v>
          </cell>
          <cell r="F114" t="str">
            <v>Мюнхен</v>
          </cell>
          <cell r="G114" t="str">
            <v>Munic</v>
          </cell>
          <cell r="H114" t="str">
            <v>慕尼黑</v>
          </cell>
          <cell r="I114" t="str">
            <v>慕尼黑</v>
          </cell>
          <cell r="J114" t="str">
            <v>Minhen</v>
          </cell>
          <cell r="K114" t="str">
            <v>Mnichov</v>
          </cell>
          <cell r="L114" t="str">
            <v>München</v>
          </cell>
          <cell r="M114" t="str">
            <v>München</v>
          </cell>
          <cell r="N114" t="str">
            <v>Munich</v>
          </cell>
          <cell r="O114" t="str">
            <v>მიუნხენი</v>
          </cell>
          <cell r="P114" t="str">
            <v>München</v>
          </cell>
          <cell r="Q114" t="str">
            <v>Μόναχο</v>
          </cell>
          <cell r="R114" t="str">
            <v>מינכן</v>
          </cell>
          <cell r="S114" t="str">
            <v>München</v>
          </cell>
          <cell r="T114" t="str">
            <v>Munich</v>
          </cell>
          <cell r="U114" t="str">
            <v>Munich</v>
          </cell>
          <cell r="V114" t="str">
            <v>Monaco</v>
          </cell>
          <cell r="W114" t="str">
            <v>뮌헨</v>
          </cell>
          <cell r="X114" t="str">
            <v>Miunchenas</v>
          </cell>
          <cell r="Y114" t="str">
            <v>Минхен</v>
          </cell>
          <cell r="Z114" t="str">
            <v>Munich</v>
          </cell>
          <cell r="AA114" t="str">
            <v>München</v>
          </cell>
          <cell r="AB114" t="str">
            <v>مونیخ</v>
          </cell>
          <cell r="AC114" t="str">
            <v>Monachium</v>
          </cell>
          <cell r="AD114" t="str">
            <v>Munique</v>
          </cell>
          <cell r="AE114" t="str">
            <v>Munchen</v>
          </cell>
          <cell r="AF114" t="str">
            <v>Минхен</v>
          </cell>
          <cell r="AG114" t="str">
            <v>Mníchov</v>
          </cell>
          <cell r="AH114" t="str">
            <v>München</v>
          </cell>
          <cell r="AI114" t="str">
            <v>Munich</v>
          </cell>
          <cell r="AJ114" t="str">
            <v>Munich</v>
          </cell>
          <cell r="AK114" t="str">
            <v>มิวนิค</v>
          </cell>
          <cell r="AL114" t="str">
            <v>Münih</v>
          </cell>
          <cell r="AM114" t="str">
            <v>Munich</v>
          </cell>
          <cell r="AN114" t="str">
            <v>Мюнхен</v>
          </cell>
          <cell r="AO114" t="str">
            <v>میونخ</v>
          </cell>
        </row>
        <row r="115">
          <cell r="A115" t="str">
            <v>en</v>
          </cell>
          <cell r="B115" t="str">
            <v>sq</v>
          </cell>
          <cell r="C115" t="str">
            <v>ar</v>
          </cell>
          <cell r="D115" t="str">
            <v>hy</v>
          </cell>
          <cell r="E115" t="str">
            <v>az</v>
          </cell>
          <cell r="F115" t="str">
            <v>bg</v>
          </cell>
          <cell r="G115" t="str">
            <v>ca</v>
          </cell>
          <cell r="H115" t="str">
            <v>zh-CN</v>
          </cell>
          <cell r="I115" t="str">
            <v>zh-TW</v>
          </cell>
          <cell r="J115" t="str">
            <v>hr</v>
          </cell>
          <cell r="K115" t="str">
            <v>cs</v>
          </cell>
          <cell r="L115" t="str">
            <v>da</v>
          </cell>
          <cell r="M115" t="str">
            <v>nl</v>
          </cell>
          <cell r="N115" t="str">
            <v>fr</v>
          </cell>
          <cell r="O115" t="str">
            <v>ka</v>
          </cell>
          <cell r="P115" t="str">
            <v>de</v>
          </cell>
          <cell r="Q115" t="str">
            <v>el</v>
          </cell>
          <cell r="R115" t="str">
            <v>iw</v>
          </cell>
          <cell r="S115" t="str">
            <v>hu</v>
          </cell>
          <cell r="T115" t="str">
            <v>id</v>
          </cell>
          <cell r="U115" t="str">
            <v>is</v>
          </cell>
          <cell r="V115" t="str">
            <v>it</v>
          </cell>
          <cell r="W115" t="str">
            <v>ko</v>
          </cell>
          <cell r="X115" t="str">
            <v>lt</v>
          </cell>
          <cell r="Y115" t="str">
            <v>mk</v>
          </cell>
          <cell r="Z115" t="str">
            <v>mt</v>
          </cell>
          <cell r="AA115" t="str">
            <v>no</v>
          </cell>
          <cell r="AB115" t="str">
            <v>fa</v>
          </cell>
          <cell r="AC115" t="str">
            <v>pl</v>
          </cell>
          <cell r="AD115" t="str">
            <v>pt</v>
          </cell>
          <cell r="AE115" t="str">
            <v>ro</v>
          </cell>
          <cell r="AF115" t="str">
            <v>sr</v>
          </cell>
          <cell r="AG115" t="str">
            <v>sk</v>
          </cell>
          <cell r="AH115" t="str">
            <v>sl</v>
          </cell>
          <cell r="AI115" t="str">
            <v>es</v>
          </cell>
          <cell r="AJ115" t="str">
            <v>sv</v>
          </cell>
          <cell r="AK115" t="str">
            <v>th</v>
          </cell>
          <cell r="AL115" t="str">
            <v>tr</v>
          </cell>
          <cell r="AM115" t="str">
            <v>vi</v>
          </cell>
          <cell r="AN115" t="str">
            <v>uk</v>
          </cell>
          <cell r="AO115" t="str">
            <v>ur</v>
          </cell>
        </row>
      </sheetData>
      <sheetData sheetId="1">
        <row r="13">
          <cell r="G13">
            <v>27</v>
          </cell>
        </row>
        <row r="14">
          <cell r="G14">
            <v>0.54166666666666663</v>
          </cell>
        </row>
        <row r="15">
          <cell r="B15" t="str">
            <v>Tyskland</v>
          </cell>
          <cell r="C15">
            <v>4</v>
          </cell>
        </row>
        <row r="16">
          <cell r="B16" t="str">
            <v>Portugal</v>
          </cell>
          <cell r="C16">
            <v>13</v>
          </cell>
        </row>
        <row r="17">
          <cell r="B17" t="str">
            <v>Belgia</v>
          </cell>
          <cell r="C17">
            <v>1</v>
          </cell>
        </row>
        <row r="18">
          <cell r="B18" t="str">
            <v>Spania</v>
          </cell>
          <cell r="C18">
            <v>5</v>
          </cell>
        </row>
        <row r="19">
          <cell r="B19" t="str">
            <v>Frankrike</v>
          </cell>
          <cell r="C19">
            <v>7</v>
          </cell>
        </row>
        <row r="20">
          <cell r="B20" t="str">
            <v>England</v>
          </cell>
          <cell r="C20">
            <v>3</v>
          </cell>
        </row>
        <row r="21">
          <cell r="B21" t="str">
            <v>Sveits</v>
          </cell>
          <cell r="C21">
            <v>9</v>
          </cell>
        </row>
        <row r="22">
          <cell r="B22" t="str">
            <v>Italia</v>
          </cell>
          <cell r="C22">
            <v>2</v>
          </cell>
        </row>
        <row r="23">
          <cell r="B23" t="str">
            <v>Polen</v>
          </cell>
          <cell r="C23">
            <v>8</v>
          </cell>
        </row>
        <row r="24">
          <cell r="B24" t="str">
            <v>Kroatia</v>
          </cell>
          <cell r="C24">
            <v>10</v>
          </cell>
        </row>
        <row r="25">
          <cell r="B25" t="str">
            <v>Nederland</v>
          </cell>
          <cell r="C25">
            <v>11</v>
          </cell>
        </row>
        <row r="26">
          <cell r="B26" t="str">
            <v>Østerrike</v>
          </cell>
          <cell r="C26">
            <v>16</v>
          </cell>
        </row>
        <row r="27">
          <cell r="B27" t="str">
            <v>Wales</v>
          </cell>
          <cell r="C27">
            <v>19</v>
          </cell>
        </row>
        <row r="28">
          <cell r="B28" t="str">
            <v>Russland</v>
          </cell>
          <cell r="C28">
            <v>12</v>
          </cell>
        </row>
        <row r="29">
          <cell r="B29" t="str">
            <v>Slovakia</v>
          </cell>
          <cell r="C29">
            <v>22</v>
          </cell>
        </row>
        <row r="30">
          <cell r="B30" t="str">
            <v>Sverige</v>
          </cell>
          <cell r="C30">
            <v>17</v>
          </cell>
        </row>
        <row r="31">
          <cell r="B31" t="str">
            <v>Ukraina</v>
          </cell>
          <cell r="C31">
            <v>6</v>
          </cell>
        </row>
        <row r="32">
          <cell r="B32" t="str">
            <v>Danmark</v>
          </cell>
          <cell r="C32">
            <v>5</v>
          </cell>
        </row>
        <row r="33">
          <cell r="B33" t="str">
            <v>Tsjekkia</v>
          </cell>
          <cell r="C33">
            <v>18</v>
          </cell>
        </row>
        <row r="34">
          <cell r="B34" t="str">
            <v>Tyrkia</v>
          </cell>
          <cell r="C34">
            <v>14</v>
          </cell>
        </row>
        <row r="35">
          <cell r="B35" t="str">
            <v>Ungarn</v>
          </cell>
          <cell r="C35">
            <v>31</v>
          </cell>
        </row>
        <row r="36">
          <cell r="B36" t="str">
            <v>Skottland</v>
          </cell>
          <cell r="C36">
            <v>29</v>
          </cell>
        </row>
        <row r="37">
          <cell r="B37" t="str">
            <v>Finland</v>
          </cell>
          <cell r="C37">
            <v>20</v>
          </cell>
        </row>
        <row r="38">
          <cell r="B38" t="str">
            <v>Nord-Makedonia</v>
          </cell>
          <cell r="C38">
            <v>30</v>
          </cell>
        </row>
      </sheetData>
      <sheetData sheetId="2" refreshError="1"/>
      <sheetData sheetId="3">
        <row r="10">
          <cell r="A10">
            <v>1</v>
          </cell>
        </row>
        <row r="50">
          <cell r="BB50" t="str">
            <v>ACDF</v>
          </cell>
        </row>
        <row r="53">
          <cell r="BD53" t="str">
            <v>ABCD</v>
          </cell>
          <cell r="BE53" t="str">
            <v>Sveits</v>
          </cell>
          <cell r="BF53" t="str">
            <v>Tsjekkia</v>
          </cell>
          <cell r="BG53" t="str">
            <v>Finland</v>
          </cell>
          <cell r="BH53" t="str">
            <v>Ukraina</v>
          </cell>
        </row>
        <row r="54">
          <cell r="BD54" t="str">
            <v>ABCE</v>
          </cell>
          <cell r="BE54" t="str">
            <v>Sveits</v>
          </cell>
          <cell r="BF54" t="str">
            <v>Slovakia</v>
          </cell>
          <cell r="BG54" t="str">
            <v>Finland</v>
          </cell>
          <cell r="BH54" t="str">
            <v>Ukraina</v>
          </cell>
        </row>
        <row r="55">
          <cell r="BD55" t="str">
            <v>ABCF</v>
          </cell>
          <cell r="BE55" t="str">
            <v>Sveits</v>
          </cell>
          <cell r="BF55" t="str">
            <v>Portugal</v>
          </cell>
          <cell r="BG55" t="str">
            <v>Finland</v>
          </cell>
          <cell r="BH55" t="str">
            <v>Ukraina</v>
          </cell>
        </row>
        <row r="56">
          <cell r="BD56" t="str">
            <v>ABDE</v>
          </cell>
          <cell r="BE56" t="str">
            <v>Tsjekkia</v>
          </cell>
          <cell r="BF56" t="str">
            <v>Slovakia</v>
          </cell>
          <cell r="BG56" t="str">
            <v>Sveits</v>
          </cell>
          <cell r="BH56" t="str">
            <v>Finland</v>
          </cell>
        </row>
        <row r="57">
          <cell r="BD57" t="str">
            <v>ABDF</v>
          </cell>
          <cell r="BE57" t="str">
            <v>Tsjekkia</v>
          </cell>
          <cell r="BF57" t="str">
            <v>Portugal</v>
          </cell>
          <cell r="BG57" t="str">
            <v>Sveits</v>
          </cell>
          <cell r="BH57" t="str">
            <v>Finland</v>
          </cell>
        </row>
        <row r="58">
          <cell r="BD58" t="str">
            <v>ABEF</v>
          </cell>
          <cell r="BE58" t="str">
            <v>Slovakia</v>
          </cell>
          <cell r="BF58" t="str">
            <v>Portugal</v>
          </cell>
          <cell r="BG58" t="str">
            <v>Finland</v>
          </cell>
          <cell r="BH58" t="str">
            <v>Sveits</v>
          </cell>
        </row>
        <row r="59">
          <cell r="BD59" t="str">
            <v>ACDE</v>
          </cell>
          <cell r="BE59" t="str">
            <v>Slovakia</v>
          </cell>
          <cell r="BF59" t="str">
            <v>Tsjekkia</v>
          </cell>
          <cell r="BG59" t="str">
            <v>Ukraina</v>
          </cell>
          <cell r="BH59" t="str">
            <v>Sveits</v>
          </cell>
        </row>
        <row r="60">
          <cell r="BD60" t="str">
            <v>ACDF</v>
          </cell>
          <cell r="BE60" t="str">
            <v>Portugal</v>
          </cell>
          <cell r="BF60" t="str">
            <v>Tsjekkia</v>
          </cell>
          <cell r="BG60" t="str">
            <v>Ukraina</v>
          </cell>
          <cell r="BH60" t="str">
            <v>Sveits</v>
          </cell>
        </row>
        <row r="61">
          <cell r="BD61" t="str">
            <v>ACEF</v>
          </cell>
          <cell r="BE61" t="str">
            <v>Slovakia</v>
          </cell>
          <cell r="BF61" t="str">
            <v>Portugal</v>
          </cell>
          <cell r="BG61" t="str">
            <v>Ukraina</v>
          </cell>
          <cell r="BH61" t="str">
            <v>Sveits</v>
          </cell>
        </row>
        <row r="62">
          <cell r="BD62" t="str">
            <v>ADEF</v>
          </cell>
          <cell r="BE62" t="str">
            <v>Slovakia</v>
          </cell>
          <cell r="BF62" t="str">
            <v>Portugal</v>
          </cell>
          <cell r="BG62" t="str">
            <v>Tsjekkia</v>
          </cell>
          <cell r="BH62" t="str">
            <v>Sveits</v>
          </cell>
        </row>
        <row r="63">
          <cell r="BD63" t="str">
            <v>BCDE</v>
          </cell>
          <cell r="BE63" t="str">
            <v>Slovakia</v>
          </cell>
          <cell r="BF63" t="str">
            <v>Tsjekkia</v>
          </cell>
          <cell r="BG63" t="str">
            <v>Finland</v>
          </cell>
          <cell r="BH63" t="str">
            <v>Ukraina</v>
          </cell>
        </row>
        <row r="64">
          <cell r="BD64" t="str">
            <v>BCDF</v>
          </cell>
          <cell r="BE64" t="str">
            <v>Portugal</v>
          </cell>
          <cell r="BF64" t="str">
            <v>Tsjekkia</v>
          </cell>
          <cell r="BG64" t="str">
            <v>Ukraina</v>
          </cell>
          <cell r="BH64" t="str">
            <v>Finland</v>
          </cell>
        </row>
        <row r="65">
          <cell r="BD65" t="str">
            <v>BCEF</v>
          </cell>
          <cell r="BE65" t="str">
            <v>Portugal</v>
          </cell>
          <cell r="BF65" t="str">
            <v>Slovakia</v>
          </cell>
          <cell r="BG65" t="str">
            <v>Ukraina</v>
          </cell>
          <cell r="BH65" t="str">
            <v>Finland</v>
          </cell>
        </row>
        <row r="66">
          <cell r="BD66" t="str">
            <v>BDEF</v>
          </cell>
          <cell r="BE66" t="str">
            <v>Portugal</v>
          </cell>
          <cell r="BF66" t="str">
            <v>Slovakia</v>
          </cell>
          <cell r="BG66" t="str">
            <v>Tsjekkia</v>
          </cell>
          <cell r="BH66" t="str">
            <v>Finland</v>
          </cell>
        </row>
        <row r="67">
          <cell r="BD67" t="str">
            <v>CDEF</v>
          </cell>
          <cell r="BE67" t="str">
            <v>Portugal</v>
          </cell>
          <cell r="BF67" t="str">
            <v>Slovakia</v>
          </cell>
          <cell r="BG67" t="str">
            <v>Tsjekkia</v>
          </cell>
          <cell r="BH67" t="str">
            <v>Ukraina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Settings"/>
      <sheetName val="INPUT -&gt;"/>
      <sheetName val="Turneringsskjema"/>
      <sheetName val="OUTPUT -&gt;"/>
      <sheetName val="Resultater"/>
      <sheetName val="3rd Places"/>
    </sheetNames>
    <sheetDataSet>
      <sheetData sheetId="0">
        <row r="1">
          <cell r="A1" t="str">
            <v>English</v>
          </cell>
          <cell r="B1" t="str">
            <v>Albanian</v>
          </cell>
          <cell r="C1" t="str">
            <v>Arabic</v>
          </cell>
          <cell r="D1" t="str">
            <v>Armenian</v>
          </cell>
          <cell r="E1" t="str">
            <v>Azerbaijan</v>
          </cell>
          <cell r="F1" t="str">
            <v>Bulgarian</v>
          </cell>
          <cell r="G1" t="str">
            <v>Català</v>
          </cell>
          <cell r="H1" t="str">
            <v>Chinese (Simplified)</v>
          </cell>
          <cell r="I1" t="str">
            <v>Chinese (Traditional)</v>
          </cell>
          <cell r="J1" t="str">
            <v>Croatian</v>
          </cell>
          <cell r="K1" t="str">
            <v>Czech</v>
          </cell>
          <cell r="L1" t="str">
            <v>Danish</v>
          </cell>
          <cell r="M1" t="str">
            <v>Dutch</v>
          </cell>
          <cell r="N1" t="str">
            <v>French</v>
          </cell>
          <cell r="O1" t="str">
            <v>Georgian</v>
          </cell>
          <cell r="P1" t="str">
            <v>German</v>
          </cell>
          <cell r="Q1" t="str">
            <v>Greek</v>
          </cell>
          <cell r="R1" t="str">
            <v>Hebrew</v>
          </cell>
          <cell r="S1" t="str">
            <v>Hungarian</v>
          </cell>
          <cell r="T1" t="str">
            <v>Indonesia</v>
          </cell>
          <cell r="U1" t="str">
            <v>Icelandic</v>
          </cell>
          <cell r="V1" t="str">
            <v>Italian</v>
          </cell>
          <cell r="W1" t="str">
            <v>Korean</v>
          </cell>
          <cell r="X1" t="str">
            <v>Lithuanian</v>
          </cell>
          <cell r="Y1" t="str">
            <v>Macedonian</v>
          </cell>
          <cell r="Z1" t="str">
            <v>Maltese</v>
          </cell>
          <cell r="AA1" t="str">
            <v>Norwegian</v>
          </cell>
          <cell r="AB1" t="str">
            <v>Persian</v>
          </cell>
          <cell r="AC1" t="str">
            <v>Polish</v>
          </cell>
          <cell r="AD1" t="str">
            <v>Portuguese</v>
          </cell>
          <cell r="AE1" t="str">
            <v>Romanian</v>
          </cell>
          <cell r="AF1" t="str">
            <v>Serbian</v>
          </cell>
          <cell r="AG1" t="str">
            <v>Slovak</v>
          </cell>
          <cell r="AH1" t="str">
            <v>Slovenian</v>
          </cell>
          <cell r="AI1" t="str">
            <v>Spanish</v>
          </cell>
          <cell r="AJ1" t="str">
            <v>Swedish</v>
          </cell>
          <cell r="AK1" t="str">
            <v>Thai</v>
          </cell>
          <cell r="AL1" t="str">
            <v>Turkish</v>
          </cell>
          <cell r="AM1" t="str">
            <v>Vietnamese</v>
          </cell>
          <cell r="AN1" t="str">
            <v>Ukrainian</v>
          </cell>
          <cell r="AO1" t="str">
            <v>Urdu</v>
          </cell>
        </row>
        <row r="2">
          <cell r="A2" t="str">
            <v>UEFA EURO 2021 Tournament Schedule</v>
          </cell>
          <cell r="B2" t="str">
            <v>UEFA Euro 2021 Tournament Schedule</v>
          </cell>
          <cell r="C2" t="str">
            <v>كأس الأمم الأوروبية 2021 جدول البطولة</v>
          </cell>
          <cell r="D2" t="str">
            <v>UEFA EURO 2021-մրցաշար ժամանակացույց</v>
          </cell>
          <cell r="E2" t="str">
            <v>UEFA EURO 2021 Tournament cədvəli</v>
          </cell>
          <cell r="F2" t="str">
            <v>Европейско първенство по футбол 2021 График на турнира</v>
          </cell>
          <cell r="G2" t="str">
            <v>UEFA EURO 2021 calendari de tornejos</v>
          </cell>
          <cell r="H2" t="str">
            <v>2021年欧洲足球锦标赛锦标赛时间表</v>
          </cell>
          <cell r="I2" t="str">
            <v>2021年歐洲足球錦標賽錦標賽時間表</v>
          </cell>
          <cell r="J2" t="str">
            <v>UEFA EURO 2021 Raspored turnira</v>
          </cell>
          <cell r="K2" t="str">
            <v>UEFA EURO 2021 Plán turnajů</v>
          </cell>
          <cell r="L2" t="str">
            <v>UEFA EURO 2021 Tournament Schedule</v>
          </cell>
          <cell r="M2" t="str">
            <v>UEFA EURO 2021 Toernooi schema</v>
          </cell>
          <cell r="N2" t="str">
            <v>UEFA EURO 2021</v>
          </cell>
          <cell r="O2" t="str">
            <v>UEFA EURO 2021 ტურნირი განრიგი</v>
          </cell>
          <cell r="P2" t="str">
            <v>UEFA EURO 2021 Turnierplan</v>
          </cell>
          <cell r="Q2" t="str">
            <v>UEFA EURO 2021 Πρόγραμμα Τουρνουά</v>
          </cell>
          <cell r="R2" t="str">
            <v>EURO אופ"א לו"ז טורניר 2021</v>
          </cell>
          <cell r="S2" t="str">
            <v>UEFA EURO 2021 versenyek időbeosztása</v>
          </cell>
          <cell r="T2" t="str">
            <v>UEFA EURO 2021 Jadwal Turnamen</v>
          </cell>
          <cell r="U2" t="str">
            <v>UEFA EURO 2021 Tournament Dagskrá</v>
          </cell>
          <cell r="V2" t="str">
            <v>UEFA EURO 2021 Tournament Schedule</v>
          </cell>
          <cell r="W2" t="str">
            <v>UEFA 유로​​ 2021 토너먼트 일정</v>
          </cell>
          <cell r="X2" t="str">
            <v>EURO 2021 turnyro tvarkaraštis</v>
          </cell>
          <cell r="Y2" t="str">
            <v>УЕФА Евро 2021 Распоред турнир</v>
          </cell>
          <cell r="Z2" t="str">
            <v>UEFA EURO 2021 Tournament Iskeda</v>
          </cell>
          <cell r="AA2" t="str">
            <v>UEFA EURO 2021 Turneringsskjema</v>
          </cell>
          <cell r="AB2" t="str">
            <v>UEFA EURO 2021 برنامه مسابقات</v>
          </cell>
          <cell r="AC2" t="str">
            <v>UEFA EURO 2021 Harmonogram turnieju</v>
          </cell>
          <cell r="AD2" t="str">
            <v>UEFA EURO 2021 Calendário de Torneios</v>
          </cell>
          <cell r="AE2" t="str">
            <v>UEFA EURO 2021 Programul turneelor</v>
          </cell>
          <cell r="AF2" t="str">
            <v>ЕВРО 2021 Турнир Распоред</v>
          </cell>
          <cell r="AG2" t="str">
            <v>UEFA EURO 2021 Plán turnajov</v>
          </cell>
          <cell r="AH2" t="str">
            <v>UEFA EURO 2021 turnir Razpored</v>
          </cell>
          <cell r="AI2" t="str">
            <v>UEFA EURO 2021 calendario de torneos</v>
          </cell>
          <cell r="AJ2" t="str">
            <v>UEFA EURO 2021 turneringsschemat</v>
          </cell>
          <cell r="AK2" t="str">
            <v>ฟุตบอลชิงแชมป์แห่งชาติยุโรป 2021 ตารางการแข่งขัน</v>
          </cell>
          <cell r="AL2" t="str">
            <v>2021 Avrupa Futbol Şampiyonası Turnuva Takvimi</v>
          </cell>
          <cell r="AM2" t="str">
            <v>UEFA EURO 2021 Lịch trình giải đấu</v>
          </cell>
          <cell r="AN2" t="str">
            <v>ЄВРО-2021 Розклад турнірів</v>
          </cell>
          <cell r="AO2" t="str">
            <v>UEFA EURO 2021 ٹورنامنٹ کے شیڈول</v>
          </cell>
        </row>
        <row r="3">
          <cell r="A3" t="str">
            <v>Group Stage</v>
          </cell>
          <cell r="B3" t="str">
            <v>Grupet</v>
          </cell>
          <cell r="C3" t="str">
            <v>الدور الأول</v>
          </cell>
          <cell r="D3" t="str">
            <v>Խմբային փուլ</v>
          </cell>
          <cell r="E3" t="str">
            <v>Qrup Mərhələsi</v>
          </cell>
          <cell r="F3" t="str">
            <v>Групова фаза</v>
          </cell>
          <cell r="G3" t="str">
            <v>Fase de grups</v>
          </cell>
          <cell r="H3" t="str">
            <v>小组赛阶段</v>
          </cell>
          <cell r="I3" t="str">
            <v>分組賽</v>
          </cell>
          <cell r="J3" t="str">
            <v>Prvi krug</v>
          </cell>
          <cell r="K3" t="str">
            <v>Základní skupiny</v>
          </cell>
          <cell r="L3" t="str">
            <v>Gruppespil</v>
          </cell>
          <cell r="M3" t="str">
            <v>Groepsfase</v>
          </cell>
          <cell r="N3" t="str">
            <v>Phase de groupes</v>
          </cell>
          <cell r="O3" t="str">
            <v>ჯგუფური ეტაპი</v>
          </cell>
          <cell r="P3" t="str">
            <v>Gruppenphase</v>
          </cell>
          <cell r="Q3" t="str">
            <v>Φάση Ομίλων</v>
          </cell>
          <cell r="R3" t="str">
            <v>שלב הבתים</v>
          </cell>
          <cell r="S3" t="str">
            <v>Csoportkörök</v>
          </cell>
          <cell r="T3" t="str">
            <v>Babak Kualifikasi</v>
          </cell>
          <cell r="U3" t="str">
            <v>Riðlakeppnin</v>
          </cell>
          <cell r="V3" t="str">
            <v>Fase a gironi</v>
          </cell>
          <cell r="W3" t="str">
            <v>조별 리그</v>
          </cell>
          <cell r="X3" t="str">
            <v>Grupės Etapas</v>
          </cell>
          <cell r="Y3" t="str">
            <v>Фаза по групи</v>
          </cell>
          <cell r="Z3" t="str">
            <v>Fażi tal-Gruppi</v>
          </cell>
          <cell r="AA3" t="str">
            <v>Gruppespill</v>
          </cell>
          <cell r="AB3" t="str">
            <v>مرحله گروهی</v>
          </cell>
          <cell r="AC3" t="str">
            <v>Faza Grupowa</v>
          </cell>
          <cell r="AD3" t="str">
            <v>Fase de grupos</v>
          </cell>
          <cell r="AE3" t="str">
            <v>Faza Grupelor</v>
          </cell>
          <cell r="AF3" t="str">
            <v>Grupno takmičenje</v>
          </cell>
          <cell r="AG3" t="str">
            <v>Skupinová fáza</v>
          </cell>
          <cell r="AH3" t="str">
            <v>Skupinski del</v>
          </cell>
          <cell r="AI3" t="str">
            <v>Fase de grupos</v>
          </cell>
          <cell r="AJ3" t="str">
            <v>Gruppspel</v>
          </cell>
          <cell r="AK3" t="str">
            <v>รอบแรก</v>
          </cell>
          <cell r="AL3" t="str">
            <v>Grup Aşaması</v>
          </cell>
          <cell r="AM3" t="str">
            <v>Vòng Bảng</v>
          </cell>
          <cell r="AN3" t="str">
            <v>Груповий етап</v>
          </cell>
          <cell r="AO3" t="str">
            <v>گروپ بندی</v>
          </cell>
        </row>
        <row r="4">
          <cell r="A4" t="str">
            <v>Round of 16</v>
          </cell>
          <cell r="B4" t="str">
            <v>Rundi I 16</v>
          </cell>
          <cell r="C4" t="str">
            <v>دور الستة عشر</v>
          </cell>
          <cell r="D4" t="str">
            <v>1/8 Եզրափակիչ</v>
          </cell>
          <cell r="E4" t="str">
            <v>16-da bir raund</v>
          </cell>
          <cell r="F4" t="str">
            <v>1/8 - финали</v>
          </cell>
          <cell r="G4" t="str">
            <v>Vuitens de final</v>
          </cell>
          <cell r="H4" t="str">
            <v>16强赛</v>
          </cell>
          <cell r="I4" t="str">
            <v>十六強</v>
          </cell>
          <cell r="J4" t="str">
            <v>Drugi krug</v>
          </cell>
          <cell r="K4" t="str">
            <v>Osmifinále</v>
          </cell>
          <cell r="L4" t="str">
            <v>Runde af 16</v>
          </cell>
          <cell r="M4" t="str">
            <v>Achtste finales</v>
          </cell>
          <cell r="N4" t="str">
            <v>1/8e de finales</v>
          </cell>
          <cell r="O4" t="str">
            <v>მერვედფინალი</v>
          </cell>
          <cell r="P4" t="str">
            <v>Achtelfinale</v>
          </cell>
          <cell r="Q4" t="str">
            <v>Φάση των 16</v>
          </cell>
          <cell r="R4" t="str">
            <v>שמינית גמר</v>
          </cell>
          <cell r="S4" t="str">
            <v>Nyolcaddöntők</v>
          </cell>
          <cell r="T4" t="str">
            <v>Per Delapan Final</v>
          </cell>
          <cell r="U4" t="str">
            <v>16 liða úrslit</v>
          </cell>
          <cell r="V4" t="str">
            <v>Ottavi di finale</v>
          </cell>
          <cell r="W4" t="str">
            <v>16강전</v>
          </cell>
          <cell r="X4" t="str">
            <v>16-tuko Raundas</v>
          </cell>
          <cell r="Y4" t="str">
            <v>1/8 финале</v>
          </cell>
          <cell r="Z4" t="str">
            <v>L-Aħħar Sittax</v>
          </cell>
          <cell r="AA4" t="str">
            <v>8-dels finale</v>
          </cell>
          <cell r="AB4" t="str">
            <v xml:space="preserve"> یک هشتم نهائی</v>
          </cell>
          <cell r="AC4" t="str">
            <v>1/8 Finału</v>
          </cell>
          <cell r="AD4" t="str">
            <v>Oitavos de Final</v>
          </cell>
          <cell r="AE4" t="str">
            <v>Optimi</v>
          </cell>
          <cell r="AF4" t="str">
            <v>Šesnaestina finala</v>
          </cell>
          <cell r="AG4" t="str">
            <v>Osemfinále</v>
          </cell>
          <cell r="AH4" t="str">
            <v>Osminafinala</v>
          </cell>
          <cell r="AI4" t="str">
            <v>Octavos de final</v>
          </cell>
          <cell r="AJ4" t="str">
            <v>Åttondelsfinal</v>
          </cell>
          <cell r="AK4" t="str">
            <v>รอบสอง</v>
          </cell>
          <cell r="AL4" t="str">
            <v>Son 16</v>
          </cell>
          <cell r="AM4" t="str">
            <v>Vòng 1/16</v>
          </cell>
          <cell r="AN4" t="str">
            <v>1/8 фіналу</v>
          </cell>
          <cell r="AO4" t="str">
            <v>سولھواں دور</v>
          </cell>
        </row>
        <row r="5">
          <cell r="A5" t="str">
            <v>Quarterfinals</v>
          </cell>
          <cell r="B5" t="str">
            <v>Qerekfinalja</v>
          </cell>
          <cell r="C5" t="str">
            <v>دور الربع نهائي</v>
          </cell>
          <cell r="D5" t="str">
            <v>1/4 Եզրափակիչ</v>
          </cell>
          <cell r="E5" t="str">
            <v>Dörddə bir Final</v>
          </cell>
          <cell r="F5" t="str">
            <v>1/4 - финали</v>
          </cell>
          <cell r="G5" t="str">
            <v>Quarts de final</v>
          </cell>
          <cell r="H5" t="str">
            <v>8强赛</v>
          </cell>
          <cell r="I5" t="str">
            <v>八強</v>
          </cell>
          <cell r="J5" t="str">
            <v>Četvrtfinale</v>
          </cell>
          <cell r="K5" t="str">
            <v>Čtvrtfinále</v>
          </cell>
          <cell r="L5" t="str">
            <v>Kvartfinale</v>
          </cell>
          <cell r="M5" t="str">
            <v>Kwartfinales</v>
          </cell>
          <cell r="N5" t="str">
            <v>1/4 de finales</v>
          </cell>
          <cell r="O5" t="str">
            <v>მეოთხედფინალი</v>
          </cell>
          <cell r="P5" t="str">
            <v>Viertelfinale</v>
          </cell>
          <cell r="Q5" t="str">
            <v>Προημιτελικοί</v>
          </cell>
          <cell r="R5" t="str">
            <v>רבע גמר</v>
          </cell>
          <cell r="S5" t="str">
            <v>Negyeddöntők</v>
          </cell>
          <cell r="T5" t="str">
            <v>Perempat Final</v>
          </cell>
          <cell r="U5" t="str">
            <v>8 liða úrslit</v>
          </cell>
          <cell r="V5" t="str">
            <v>Quarti di finale</v>
          </cell>
          <cell r="W5" t="str">
            <v>8강전</v>
          </cell>
          <cell r="X5" t="str">
            <v>Ketvirtfinaliai</v>
          </cell>
          <cell r="Y5" t="str">
            <v>1/4 финале</v>
          </cell>
          <cell r="Z5" t="str">
            <v>Kwarti-Finali</v>
          </cell>
          <cell r="AA5" t="str">
            <v>Kvartfinale</v>
          </cell>
          <cell r="AB5" t="str">
            <v>یک چهارم نهائی</v>
          </cell>
          <cell r="AC5" t="str">
            <v>Ćwierćfinały</v>
          </cell>
          <cell r="AD5" t="str">
            <v>Quartos de Final</v>
          </cell>
          <cell r="AE5" t="str">
            <v>Sferturi de finala</v>
          </cell>
          <cell r="AF5" t="str">
            <v>Četvrtfinale</v>
          </cell>
          <cell r="AG5" t="str">
            <v>Štvrťfinále</v>
          </cell>
          <cell r="AH5" t="str">
            <v>Četrtfinale</v>
          </cell>
          <cell r="AI5" t="str">
            <v>Cuartos de Final</v>
          </cell>
          <cell r="AJ5" t="str">
            <v>Kvartsfinal</v>
          </cell>
          <cell r="AK5" t="str">
            <v>รอบก่อนรองชนะเลิศ</v>
          </cell>
          <cell r="AL5" t="str">
            <v>Çeyrek Final</v>
          </cell>
          <cell r="AM5" t="str">
            <v>Tứ kết</v>
          </cell>
          <cell r="AN5" t="str">
            <v>Чвертьфінал</v>
          </cell>
          <cell r="AO5" t="str">
            <v>کواٹر فائنل</v>
          </cell>
        </row>
        <row r="6">
          <cell r="A6" t="str">
            <v>Semi-Finals</v>
          </cell>
          <cell r="B6" t="str">
            <v>Gjysmëfinalja</v>
          </cell>
          <cell r="C6" t="str">
            <v>دور النصف نهائي</v>
          </cell>
          <cell r="D6" t="str">
            <v>Կիսաեզրափակիչ</v>
          </cell>
          <cell r="E6" t="str">
            <v>Yarım Final</v>
          </cell>
          <cell r="F6" t="str">
            <v>1/2 - финали</v>
          </cell>
          <cell r="G6" t="str">
            <v>Semifinals</v>
          </cell>
          <cell r="H6" t="str">
            <v>半决赛</v>
          </cell>
          <cell r="I6" t="str">
            <v>準決賽</v>
          </cell>
          <cell r="J6" t="str">
            <v>Polufinale</v>
          </cell>
          <cell r="K6" t="str">
            <v>Semifinále</v>
          </cell>
          <cell r="L6" t="str">
            <v>Semifinale</v>
          </cell>
          <cell r="M6" t="str">
            <v>Halve finales</v>
          </cell>
          <cell r="N6" t="str">
            <v>1/2 finales</v>
          </cell>
          <cell r="O6" t="str">
            <v>ნახევარფინალი</v>
          </cell>
          <cell r="P6" t="str">
            <v>Halbfinale</v>
          </cell>
          <cell r="Q6" t="str">
            <v>Ημιτελικοί</v>
          </cell>
          <cell r="R6" t="str">
            <v>חצי גמר</v>
          </cell>
          <cell r="S6" t="str">
            <v>Elődöntők</v>
          </cell>
          <cell r="T6" t="str">
            <v>Semi Final</v>
          </cell>
          <cell r="U6" t="str">
            <v>Undanúrslit</v>
          </cell>
          <cell r="V6" t="str">
            <v>Semifinali</v>
          </cell>
          <cell r="W6" t="str">
            <v>준결승전</v>
          </cell>
          <cell r="X6" t="str">
            <v>Pusfinaliai</v>
          </cell>
          <cell r="Y6" t="str">
            <v>1/2 финале</v>
          </cell>
          <cell r="Z6" t="str">
            <v>Semi-Finali</v>
          </cell>
          <cell r="AA6" t="str">
            <v>Semifinale</v>
          </cell>
          <cell r="AB6" t="str">
            <v>نیمه نهائی</v>
          </cell>
          <cell r="AC6" t="str">
            <v>Półfinały</v>
          </cell>
          <cell r="AD6" t="str">
            <v>Semi-final</v>
          </cell>
          <cell r="AE6" t="str">
            <v>Semifinale</v>
          </cell>
          <cell r="AF6" t="str">
            <v>Polufinale</v>
          </cell>
          <cell r="AG6" t="str">
            <v>Semifinále</v>
          </cell>
          <cell r="AH6" t="str">
            <v>Polfinale</v>
          </cell>
          <cell r="AI6" t="str">
            <v>Semifinales</v>
          </cell>
          <cell r="AJ6" t="str">
            <v>Semifinal</v>
          </cell>
          <cell r="AK6" t="str">
            <v>รอบรองชนะเลิศ</v>
          </cell>
          <cell r="AL6" t="str">
            <v>Yarı Final</v>
          </cell>
          <cell r="AM6" t="str">
            <v>Bán kết</v>
          </cell>
          <cell r="AN6" t="str">
            <v>Півфінал</v>
          </cell>
          <cell r="AO6" t="str">
            <v>سیمی فائنل</v>
          </cell>
        </row>
        <row r="7">
          <cell r="A7" t="str">
            <v>Third-Place Play-Off</v>
          </cell>
          <cell r="B7" t="str">
            <v>Takimi për vendin e tretë</v>
          </cell>
          <cell r="C7" t="str">
            <v>تحديد المركزين الثالث والرابع</v>
          </cell>
          <cell r="D7" t="str">
            <v>3-րդ տեղի համար եզրափակիչ</v>
          </cell>
          <cell r="E7" t="str">
            <v>Üçüncü Yer Uğrunda</v>
          </cell>
          <cell r="F7" t="str">
            <v>Мач за трето място</v>
          </cell>
          <cell r="G7" t="str">
            <v>3r i 4t lloc</v>
          </cell>
          <cell r="H7" t="str">
            <v>季军赛</v>
          </cell>
          <cell r="I7" t="str">
            <v>季軍賽</v>
          </cell>
          <cell r="J7" t="str">
            <v>Za treće mjesto</v>
          </cell>
          <cell r="K7" t="str">
            <v>Zápas o 3.místo</v>
          </cell>
          <cell r="L7" t="str">
            <v>Tredjeplads Kamp</v>
          </cell>
          <cell r="M7" t="str">
            <v>Derde en vierde plaats</v>
          </cell>
          <cell r="N7" t="str">
            <v>Match pour la troisième place</v>
          </cell>
          <cell r="O7" t="str">
            <v>მესამე ადგილი</v>
          </cell>
          <cell r="P7" t="str">
            <v>Spiel um den dritten Platz</v>
          </cell>
          <cell r="Q7" t="str">
            <v>Μικρός Τελικός</v>
          </cell>
          <cell r="R7" t="str">
            <v>מקום 3-4</v>
          </cell>
          <cell r="S7" t="str">
            <v>Bronzmeccs</v>
          </cell>
          <cell r="T7" t="str">
            <v>Perebutan Tempat Ketiga</v>
          </cell>
          <cell r="U7" t="str">
            <v>Leikur um 3.sæti</v>
          </cell>
          <cell r="V7" t="str">
            <v>Finale 3°- 4° posto</v>
          </cell>
          <cell r="W7" t="str">
            <v>3,4위전</v>
          </cell>
          <cell r="X7" t="str">
            <v>Rungtynės dėl Trečios Vietos</v>
          </cell>
          <cell r="Y7" t="str">
            <v>Натпревар за трето место</v>
          </cell>
          <cell r="Z7" t="str">
            <v>Final għat-Tielet u r-Raba' Post</v>
          </cell>
          <cell r="AA7" t="str">
            <v>Bronsefinale</v>
          </cell>
          <cell r="AB7" t="str">
            <v>رده بندی</v>
          </cell>
          <cell r="AC7" t="str">
            <v>Mecz o trzecie miejsce</v>
          </cell>
          <cell r="AD7" t="str">
            <v>3º/4º lugar</v>
          </cell>
          <cell r="AE7" t="str">
            <v>Finala mica</v>
          </cell>
          <cell r="AF7" t="str">
            <v>Za treće mjesto</v>
          </cell>
          <cell r="AG7" t="str">
            <v xml:space="preserve">Zápas o 3. miesto </v>
          </cell>
          <cell r="AH7" t="str">
            <v>Za tretje mesto</v>
          </cell>
          <cell r="AI7" t="str">
            <v>Tercer puesto</v>
          </cell>
          <cell r="AJ7" t="str">
            <v>Match om tredje pris</v>
          </cell>
          <cell r="AK7" t="str">
            <v>รอบชิงที่ 3</v>
          </cell>
          <cell r="AL7" t="str">
            <v>Üçüncülük Maçı</v>
          </cell>
          <cell r="AM7" t="str">
            <v>Tranh hạng 3</v>
          </cell>
          <cell r="AN7" t="str">
            <v>Матч за третє місце</v>
          </cell>
          <cell r="AO7" t="str">
            <v>تیسرے مقام کے لئے کھیل</v>
          </cell>
        </row>
        <row r="8">
          <cell r="A8" t="str">
            <v>Final</v>
          </cell>
          <cell r="B8" t="str">
            <v>Finalja</v>
          </cell>
          <cell r="C8" t="str">
            <v>المباراة النهائية</v>
          </cell>
          <cell r="D8" t="str">
            <v>Եզրափակիչ</v>
          </cell>
          <cell r="E8" t="str">
            <v>Final</v>
          </cell>
          <cell r="F8" t="str">
            <v>Финал</v>
          </cell>
          <cell r="G8" t="str">
            <v>Final</v>
          </cell>
          <cell r="H8" t="str">
            <v>总决赛</v>
          </cell>
          <cell r="I8" t="str">
            <v>總決賽</v>
          </cell>
          <cell r="J8" t="str">
            <v>Finale</v>
          </cell>
          <cell r="K8" t="str">
            <v>Finále</v>
          </cell>
          <cell r="L8" t="str">
            <v>Finale</v>
          </cell>
          <cell r="M8" t="str">
            <v>Finale</v>
          </cell>
          <cell r="N8" t="str">
            <v>Finale</v>
          </cell>
          <cell r="O8" t="str">
            <v>ფინალი</v>
          </cell>
          <cell r="P8" t="str">
            <v>Finale</v>
          </cell>
          <cell r="Q8" t="str">
            <v>Τελικός</v>
          </cell>
          <cell r="R8" t="str">
            <v>גמר</v>
          </cell>
          <cell r="S8" t="str">
            <v>Döntő</v>
          </cell>
          <cell r="T8" t="str">
            <v>Final</v>
          </cell>
          <cell r="U8" t="str">
            <v>Úrslit</v>
          </cell>
          <cell r="V8" t="str">
            <v>Finale</v>
          </cell>
          <cell r="W8" t="str">
            <v>결승전</v>
          </cell>
          <cell r="X8" t="str">
            <v>Finalas</v>
          </cell>
          <cell r="Y8" t="str">
            <v>Финале</v>
          </cell>
          <cell r="Z8" t="str">
            <v>Finali</v>
          </cell>
          <cell r="AA8" t="str">
            <v>Finale</v>
          </cell>
          <cell r="AB8" t="str">
            <v>فینال</v>
          </cell>
          <cell r="AC8" t="str">
            <v>Finał</v>
          </cell>
          <cell r="AD8" t="str">
            <v>Final</v>
          </cell>
          <cell r="AE8" t="str">
            <v>FINALA</v>
          </cell>
          <cell r="AF8" t="str">
            <v>Finale</v>
          </cell>
          <cell r="AG8" t="str">
            <v>Finále</v>
          </cell>
          <cell r="AH8" t="str">
            <v>Finale</v>
          </cell>
          <cell r="AI8" t="str">
            <v>Final</v>
          </cell>
          <cell r="AJ8" t="str">
            <v>Final</v>
          </cell>
          <cell r="AK8" t="str">
            <v>รอบชิงชนะเลิศ</v>
          </cell>
          <cell r="AL8" t="str">
            <v>Final</v>
          </cell>
          <cell r="AM8" t="str">
            <v>Chung Kết</v>
          </cell>
          <cell r="AN8" t="str">
            <v>Фінал</v>
          </cell>
          <cell r="AO8" t="str">
            <v>فائنل</v>
          </cell>
        </row>
        <row r="9">
          <cell r="A9" t="str">
            <v>Group</v>
          </cell>
          <cell r="B9" t="str">
            <v>Grupi</v>
          </cell>
          <cell r="C9" t="str">
            <v>المجموعة</v>
          </cell>
          <cell r="D9" t="str">
            <v>Խումբ</v>
          </cell>
          <cell r="E9" t="str">
            <v>Qrup</v>
          </cell>
          <cell r="F9" t="str">
            <v>Група</v>
          </cell>
          <cell r="G9" t="str">
            <v>Grup</v>
          </cell>
          <cell r="H9" t="str">
            <v>小组</v>
          </cell>
          <cell r="I9" t="str">
            <v>小組</v>
          </cell>
          <cell r="J9" t="str">
            <v>Grupa</v>
          </cell>
          <cell r="K9" t="str">
            <v>Skupina</v>
          </cell>
          <cell r="L9" t="str">
            <v>Gruppe</v>
          </cell>
          <cell r="M9" t="str">
            <v>Groep</v>
          </cell>
          <cell r="N9" t="str">
            <v>Groupe</v>
          </cell>
          <cell r="O9" t="str">
            <v>ჯგუფი</v>
          </cell>
          <cell r="P9" t="str">
            <v>Gruppe</v>
          </cell>
          <cell r="Q9" t="str">
            <v>Όμιλος</v>
          </cell>
          <cell r="R9" t="str">
            <v>בית</v>
          </cell>
          <cell r="S9" t="str">
            <v>Csoport</v>
          </cell>
          <cell r="T9" t="str">
            <v>Kelompok</v>
          </cell>
          <cell r="U9" t="str">
            <v>Riðill</v>
          </cell>
          <cell r="V9" t="str">
            <v>Gruppo</v>
          </cell>
          <cell r="W9" t="str">
            <v>그룹</v>
          </cell>
          <cell r="X9" t="str">
            <v>Grupė</v>
          </cell>
          <cell r="Y9" t="str">
            <v>Група</v>
          </cell>
          <cell r="Z9" t="str">
            <v>Grupp</v>
          </cell>
          <cell r="AA9" t="str">
            <v>Gruppe</v>
          </cell>
          <cell r="AB9" t="str">
            <v>گروه</v>
          </cell>
          <cell r="AC9" t="str">
            <v>Grupa</v>
          </cell>
          <cell r="AD9" t="str">
            <v>Grupo</v>
          </cell>
          <cell r="AE9" t="str">
            <v>Grupa</v>
          </cell>
          <cell r="AF9" t="str">
            <v>Grupa</v>
          </cell>
          <cell r="AG9" t="str">
            <v>Skupina</v>
          </cell>
          <cell r="AH9" t="str">
            <v>Skupina</v>
          </cell>
          <cell r="AI9" t="str">
            <v>Grupo</v>
          </cell>
          <cell r="AJ9" t="str">
            <v>Grupp</v>
          </cell>
          <cell r="AK9" t="str">
            <v>สาย</v>
          </cell>
          <cell r="AL9" t="str">
            <v>Grup</v>
          </cell>
          <cell r="AM9" t="str">
            <v>Bảng</v>
          </cell>
          <cell r="AN9" t="str">
            <v>Група</v>
          </cell>
          <cell r="AO9" t="str">
            <v>گروپ بندی</v>
          </cell>
        </row>
        <row r="10">
          <cell r="A10" t="str">
            <v>PL</v>
          </cell>
          <cell r="B10" t="str">
            <v>L</v>
          </cell>
          <cell r="C10" t="str">
            <v>لعب</v>
          </cell>
          <cell r="D10" t="str">
            <v>Խ</v>
          </cell>
          <cell r="E10" t="str">
            <v>O</v>
          </cell>
          <cell r="F10" t="str">
            <v>М</v>
          </cell>
          <cell r="G10" t="str">
            <v>J</v>
          </cell>
          <cell r="H10" t="str">
            <v>场次</v>
          </cell>
          <cell r="I10" t="str">
            <v>賽</v>
          </cell>
          <cell r="J10" t="str">
            <v>PL</v>
          </cell>
          <cell r="K10" t="str">
            <v>Z</v>
          </cell>
          <cell r="L10" t="str">
            <v>SP</v>
          </cell>
          <cell r="M10" t="str">
            <v>WG</v>
          </cell>
          <cell r="N10" t="str">
            <v>J</v>
          </cell>
          <cell r="O10" t="str">
            <v>თ</v>
          </cell>
          <cell r="P10" t="str">
            <v>SP</v>
          </cell>
          <cell r="Q10" t="str">
            <v>ΑΓ</v>
          </cell>
          <cell r="R10" t="str">
            <v>משחקים</v>
          </cell>
          <cell r="S10" t="str">
            <v>M</v>
          </cell>
          <cell r="T10" t="str">
            <v>Main</v>
          </cell>
          <cell r="U10" t="str">
            <v>L</v>
          </cell>
          <cell r="V10" t="str">
            <v>G</v>
          </cell>
          <cell r="W10" t="str">
            <v>경기</v>
          </cell>
          <cell r="X10" t="str">
            <v>Žst</v>
          </cell>
          <cell r="Y10" t="str">
            <v>О</v>
          </cell>
          <cell r="Z10" t="str">
            <v>L</v>
          </cell>
          <cell r="AA10" t="str">
            <v>S</v>
          </cell>
          <cell r="AB10" t="str">
            <v>بازی</v>
          </cell>
          <cell r="AC10" t="str">
            <v>M</v>
          </cell>
          <cell r="AD10" t="str">
            <v>J</v>
          </cell>
          <cell r="AE10" t="str">
            <v>J</v>
          </cell>
          <cell r="AF10" t="str">
            <v>UT</v>
          </cell>
          <cell r="AG10" t="str">
            <v>Z</v>
          </cell>
          <cell r="AH10" t="str">
            <v>PL</v>
          </cell>
          <cell r="AI10" t="str">
            <v>J</v>
          </cell>
          <cell r="AJ10" t="str">
            <v>Sp</v>
          </cell>
          <cell r="AK10" t="str">
            <v>แข่ง</v>
          </cell>
          <cell r="AL10" t="str">
            <v>O</v>
          </cell>
          <cell r="AM10" t="str">
            <v>Trận</v>
          </cell>
          <cell r="AN10" t="str">
            <v>І</v>
          </cell>
          <cell r="AO10" t="str">
            <v>کھیلے گئے مقابلے</v>
          </cell>
        </row>
        <row r="11">
          <cell r="A11" t="str">
            <v>W</v>
          </cell>
          <cell r="B11" t="str">
            <v>F</v>
          </cell>
          <cell r="C11" t="str">
            <v>فاز</v>
          </cell>
          <cell r="D11" t="str">
            <v>Հ</v>
          </cell>
          <cell r="E11" t="str">
            <v>Q</v>
          </cell>
          <cell r="F11" t="str">
            <v>П</v>
          </cell>
          <cell r="G11" t="str">
            <v>G</v>
          </cell>
          <cell r="H11" t="str">
            <v>胜</v>
          </cell>
          <cell r="I11" t="str">
            <v>勝</v>
          </cell>
          <cell r="J11" t="str">
            <v>W</v>
          </cell>
          <cell r="K11" t="str">
            <v>V</v>
          </cell>
          <cell r="L11" t="str">
            <v>V</v>
          </cell>
          <cell r="M11" t="str">
            <v>W</v>
          </cell>
          <cell r="N11" t="str">
            <v>V</v>
          </cell>
          <cell r="O11" t="str">
            <v>მოგ</v>
          </cell>
          <cell r="P11" t="str">
            <v>S</v>
          </cell>
          <cell r="Q11" t="str">
            <v>Ν</v>
          </cell>
          <cell r="R11" t="str">
            <v>נצחונות</v>
          </cell>
          <cell r="S11" t="str">
            <v>GY</v>
          </cell>
          <cell r="T11" t="str">
            <v>Menang</v>
          </cell>
          <cell r="U11" t="str">
            <v>U</v>
          </cell>
          <cell r="V11" t="str">
            <v>V</v>
          </cell>
          <cell r="W11" t="str">
            <v>승</v>
          </cell>
          <cell r="X11" t="str">
            <v>L</v>
          </cell>
          <cell r="Y11" t="str">
            <v>П</v>
          </cell>
          <cell r="Z11" t="str">
            <v>R</v>
          </cell>
          <cell r="AA11" t="str">
            <v>V</v>
          </cell>
          <cell r="AB11" t="str">
            <v>برد</v>
          </cell>
          <cell r="AC11" t="str">
            <v>Z</v>
          </cell>
          <cell r="AD11" t="str">
            <v>V</v>
          </cell>
          <cell r="AE11" t="str">
            <v>V</v>
          </cell>
          <cell r="AF11" t="str">
            <v>P</v>
          </cell>
          <cell r="AG11" t="str">
            <v>V</v>
          </cell>
          <cell r="AH11" t="str">
            <v>W</v>
          </cell>
          <cell r="AI11" t="str">
            <v>G</v>
          </cell>
          <cell r="AJ11" t="str">
            <v>V</v>
          </cell>
          <cell r="AK11" t="str">
            <v>ชนะ</v>
          </cell>
          <cell r="AL11" t="str">
            <v>G</v>
          </cell>
          <cell r="AM11" t="str">
            <v>T</v>
          </cell>
          <cell r="AN11" t="str">
            <v>В</v>
          </cell>
          <cell r="AO11" t="str">
            <v>جیت</v>
          </cell>
        </row>
        <row r="12">
          <cell r="A12" t="str">
            <v>DRAW</v>
          </cell>
          <cell r="B12" t="str">
            <v>BAR</v>
          </cell>
          <cell r="C12" t="str">
            <v>تعادل</v>
          </cell>
          <cell r="D12" t="str">
            <v>Ո</v>
          </cell>
          <cell r="E12" t="str">
            <v>H</v>
          </cell>
          <cell r="F12" t="str">
            <v>Р</v>
          </cell>
          <cell r="G12" t="str">
            <v>E</v>
          </cell>
          <cell r="H12" t="str">
            <v>平</v>
          </cell>
          <cell r="I12" t="str">
            <v>和</v>
          </cell>
          <cell r="J12" t="str">
            <v>DRAW</v>
          </cell>
          <cell r="K12" t="str">
            <v>R</v>
          </cell>
          <cell r="L12" t="str">
            <v>Uafgjort</v>
          </cell>
          <cell r="M12" t="str">
            <v>G</v>
          </cell>
          <cell r="N12" t="str">
            <v>N</v>
          </cell>
          <cell r="O12" t="str">
            <v>ფრე</v>
          </cell>
          <cell r="P12" t="str">
            <v>DRAW</v>
          </cell>
          <cell r="Q12" t="str">
            <v>Ι</v>
          </cell>
          <cell r="R12" t="str">
            <v>תיקו</v>
          </cell>
          <cell r="S12" t="str">
            <v>D</v>
          </cell>
          <cell r="T12" t="str">
            <v>Seri</v>
          </cell>
          <cell r="U12" t="str">
            <v>Jafnt</v>
          </cell>
          <cell r="V12" t="str">
            <v>P</v>
          </cell>
          <cell r="W12" t="str">
            <v>무</v>
          </cell>
          <cell r="X12" t="str">
            <v>Lyg</v>
          </cell>
          <cell r="Y12" t="str">
            <v>Н</v>
          </cell>
          <cell r="Z12" t="str">
            <v>I</v>
          </cell>
          <cell r="AA12" t="str">
            <v>T</v>
          </cell>
          <cell r="AB12" t="str">
            <v>مساوی</v>
          </cell>
          <cell r="AC12" t="str">
            <v>R</v>
          </cell>
          <cell r="AD12" t="str">
            <v>E</v>
          </cell>
          <cell r="AE12" t="str">
            <v>E</v>
          </cell>
          <cell r="AF12" t="str">
            <v>NER.</v>
          </cell>
          <cell r="AG12" t="str">
            <v>R</v>
          </cell>
          <cell r="AH12" t="str">
            <v>DRAW</v>
          </cell>
          <cell r="AI12" t="str">
            <v>DRAW</v>
          </cell>
          <cell r="AJ12" t="str">
            <v>O</v>
          </cell>
          <cell r="AK12" t="str">
            <v>เสมอ</v>
          </cell>
          <cell r="AL12" t="str">
            <v>B</v>
          </cell>
          <cell r="AM12" t="str">
            <v>H</v>
          </cell>
          <cell r="AN12" t="str">
            <v>Н</v>
          </cell>
          <cell r="AO12" t="str">
            <v>برابر</v>
          </cell>
        </row>
        <row r="13">
          <cell r="A13" t="str">
            <v>L</v>
          </cell>
          <cell r="B13" t="str">
            <v>H</v>
          </cell>
          <cell r="C13" t="str">
            <v>خسر</v>
          </cell>
          <cell r="D13" t="str">
            <v>Պ</v>
          </cell>
          <cell r="E13" t="str">
            <v>M</v>
          </cell>
          <cell r="F13" t="str">
            <v>З</v>
          </cell>
          <cell r="G13" t="str">
            <v>P</v>
          </cell>
          <cell r="H13" t="str">
            <v>负</v>
          </cell>
          <cell r="I13" t="str">
            <v>負</v>
          </cell>
          <cell r="J13" t="str">
            <v>L</v>
          </cell>
          <cell r="K13" t="str">
            <v>P</v>
          </cell>
          <cell r="L13" t="str">
            <v>T</v>
          </cell>
          <cell r="M13" t="str">
            <v>V</v>
          </cell>
          <cell r="N13" t="str">
            <v>D</v>
          </cell>
          <cell r="O13" t="str">
            <v>წაგ</v>
          </cell>
          <cell r="P13" t="str">
            <v>N</v>
          </cell>
          <cell r="Q13" t="str">
            <v xml:space="preserve">Η </v>
          </cell>
          <cell r="R13" t="str">
            <v>הפסדים</v>
          </cell>
          <cell r="S13" t="str">
            <v>V</v>
          </cell>
          <cell r="T13" t="str">
            <v>Kalah</v>
          </cell>
          <cell r="U13" t="str">
            <v>T</v>
          </cell>
          <cell r="V13" t="str">
            <v>S</v>
          </cell>
          <cell r="W13" t="str">
            <v>패</v>
          </cell>
          <cell r="X13" t="str">
            <v>P</v>
          </cell>
          <cell r="Y13" t="str">
            <v>И</v>
          </cell>
          <cell r="Z13" t="str">
            <v>T</v>
          </cell>
          <cell r="AA13" t="str">
            <v>U</v>
          </cell>
          <cell r="AB13" t="str">
            <v>باخت</v>
          </cell>
          <cell r="AC13" t="str">
            <v>P</v>
          </cell>
          <cell r="AD13" t="str">
            <v>D</v>
          </cell>
          <cell r="AE13" t="str">
            <v>I</v>
          </cell>
          <cell r="AF13" t="str">
            <v>I</v>
          </cell>
          <cell r="AG13" t="str">
            <v>P</v>
          </cell>
          <cell r="AH13" t="str">
            <v>L</v>
          </cell>
          <cell r="AI13" t="str">
            <v>P</v>
          </cell>
          <cell r="AJ13" t="str">
            <v>F</v>
          </cell>
          <cell r="AK13" t="str">
            <v>แพ้</v>
          </cell>
          <cell r="AL13" t="str">
            <v>M</v>
          </cell>
          <cell r="AM13" t="str">
            <v>B</v>
          </cell>
          <cell r="AN13" t="str">
            <v>П</v>
          </cell>
          <cell r="AO13" t="str">
            <v>ہارے گئے مقابلے</v>
          </cell>
        </row>
        <row r="14">
          <cell r="A14" t="str">
            <v>GF - GA</v>
          </cell>
          <cell r="B14" t="str">
            <v>GSH-GP</v>
          </cell>
          <cell r="C14" t="str">
            <v>عليه - له</v>
          </cell>
          <cell r="D14" t="str">
            <v>ԽԳ-ԲԳ</v>
          </cell>
          <cell r="E14" t="str">
            <v>QV - QB</v>
          </cell>
          <cell r="F14" t="str">
            <v>Гол. Разл.</v>
          </cell>
          <cell r="G14" t="str">
            <v>GF - GC</v>
          </cell>
          <cell r="H14" t="str">
            <v>得失球</v>
          </cell>
          <cell r="I14" t="str">
            <v>得球 - 失球</v>
          </cell>
          <cell r="J14" t="str">
            <v>GF - GA</v>
          </cell>
          <cell r="K14" t="str">
            <v>GV - GI</v>
          </cell>
          <cell r="L14" t="str">
            <v>MF - MI</v>
          </cell>
          <cell r="M14" t="str">
            <v>DV-DT</v>
          </cell>
          <cell r="N14" t="str">
            <v>BP - BC</v>
          </cell>
          <cell r="O14" t="str">
            <v>გგ - მგ</v>
          </cell>
          <cell r="P14" t="str">
            <v>ET - KT</v>
          </cell>
          <cell r="Q14" t="str">
            <v>Υ-Κ</v>
          </cell>
          <cell r="R14" t="str">
            <v>יחס שערים</v>
          </cell>
          <cell r="S14" t="str">
            <v>Gólkül.</v>
          </cell>
          <cell r="T14" t="str">
            <v xml:space="preserve">Skor </v>
          </cell>
          <cell r="U14" t="str">
            <v>S - F</v>
          </cell>
          <cell r="V14" t="str">
            <v>GF - GS</v>
          </cell>
          <cell r="W14" t="str">
            <v>골득실</v>
          </cell>
          <cell r="X14" t="str">
            <v>Įm - Pr</v>
          </cell>
          <cell r="Y14" t="str">
            <v>Разлика</v>
          </cell>
          <cell r="Z14" t="str">
            <v>GF - GK</v>
          </cell>
          <cell r="AA14" t="str">
            <v>Mål</v>
          </cell>
          <cell r="AB14" t="str">
            <v>خورده-زده</v>
          </cell>
          <cell r="AC14" t="str">
            <v>Z - S</v>
          </cell>
          <cell r="AD14" t="str">
            <v>GM - GS</v>
          </cell>
          <cell r="AE14" t="str">
            <v>GM - GP</v>
          </cell>
          <cell r="AF14" t="str">
            <v>GD - GP</v>
          </cell>
          <cell r="AG14" t="str">
            <v>GS-GI</v>
          </cell>
          <cell r="AH14" t="str">
            <v>GF - GA</v>
          </cell>
          <cell r="AI14" t="str">
            <v>GF - GC</v>
          </cell>
          <cell r="AJ14" t="str">
            <v>GM – IM</v>
          </cell>
          <cell r="AK14" t="str">
            <v>ได้ - เสีย</v>
          </cell>
          <cell r="AL14" t="str">
            <v>A - Y</v>
          </cell>
          <cell r="AM14" t="str">
            <v>Hiệu số</v>
          </cell>
          <cell r="AN14" t="str">
            <v xml:space="preserve">М </v>
          </cell>
          <cell r="AO14" t="str">
            <v>گول کئے- انکے خلاف گول کئے گئے</v>
          </cell>
        </row>
        <row r="15">
          <cell r="A15" t="str">
            <v>PNT</v>
          </cell>
          <cell r="B15" t="str">
            <v>PIK</v>
          </cell>
          <cell r="C15" t="str">
            <v>النقاط</v>
          </cell>
          <cell r="D15" t="str">
            <v>Մ</v>
          </cell>
          <cell r="E15" t="str">
            <v>Xal</v>
          </cell>
          <cell r="F15" t="str">
            <v>Т</v>
          </cell>
          <cell r="G15" t="str">
            <v>Punts</v>
          </cell>
          <cell r="H15" t="str">
            <v>积分</v>
          </cell>
          <cell r="I15" t="str">
            <v>分數</v>
          </cell>
          <cell r="J15" t="str">
            <v>PNT</v>
          </cell>
          <cell r="K15" t="str">
            <v>Body</v>
          </cell>
          <cell r="L15" t="str">
            <v>PNT</v>
          </cell>
          <cell r="M15" t="str">
            <v>PNT</v>
          </cell>
          <cell r="N15" t="str">
            <v>PTS</v>
          </cell>
          <cell r="O15" t="str">
            <v>ქულა</v>
          </cell>
          <cell r="P15" t="str">
            <v>PKT</v>
          </cell>
          <cell r="Q15" t="str">
            <v>ΒΘ</v>
          </cell>
          <cell r="R15" t="str">
            <v>נקודות</v>
          </cell>
          <cell r="S15" t="str">
            <v>PNT</v>
          </cell>
          <cell r="T15" t="str">
            <v>Nilai</v>
          </cell>
          <cell r="U15" t="str">
            <v>Stig</v>
          </cell>
          <cell r="V15" t="str">
            <v>Punti</v>
          </cell>
          <cell r="W15" t="str">
            <v>승점</v>
          </cell>
          <cell r="X15" t="str">
            <v>Tšk</v>
          </cell>
          <cell r="Y15" t="str">
            <v>Б</v>
          </cell>
          <cell r="Z15" t="str">
            <v>P</v>
          </cell>
          <cell r="AA15" t="str">
            <v>P</v>
          </cell>
          <cell r="AB15" t="str">
            <v>امتیاز</v>
          </cell>
          <cell r="AC15" t="str">
            <v>Pkt</v>
          </cell>
          <cell r="AD15" t="str">
            <v>P</v>
          </cell>
          <cell r="AE15" t="str">
            <v>P</v>
          </cell>
          <cell r="AF15" t="str">
            <v>BOD</v>
          </cell>
          <cell r="AG15" t="str">
            <v>Body</v>
          </cell>
          <cell r="AH15" t="str">
            <v>PNT</v>
          </cell>
          <cell r="AI15" t="str">
            <v>PTS</v>
          </cell>
          <cell r="AJ15" t="str">
            <v>P</v>
          </cell>
          <cell r="AK15" t="str">
            <v>คะแนน</v>
          </cell>
          <cell r="AL15" t="str">
            <v>P</v>
          </cell>
          <cell r="AM15" t="str">
            <v>Điểm</v>
          </cell>
          <cell r="AN15" t="str">
            <v>О</v>
          </cell>
          <cell r="AO15" t="str">
            <v>نشان</v>
          </cell>
        </row>
        <row r="18">
          <cell r="A18" t="str">
            <v>Sun</v>
          </cell>
          <cell r="B18" t="str">
            <v>Diel</v>
          </cell>
          <cell r="C18" t="str">
            <v>الأحد</v>
          </cell>
          <cell r="D18" t="str">
            <v>Կիր.</v>
          </cell>
          <cell r="E18" t="str">
            <v>B</v>
          </cell>
          <cell r="F18" t="str">
            <v>Нед</v>
          </cell>
          <cell r="G18" t="str">
            <v>Diu</v>
          </cell>
          <cell r="H18" t="str">
            <v>周日</v>
          </cell>
          <cell r="I18" t="str">
            <v>Sun</v>
          </cell>
          <cell r="J18" t="str">
            <v>Ned</v>
          </cell>
          <cell r="K18" t="str">
            <v>Ne</v>
          </cell>
          <cell r="L18" t="str">
            <v>Søn</v>
          </cell>
          <cell r="M18" t="str">
            <v>Zo</v>
          </cell>
          <cell r="N18" t="str">
            <v>Dim</v>
          </cell>
          <cell r="O18" t="str">
            <v>კვირა</v>
          </cell>
          <cell r="P18" t="str">
            <v>Sun</v>
          </cell>
          <cell r="Q18" t="str">
            <v>Κυρ</v>
          </cell>
          <cell r="R18" t="str">
            <v>ראשון</v>
          </cell>
          <cell r="S18" t="str">
            <v>Vas</v>
          </cell>
          <cell r="T18" t="str">
            <v>Min</v>
          </cell>
          <cell r="U18" t="str">
            <v>Sun</v>
          </cell>
          <cell r="V18" t="str">
            <v>Dom</v>
          </cell>
          <cell r="W18" t="str">
            <v>일</v>
          </cell>
          <cell r="X18" t="str">
            <v>Sekm</v>
          </cell>
          <cell r="Y18" t="str">
            <v>Нед</v>
          </cell>
          <cell r="Z18" t="str">
            <v>Ħad</v>
          </cell>
          <cell r="AA18" t="str">
            <v>Søn</v>
          </cell>
          <cell r="AB18" t="str">
            <v>یکشنبه</v>
          </cell>
          <cell r="AC18" t="str">
            <v>Nd</v>
          </cell>
          <cell r="AD18" t="str">
            <v>Dom</v>
          </cell>
          <cell r="AE18" t="str">
            <v>Dum</v>
          </cell>
          <cell r="AF18" t="str">
            <v>Ned</v>
          </cell>
          <cell r="AG18" t="str">
            <v>Ne</v>
          </cell>
          <cell r="AH18" t="str">
            <v>Ned</v>
          </cell>
          <cell r="AI18" t="str">
            <v>Sun</v>
          </cell>
          <cell r="AJ18" t="str">
            <v>Sön</v>
          </cell>
          <cell r="AK18" t="str">
            <v>อาทิตย์</v>
          </cell>
          <cell r="AL18" t="str">
            <v>Paz</v>
          </cell>
          <cell r="AM18" t="str">
            <v>CN</v>
          </cell>
          <cell r="AN18" t="str">
            <v>Нд</v>
          </cell>
          <cell r="AO18" t="str">
            <v>اتوار</v>
          </cell>
        </row>
        <row r="19">
          <cell r="A19" t="str">
            <v>Mon</v>
          </cell>
          <cell r="B19" t="str">
            <v>Hënë</v>
          </cell>
          <cell r="C19" t="str">
            <v>الاثنين</v>
          </cell>
          <cell r="D19" t="str">
            <v>Երկ.</v>
          </cell>
          <cell r="E19" t="str">
            <v>BE</v>
          </cell>
          <cell r="F19" t="str">
            <v>Пон</v>
          </cell>
          <cell r="G19" t="str">
            <v>Dil</v>
          </cell>
          <cell r="H19" t="str">
            <v>周一</v>
          </cell>
          <cell r="I19" t="str">
            <v>Mon</v>
          </cell>
          <cell r="J19" t="str">
            <v>Pon</v>
          </cell>
          <cell r="K19" t="str">
            <v>Po</v>
          </cell>
          <cell r="L19" t="str">
            <v>Man</v>
          </cell>
          <cell r="M19" t="str">
            <v>Ma</v>
          </cell>
          <cell r="N19" t="str">
            <v>Lun</v>
          </cell>
          <cell r="O19" t="str">
            <v>ორშ</v>
          </cell>
          <cell r="P19" t="str">
            <v>Mon</v>
          </cell>
          <cell r="Q19" t="str">
            <v>Δευ</v>
          </cell>
          <cell r="R19" t="str">
            <v>שני</v>
          </cell>
          <cell r="S19" t="str">
            <v>Hét</v>
          </cell>
          <cell r="T19" t="str">
            <v>Sen</v>
          </cell>
          <cell r="U19" t="str">
            <v>Mán</v>
          </cell>
          <cell r="V19" t="str">
            <v>Lun</v>
          </cell>
          <cell r="W19" t="str">
            <v>월</v>
          </cell>
          <cell r="X19" t="str">
            <v>Pirm</v>
          </cell>
          <cell r="Y19" t="str">
            <v>Пон</v>
          </cell>
          <cell r="Z19" t="str">
            <v>Tne</v>
          </cell>
          <cell r="AA19" t="str">
            <v>Man</v>
          </cell>
          <cell r="AB19" t="str">
            <v>دوشنبه</v>
          </cell>
          <cell r="AC19" t="str">
            <v>Pn</v>
          </cell>
          <cell r="AD19" t="str">
            <v>Seg</v>
          </cell>
          <cell r="AE19" t="str">
            <v>Lun</v>
          </cell>
          <cell r="AF19" t="str">
            <v>Pon</v>
          </cell>
          <cell r="AG19" t="str">
            <v>Po</v>
          </cell>
          <cell r="AH19" t="str">
            <v>Pon</v>
          </cell>
          <cell r="AI19" t="str">
            <v>Mon</v>
          </cell>
          <cell r="AJ19" t="str">
            <v>Mån</v>
          </cell>
          <cell r="AK19" t="str">
            <v>จันทร์</v>
          </cell>
          <cell r="AL19" t="str">
            <v>Pzt</v>
          </cell>
          <cell r="AM19" t="str">
            <v>T2</v>
          </cell>
          <cell r="AN19" t="str">
            <v>Пн</v>
          </cell>
          <cell r="AO19" t="str">
            <v>پیر</v>
          </cell>
        </row>
        <row r="20">
          <cell r="A20" t="str">
            <v>Tue</v>
          </cell>
          <cell r="B20" t="str">
            <v>Mar</v>
          </cell>
          <cell r="C20" t="str">
            <v>الثلاثاء</v>
          </cell>
          <cell r="D20" t="str">
            <v>Երեք.</v>
          </cell>
          <cell r="E20" t="str">
            <v>ÇA</v>
          </cell>
          <cell r="F20" t="str">
            <v>Вт</v>
          </cell>
          <cell r="G20" t="str">
            <v>Dim</v>
          </cell>
          <cell r="H20" t="str">
            <v>周二</v>
          </cell>
          <cell r="I20" t="str">
            <v>Tue</v>
          </cell>
          <cell r="J20" t="str">
            <v>Uto</v>
          </cell>
          <cell r="K20" t="str">
            <v>Út</v>
          </cell>
          <cell r="L20" t="str">
            <v>Tir</v>
          </cell>
          <cell r="M20" t="str">
            <v>Di</v>
          </cell>
          <cell r="N20" t="str">
            <v>Mar</v>
          </cell>
          <cell r="O20" t="str">
            <v>სამშ</v>
          </cell>
          <cell r="P20" t="str">
            <v>Tue</v>
          </cell>
          <cell r="Q20" t="str">
            <v>Τρι</v>
          </cell>
          <cell r="R20" t="str">
            <v>שלישי</v>
          </cell>
          <cell r="S20" t="str">
            <v>Ke</v>
          </cell>
          <cell r="T20" t="str">
            <v>Sel</v>
          </cell>
          <cell r="U20" t="str">
            <v>Þri</v>
          </cell>
          <cell r="V20" t="str">
            <v>Mar</v>
          </cell>
          <cell r="W20" t="str">
            <v>화</v>
          </cell>
          <cell r="X20" t="str">
            <v>Antr</v>
          </cell>
          <cell r="Y20" t="str">
            <v>Вто</v>
          </cell>
          <cell r="Z20" t="str">
            <v>Tli</v>
          </cell>
          <cell r="AA20" t="str">
            <v>Tirs</v>
          </cell>
          <cell r="AB20" t="str">
            <v>سه شنبه</v>
          </cell>
          <cell r="AC20" t="str">
            <v>Wt</v>
          </cell>
          <cell r="AD20" t="str">
            <v>Ter</v>
          </cell>
          <cell r="AE20" t="str">
            <v>Mar</v>
          </cell>
          <cell r="AF20" t="str">
            <v>Uto</v>
          </cell>
          <cell r="AG20" t="str">
            <v>Ut</v>
          </cell>
          <cell r="AH20" t="str">
            <v>Tor</v>
          </cell>
          <cell r="AI20" t="str">
            <v>Tue</v>
          </cell>
          <cell r="AJ20" t="str">
            <v>Tis</v>
          </cell>
          <cell r="AK20" t="str">
            <v>อังคาร</v>
          </cell>
          <cell r="AL20" t="str">
            <v>Sal</v>
          </cell>
          <cell r="AM20" t="str">
            <v>T3</v>
          </cell>
          <cell r="AN20" t="str">
            <v>Вт</v>
          </cell>
          <cell r="AO20" t="str">
            <v>منگل</v>
          </cell>
        </row>
        <row r="21">
          <cell r="A21" t="str">
            <v>Wed</v>
          </cell>
          <cell r="B21" t="str">
            <v>Mër</v>
          </cell>
          <cell r="C21" t="str">
            <v>الأربعاء</v>
          </cell>
          <cell r="D21" t="str">
            <v>Չոր.</v>
          </cell>
          <cell r="E21" t="str">
            <v>Ç</v>
          </cell>
          <cell r="F21" t="str">
            <v>Сря</v>
          </cell>
          <cell r="G21" t="str">
            <v>Dix</v>
          </cell>
          <cell r="H21" t="str">
            <v>周三</v>
          </cell>
          <cell r="I21" t="str">
            <v>Wed</v>
          </cell>
          <cell r="J21" t="str">
            <v>Sri</v>
          </cell>
          <cell r="K21" t="str">
            <v>St</v>
          </cell>
          <cell r="L21" t="str">
            <v>Ons</v>
          </cell>
          <cell r="M21" t="str">
            <v>Wo</v>
          </cell>
          <cell r="N21" t="str">
            <v>Mer</v>
          </cell>
          <cell r="O21" t="str">
            <v>ოთხშ</v>
          </cell>
          <cell r="P21" t="str">
            <v>Wed</v>
          </cell>
          <cell r="Q21" t="str">
            <v>Τετ</v>
          </cell>
          <cell r="R21" t="str">
            <v>רביעי</v>
          </cell>
          <cell r="S21" t="str">
            <v>Sze</v>
          </cell>
          <cell r="T21" t="str">
            <v>Rab</v>
          </cell>
          <cell r="U21" t="str">
            <v>Mið</v>
          </cell>
          <cell r="V21" t="str">
            <v>Mer</v>
          </cell>
          <cell r="W21" t="str">
            <v>수</v>
          </cell>
          <cell r="X21" t="str">
            <v>Treč</v>
          </cell>
          <cell r="Y21" t="str">
            <v>Сре</v>
          </cell>
          <cell r="Z21" t="str">
            <v>Erb</v>
          </cell>
          <cell r="AA21" t="str">
            <v>Ons</v>
          </cell>
          <cell r="AB21" t="str">
            <v>چهارشنبه</v>
          </cell>
          <cell r="AC21" t="str">
            <v>Śr</v>
          </cell>
          <cell r="AD21" t="str">
            <v>Qua</v>
          </cell>
          <cell r="AE21" t="str">
            <v>Mie</v>
          </cell>
          <cell r="AF21" t="str">
            <v>Sre</v>
          </cell>
          <cell r="AG21" t="str">
            <v>St</v>
          </cell>
          <cell r="AH21" t="str">
            <v>Sre</v>
          </cell>
          <cell r="AI21" t="str">
            <v>Wed</v>
          </cell>
          <cell r="AJ21" t="str">
            <v>Ons</v>
          </cell>
          <cell r="AK21" t="str">
            <v>พุธ</v>
          </cell>
          <cell r="AL21" t="str">
            <v>Çar</v>
          </cell>
          <cell r="AM21" t="str">
            <v>T4</v>
          </cell>
          <cell r="AN21" t="str">
            <v>Ср</v>
          </cell>
          <cell r="AO21" t="str">
            <v>بدھ</v>
          </cell>
        </row>
        <row r="22">
          <cell r="A22" t="str">
            <v>Thu</v>
          </cell>
          <cell r="B22" t="str">
            <v>Enjt</v>
          </cell>
          <cell r="C22" t="str">
            <v>الخميس</v>
          </cell>
          <cell r="D22" t="str">
            <v>Հինգ.</v>
          </cell>
          <cell r="E22" t="str">
            <v>CA</v>
          </cell>
          <cell r="F22" t="str">
            <v>Четв</v>
          </cell>
          <cell r="G22" t="str">
            <v>Dij</v>
          </cell>
          <cell r="H22" t="str">
            <v>周四</v>
          </cell>
          <cell r="I22" t="str">
            <v>Thu</v>
          </cell>
          <cell r="J22" t="str">
            <v>Čet</v>
          </cell>
          <cell r="K22" t="str">
            <v>Čt</v>
          </cell>
          <cell r="L22" t="str">
            <v>Tor</v>
          </cell>
          <cell r="M22" t="str">
            <v>Do</v>
          </cell>
          <cell r="N22" t="str">
            <v>Jeu</v>
          </cell>
          <cell r="O22" t="str">
            <v>ხუთშ</v>
          </cell>
          <cell r="P22" t="str">
            <v>Thu</v>
          </cell>
          <cell r="Q22" t="str">
            <v>Πεμ</v>
          </cell>
          <cell r="R22" t="str">
            <v>חמישי</v>
          </cell>
          <cell r="S22" t="str">
            <v>Csü</v>
          </cell>
          <cell r="T22" t="str">
            <v>Kam</v>
          </cell>
          <cell r="U22" t="str">
            <v>Fim</v>
          </cell>
          <cell r="V22" t="str">
            <v>Gio</v>
          </cell>
          <cell r="W22" t="str">
            <v>목</v>
          </cell>
          <cell r="X22" t="str">
            <v>Ketv</v>
          </cell>
          <cell r="Y22" t="str">
            <v>Чет</v>
          </cell>
          <cell r="Z22" t="str">
            <v>Ħam</v>
          </cell>
          <cell r="AA22" t="str">
            <v>Tors</v>
          </cell>
          <cell r="AB22" t="str">
            <v>پنجشنبه</v>
          </cell>
          <cell r="AC22" t="str">
            <v>Cz</v>
          </cell>
          <cell r="AD22" t="str">
            <v>Qui</v>
          </cell>
          <cell r="AE22" t="str">
            <v>Joi</v>
          </cell>
          <cell r="AF22" t="str">
            <v>Čet</v>
          </cell>
          <cell r="AG22" t="str">
            <v>Št</v>
          </cell>
          <cell r="AH22" t="str">
            <v>Čet</v>
          </cell>
          <cell r="AI22" t="str">
            <v>Thu</v>
          </cell>
          <cell r="AJ22" t="str">
            <v>Tor</v>
          </cell>
          <cell r="AK22" t="str">
            <v>พฤหัส</v>
          </cell>
          <cell r="AL22" t="str">
            <v>Per</v>
          </cell>
          <cell r="AM22" t="str">
            <v>T5</v>
          </cell>
          <cell r="AN22" t="str">
            <v>Чт</v>
          </cell>
          <cell r="AO22" t="str">
            <v>جمعرات</v>
          </cell>
        </row>
        <row r="23">
          <cell r="A23" t="str">
            <v>Fri</v>
          </cell>
          <cell r="B23" t="str">
            <v>Pre</v>
          </cell>
          <cell r="C23" t="str">
            <v>الجمعة</v>
          </cell>
          <cell r="D23" t="str">
            <v>Ուրբ.</v>
          </cell>
          <cell r="E23" t="str">
            <v>C</v>
          </cell>
          <cell r="F23" t="str">
            <v>Пет</v>
          </cell>
          <cell r="G23" t="str">
            <v>Div</v>
          </cell>
          <cell r="H23" t="str">
            <v>周五</v>
          </cell>
          <cell r="I23" t="str">
            <v>Fri</v>
          </cell>
          <cell r="J23" t="str">
            <v>Pet</v>
          </cell>
          <cell r="K23" t="str">
            <v>Pá</v>
          </cell>
          <cell r="L23" t="str">
            <v>Fre</v>
          </cell>
          <cell r="M23" t="str">
            <v>Vr</v>
          </cell>
          <cell r="N23" t="str">
            <v>Ven</v>
          </cell>
          <cell r="O23" t="str">
            <v>პარ</v>
          </cell>
          <cell r="P23" t="str">
            <v>Fri</v>
          </cell>
          <cell r="Q23" t="str">
            <v>Παρ</v>
          </cell>
          <cell r="R23" t="str">
            <v>שישי</v>
          </cell>
          <cell r="S23" t="str">
            <v>Pé</v>
          </cell>
          <cell r="T23" t="str">
            <v>Jum</v>
          </cell>
          <cell r="U23" t="str">
            <v>Fös</v>
          </cell>
          <cell r="V23" t="str">
            <v>Ven</v>
          </cell>
          <cell r="W23" t="str">
            <v>금</v>
          </cell>
          <cell r="X23" t="str">
            <v>Penk</v>
          </cell>
          <cell r="Y23" t="str">
            <v>Пет</v>
          </cell>
          <cell r="Z23" t="str">
            <v>Ġim</v>
          </cell>
          <cell r="AA23" t="str">
            <v>Fre</v>
          </cell>
          <cell r="AB23" t="str">
            <v>جمعه</v>
          </cell>
          <cell r="AC23" t="str">
            <v>Pt</v>
          </cell>
          <cell r="AD23" t="str">
            <v>Sex</v>
          </cell>
          <cell r="AE23" t="str">
            <v>Vin</v>
          </cell>
          <cell r="AF23" t="str">
            <v>Pet</v>
          </cell>
          <cell r="AG23" t="str">
            <v>Pi</v>
          </cell>
          <cell r="AH23" t="str">
            <v>Pet</v>
          </cell>
          <cell r="AI23" t="str">
            <v>Fri</v>
          </cell>
          <cell r="AJ23" t="str">
            <v>Fre</v>
          </cell>
          <cell r="AK23" t="str">
            <v>ศุกร์</v>
          </cell>
          <cell r="AL23" t="str">
            <v>Cum</v>
          </cell>
          <cell r="AM23" t="str">
            <v>T6</v>
          </cell>
          <cell r="AN23" t="str">
            <v>Пт</v>
          </cell>
          <cell r="AO23" t="str">
            <v>جمعہ</v>
          </cell>
        </row>
        <row r="24">
          <cell r="A24" t="str">
            <v>Sat</v>
          </cell>
          <cell r="B24" t="str">
            <v>Sht</v>
          </cell>
          <cell r="C24" t="str">
            <v>السبت</v>
          </cell>
          <cell r="D24" t="str">
            <v>Շաբ.</v>
          </cell>
          <cell r="E24" t="str">
            <v>Ş</v>
          </cell>
          <cell r="F24" t="str">
            <v>Съб</v>
          </cell>
          <cell r="G24" t="str">
            <v>Dis</v>
          </cell>
          <cell r="H24" t="str">
            <v>周六</v>
          </cell>
          <cell r="I24" t="str">
            <v>Sat</v>
          </cell>
          <cell r="J24" t="str">
            <v>Sub</v>
          </cell>
          <cell r="K24" t="str">
            <v>So</v>
          </cell>
          <cell r="L24" t="str">
            <v>Lør</v>
          </cell>
          <cell r="M24" t="str">
            <v>Za</v>
          </cell>
          <cell r="N24" t="str">
            <v>Sam</v>
          </cell>
          <cell r="O24" t="str">
            <v>შაბ</v>
          </cell>
          <cell r="P24" t="str">
            <v>Sat</v>
          </cell>
          <cell r="Q24" t="str">
            <v>Σαβ</v>
          </cell>
          <cell r="R24" t="str">
            <v>שבת</v>
          </cell>
          <cell r="S24" t="str">
            <v>Szo</v>
          </cell>
          <cell r="T24" t="str">
            <v>Sab</v>
          </cell>
          <cell r="U24" t="str">
            <v>Lau</v>
          </cell>
          <cell r="V24" t="str">
            <v>Sab</v>
          </cell>
          <cell r="W24" t="str">
            <v>토</v>
          </cell>
          <cell r="X24" t="str">
            <v>Šešt</v>
          </cell>
          <cell r="Y24" t="str">
            <v>Саб</v>
          </cell>
          <cell r="Z24" t="str">
            <v>Sib</v>
          </cell>
          <cell r="AA24" t="str">
            <v>Lør</v>
          </cell>
          <cell r="AB24" t="str">
            <v>شنبه</v>
          </cell>
          <cell r="AC24" t="str">
            <v>So</v>
          </cell>
          <cell r="AD24" t="str">
            <v>Sab</v>
          </cell>
          <cell r="AE24" t="str">
            <v>Sam</v>
          </cell>
          <cell r="AF24" t="str">
            <v>Sub</v>
          </cell>
          <cell r="AG24" t="str">
            <v>So</v>
          </cell>
          <cell r="AH24" t="str">
            <v>Sob</v>
          </cell>
          <cell r="AI24" t="str">
            <v>Sat</v>
          </cell>
          <cell r="AJ24" t="str">
            <v>Lör</v>
          </cell>
          <cell r="AK24" t="str">
            <v>เสาร์</v>
          </cell>
          <cell r="AL24" t="str">
            <v>Cmt</v>
          </cell>
          <cell r="AM24" t="str">
            <v>T7</v>
          </cell>
          <cell r="AN24" t="str">
            <v>Сб</v>
          </cell>
          <cell r="AO24" t="str">
            <v>سنیچر</v>
          </cell>
        </row>
        <row r="25">
          <cell r="A25" t="str">
            <v>Jan</v>
          </cell>
          <cell r="B25" t="str">
            <v>Jan</v>
          </cell>
          <cell r="C25" t="str">
            <v>كانون ثاني</v>
          </cell>
          <cell r="D25" t="str">
            <v>Հունվ.</v>
          </cell>
          <cell r="E25" t="str">
            <v>Yan</v>
          </cell>
          <cell r="F25" t="str">
            <v>Януари</v>
          </cell>
          <cell r="G25" t="str">
            <v>Gen</v>
          </cell>
          <cell r="H25" t="str">
            <v>一月</v>
          </cell>
          <cell r="I25" t="str">
            <v>Jan</v>
          </cell>
          <cell r="J25" t="str">
            <v>Sij</v>
          </cell>
          <cell r="K25" t="str">
            <v>Jan</v>
          </cell>
          <cell r="L25" t="str">
            <v>Jan</v>
          </cell>
          <cell r="M25" t="str">
            <v>Jan</v>
          </cell>
          <cell r="N25" t="str">
            <v>Janv</v>
          </cell>
          <cell r="O25" t="str">
            <v>იან</v>
          </cell>
          <cell r="P25" t="str">
            <v>Jan</v>
          </cell>
          <cell r="Q25" t="str">
            <v>Ιαν</v>
          </cell>
          <cell r="R25" t="str">
            <v>ינואר</v>
          </cell>
          <cell r="S25" t="str">
            <v>Jan</v>
          </cell>
          <cell r="T25" t="str">
            <v>Jan</v>
          </cell>
          <cell r="U25" t="str">
            <v>Jan</v>
          </cell>
          <cell r="V25" t="str">
            <v>Gen</v>
          </cell>
          <cell r="W25" t="str">
            <v>1월</v>
          </cell>
          <cell r="X25" t="str">
            <v>Saus</v>
          </cell>
          <cell r="Y25" t="str">
            <v>Јан</v>
          </cell>
          <cell r="Z25" t="str">
            <v>Jan</v>
          </cell>
          <cell r="AA25" t="str">
            <v>Jan</v>
          </cell>
          <cell r="AB25" t="str">
            <v>زانویه</v>
          </cell>
          <cell r="AC25" t="str">
            <v>Sty</v>
          </cell>
          <cell r="AD25" t="str">
            <v>Jan</v>
          </cell>
          <cell r="AE25" t="str">
            <v>Ian</v>
          </cell>
          <cell r="AF25" t="str">
            <v>Jan</v>
          </cell>
          <cell r="AG25" t="str">
            <v>Jan</v>
          </cell>
          <cell r="AH25" t="str">
            <v>Jan</v>
          </cell>
          <cell r="AI25" t="str">
            <v>Ene</v>
          </cell>
          <cell r="AJ25" t="str">
            <v>jan</v>
          </cell>
          <cell r="AK25" t="str">
            <v>มกราคม</v>
          </cell>
          <cell r="AL25" t="str">
            <v>Oca</v>
          </cell>
          <cell r="AM25" t="str">
            <v>Tháng 1</v>
          </cell>
          <cell r="AN25" t="str">
            <v>Січ</v>
          </cell>
          <cell r="AO25" t="str">
            <v>جنوری</v>
          </cell>
        </row>
        <row r="26">
          <cell r="A26" t="str">
            <v>Feb</v>
          </cell>
          <cell r="B26" t="str">
            <v>Shk</v>
          </cell>
          <cell r="C26" t="str">
            <v>شباط</v>
          </cell>
          <cell r="D26" t="str">
            <v>Փետր.</v>
          </cell>
          <cell r="E26" t="str">
            <v>Fev</v>
          </cell>
          <cell r="F26" t="str">
            <v>Февруари</v>
          </cell>
          <cell r="G26" t="str">
            <v>Feb</v>
          </cell>
          <cell r="H26" t="str">
            <v>二月</v>
          </cell>
          <cell r="I26" t="str">
            <v>Feb</v>
          </cell>
          <cell r="J26" t="str">
            <v>Vel</v>
          </cell>
          <cell r="K26" t="str">
            <v>Feb</v>
          </cell>
          <cell r="L26" t="str">
            <v>Feb</v>
          </cell>
          <cell r="M26" t="str">
            <v>Feb</v>
          </cell>
          <cell r="N26" t="str">
            <v>Févr</v>
          </cell>
          <cell r="O26" t="str">
            <v>თებ</v>
          </cell>
          <cell r="P26" t="str">
            <v>Feb</v>
          </cell>
          <cell r="Q26" t="str">
            <v>Φεβ</v>
          </cell>
          <cell r="R26" t="str">
            <v>פברואר</v>
          </cell>
          <cell r="S26" t="str">
            <v>Feb</v>
          </cell>
          <cell r="T26" t="str">
            <v>Peb</v>
          </cell>
          <cell r="U26" t="str">
            <v>Feb</v>
          </cell>
          <cell r="V26" t="str">
            <v>Feb</v>
          </cell>
          <cell r="W26" t="str">
            <v>2월</v>
          </cell>
          <cell r="X26" t="str">
            <v>Vas</v>
          </cell>
          <cell r="Y26" t="str">
            <v>Фев</v>
          </cell>
          <cell r="Z26" t="str">
            <v>Fra</v>
          </cell>
          <cell r="AA26" t="str">
            <v>Feb</v>
          </cell>
          <cell r="AB26" t="str">
            <v>فوریه</v>
          </cell>
          <cell r="AC26" t="str">
            <v>Lut</v>
          </cell>
          <cell r="AD26" t="str">
            <v>Fev</v>
          </cell>
          <cell r="AE26" t="str">
            <v>Feb</v>
          </cell>
          <cell r="AF26" t="str">
            <v>Feb</v>
          </cell>
          <cell r="AG26" t="str">
            <v>Feb</v>
          </cell>
          <cell r="AH26" t="str">
            <v>Feb</v>
          </cell>
          <cell r="AI26" t="str">
            <v>Feb</v>
          </cell>
          <cell r="AJ26" t="str">
            <v>Feb</v>
          </cell>
          <cell r="AK26" t="str">
            <v>กุมภาพันธ์</v>
          </cell>
          <cell r="AL26" t="str">
            <v>Şub</v>
          </cell>
          <cell r="AM26" t="str">
            <v>Tháng 2</v>
          </cell>
          <cell r="AN26" t="str">
            <v>Лют</v>
          </cell>
          <cell r="AO26" t="str">
            <v>فروری</v>
          </cell>
        </row>
        <row r="27">
          <cell r="A27" t="str">
            <v>Mar</v>
          </cell>
          <cell r="B27" t="str">
            <v>Mar</v>
          </cell>
          <cell r="C27" t="str">
            <v>آذار</v>
          </cell>
          <cell r="D27" t="str">
            <v>Մարտ</v>
          </cell>
          <cell r="E27" t="str">
            <v>Mar</v>
          </cell>
          <cell r="F27" t="str">
            <v>Март</v>
          </cell>
          <cell r="G27" t="str">
            <v>Mar</v>
          </cell>
          <cell r="H27" t="str">
            <v>三月</v>
          </cell>
          <cell r="I27" t="str">
            <v>Mar</v>
          </cell>
          <cell r="J27" t="str">
            <v>Ožu</v>
          </cell>
          <cell r="K27" t="str">
            <v>Mar</v>
          </cell>
          <cell r="L27" t="str">
            <v>Mar</v>
          </cell>
          <cell r="M27" t="str">
            <v>Mrt</v>
          </cell>
          <cell r="N27" t="str">
            <v>Mars</v>
          </cell>
          <cell r="O27" t="str">
            <v>მარ</v>
          </cell>
          <cell r="P27" t="str">
            <v>Mrz</v>
          </cell>
          <cell r="Q27" t="str">
            <v>Μαρ</v>
          </cell>
          <cell r="R27" t="str">
            <v>מרץ</v>
          </cell>
          <cell r="S27" t="str">
            <v>Már</v>
          </cell>
          <cell r="T27" t="str">
            <v>Mar</v>
          </cell>
          <cell r="U27" t="str">
            <v>Mar</v>
          </cell>
          <cell r="V27" t="str">
            <v>Mar</v>
          </cell>
          <cell r="W27" t="str">
            <v>3월</v>
          </cell>
          <cell r="X27" t="str">
            <v>Kov</v>
          </cell>
          <cell r="Y27" t="str">
            <v>Мар</v>
          </cell>
          <cell r="Z27" t="str">
            <v>Mar</v>
          </cell>
          <cell r="AA27" t="str">
            <v>Mar</v>
          </cell>
          <cell r="AB27" t="str">
            <v>مارس</v>
          </cell>
          <cell r="AC27" t="str">
            <v>Mar</v>
          </cell>
          <cell r="AD27" t="str">
            <v>Mar</v>
          </cell>
          <cell r="AE27" t="str">
            <v>Mar</v>
          </cell>
          <cell r="AF27" t="str">
            <v>Mar</v>
          </cell>
          <cell r="AG27" t="str">
            <v>Mar</v>
          </cell>
          <cell r="AH27" t="str">
            <v>Mar</v>
          </cell>
          <cell r="AI27" t="str">
            <v>Mar</v>
          </cell>
          <cell r="AJ27" t="str">
            <v>mar</v>
          </cell>
          <cell r="AK27" t="str">
            <v>มีนาคม</v>
          </cell>
          <cell r="AL27" t="str">
            <v>Mar</v>
          </cell>
          <cell r="AM27" t="str">
            <v>Tháng 3</v>
          </cell>
          <cell r="AN27" t="str">
            <v>Бер</v>
          </cell>
          <cell r="AO27" t="str">
            <v>مارچ</v>
          </cell>
        </row>
        <row r="28">
          <cell r="A28" t="str">
            <v>Apr</v>
          </cell>
          <cell r="B28" t="str">
            <v>Pri</v>
          </cell>
          <cell r="C28" t="str">
            <v>نيسان</v>
          </cell>
          <cell r="D28" t="str">
            <v>Ապրիլ</v>
          </cell>
          <cell r="E28" t="str">
            <v>Apr</v>
          </cell>
          <cell r="F28" t="str">
            <v>Април</v>
          </cell>
          <cell r="G28" t="str">
            <v>Abr</v>
          </cell>
          <cell r="H28" t="str">
            <v>四月</v>
          </cell>
          <cell r="I28" t="str">
            <v>Apr</v>
          </cell>
          <cell r="J28" t="str">
            <v>Tra</v>
          </cell>
          <cell r="K28" t="str">
            <v>Apr</v>
          </cell>
          <cell r="L28" t="str">
            <v>Apr</v>
          </cell>
          <cell r="M28" t="str">
            <v>Apr</v>
          </cell>
          <cell r="N28" t="str">
            <v>Avr</v>
          </cell>
          <cell r="O28" t="str">
            <v>აპრ</v>
          </cell>
          <cell r="P28" t="str">
            <v>Apr</v>
          </cell>
          <cell r="Q28" t="str">
            <v>Απρ</v>
          </cell>
          <cell r="R28" t="str">
            <v>אפריל</v>
          </cell>
          <cell r="S28" t="str">
            <v>Ápr</v>
          </cell>
          <cell r="T28" t="str">
            <v>Apr</v>
          </cell>
          <cell r="U28" t="str">
            <v>Apr</v>
          </cell>
          <cell r="V28" t="str">
            <v>Apr</v>
          </cell>
          <cell r="W28" t="str">
            <v>4월</v>
          </cell>
          <cell r="X28" t="str">
            <v>Bal</v>
          </cell>
          <cell r="Y28" t="str">
            <v>Апр</v>
          </cell>
          <cell r="Z28" t="str">
            <v>Apr</v>
          </cell>
          <cell r="AA28" t="str">
            <v>Apr</v>
          </cell>
          <cell r="AB28" t="str">
            <v>آوریل</v>
          </cell>
          <cell r="AC28" t="str">
            <v>Kwi</v>
          </cell>
          <cell r="AD28" t="str">
            <v>Abr</v>
          </cell>
          <cell r="AE28" t="str">
            <v>Apr</v>
          </cell>
          <cell r="AF28" t="str">
            <v>Apr</v>
          </cell>
          <cell r="AG28" t="str">
            <v>Apr</v>
          </cell>
          <cell r="AH28" t="str">
            <v>Apr</v>
          </cell>
          <cell r="AI28" t="str">
            <v>Abr</v>
          </cell>
          <cell r="AJ28" t="str">
            <v>apr</v>
          </cell>
          <cell r="AK28" t="str">
            <v>เมษายน</v>
          </cell>
          <cell r="AL28" t="str">
            <v>Nis</v>
          </cell>
          <cell r="AM28" t="str">
            <v>Tháng 4</v>
          </cell>
          <cell r="AN28" t="str">
            <v>Квіт</v>
          </cell>
          <cell r="AO28" t="str">
            <v>اپریل</v>
          </cell>
        </row>
        <row r="29">
          <cell r="A29" t="str">
            <v>May</v>
          </cell>
          <cell r="B29" t="str">
            <v>Maj</v>
          </cell>
          <cell r="C29" t="str">
            <v>أياد</v>
          </cell>
          <cell r="D29" t="str">
            <v>Մայիս</v>
          </cell>
          <cell r="E29" t="str">
            <v>May</v>
          </cell>
          <cell r="F29" t="str">
            <v>Май</v>
          </cell>
          <cell r="G29" t="str">
            <v>Mai</v>
          </cell>
          <cell r="H29" t="str">
            <v>五月</v>
          </cell>
          <cell r="I29" t="str">
            <v>May</v>
          </cell>
          <cell r="J29" t="str">
            <v>Svi</v>
          </cell>
          <cell r="K29" t="str">
            <v>May</v>
          </cell>
          <cell r="L29" t="str">
            <v>Maj</v>
          </cell>
          <cell r="M29" t="str">
            <v>Mei</v>
          </cell>
          <cell r="N29" t="str">
            <v>Mai</v>
          </cell>
          <cell r="O29" t="str">
            <v>მაი</v>
          </cell>
          <cell r="P29" t="str">
            <v>Mai</v>
          </cell>
          <cell r="Q29" t="str">
            <v>Μαϊ</v>
          </cell>
          <cell r="R29" t="str">
            <v>מאי</v>
          </cell>
          <cell r="S29" t="str">
            <v>Máj</v>
          </cell>
          <cell r="T29" t="str">
            <v>Mei</v>
          </cell>
          <cell r="U29" t="str">
            <v>Maí</v>
          </cell>
          <cell r="V29" t="str">
            <v>Mag</v>
          </cell>
          <cell r="W29" t="str">
            <v>5월</v>
          </cell>
          <cell r="X29" t="str">
            <v>Geg</v>
          </cell>
          <cell r="Y29" t="str">
            <v>Мај</v>
          </cell>
          <cell r="Z29" t="str">
            <v>Mej</v>
          </cell>
          <cell r="AA29" t="str">
            <v>Mai</v>
          </cell>
          <cell r="AB29" t="str">
            <v>می</v>
          </cell>
          <cell r="AC29" t="str">
            <v>Maj</v>
          </cell>
          <cell r="AD29" t="str">
            <v>Mai</v>
          </cell>
          <cell r="AE29" t="str">
            <v>Mai</v>
          </cell>
          <cell r="AF29" t="str">
            <v>Maj</v>
          </cell>
          <cell r="AG29" t="str">
            <v>Máj</v>
          </cell>
          <cell r="AH29" t="str">
            <v>Maj</v>
          </cell>
          <cell r="AI29" t="str">
            <v>May</v>
          </cell>
          <cell r="AJ29" t="str">
            <v>maj</v>
          </cell>
          <cell r="AK29" t="str">
            <v>พฤษภาคม</v>
          </cell>
          <cell r="AL29" t="str">
            <v>May</v>
          </cell>
          <cell r="AM29" t="str">
            <v>Tháng 5</v>
          </cell>
          <cell r="AN29" t="str">
            <v>Трав</v>
          </cell>
          <cell r="AO29" t="str">
            <v>مئی</v>
          </cell>
        </row>
        <row r="30">
          <cell r="A30" t="str">
            <v>Jun</v>
          </cell>
          <cell r="B30" t="str">
            <v>Qer</v>
          </cell>
          <cell r="C30" t="str">
            <v>حزيران</v>
          </cell>
          <cell r="D30" t="str">
            <v>Հունիս</v>
          </cell>
          <cell r="E30" t="str">
            <v>İyn</v>
          </cell>
          <cell r="F30" t="str">
            <v>Юни</v>
          </cell>
          <cell r="G30" t="str">
            <v>Jun</v>
          </cell>
          <cell r="H30" t="str">
            <v>六月</v>
          </cell>
          <cell r="I30" t="str">
            <v>Jun</v>
          </cell>
          <cell r="J30" t="str">
            <v>Lip</v>
          </cell>
          <cell r="K30" t="str">
            <v>Čer</v>
          </cell>
          <cell r="L30" t="str">
            <v>Jun</v>
          </cell>
          <cell r="M30" t="str">
            <v>Jun</v>
          </cell>
          <cell r="N30" t="str">
            <v>Juin</v>
          </cell>
          <cell r="O30" t="str">
            <v>ივნ</v>
          </cell>
          <cell r="P30" t="str">
            <v>Jun</v>
          </cell>
          <cell r="Q30" t="str">
            <v>Ιουν</v>
          </cell>
          <cell r="R30" t="str">
            <v>יוני</v>
          </cell>
          <cell r="S30" t="str">
            <v>Jún</v>
          </cell>
          <cell r="T30" t="str">
            <v>Jun</v>
          </cell>
          <cell r="U30" t="str">
            <v>Jún</v>
          </cell>
          <cell r="V30" t="str">
            <v>Giu</v>
          </cell>
          <cell r="W30" t="str">
            <v>6월</v>
          </cell>
          <cell r="X30" t="str">
            <v>Birž</v>
          </cell>
          <cell r="Y30" t="str">
            <v>Јун</v>
          </cell>
          <cell r="Z30" t="str">
            <v>Ġun</v>
          </cell>
          <cell r="AA30" t="str">
            <v>Jun</v>
          </cell>
          <cell r="AB30" t="str">
            <v>ژوئن</v>
          </cell>
          <cell r="AC30" t="str">
            <v>Cze</v>
          </cell>
          <cell r="AD30" t="str">
            <v>Jun</v>
          </cell>
          <cell r="AE30" t="str">
            <v>Iun</v>
          </cell>
          <cell r="AF30" t="str">
            <v>Jun</v>
          </cell>
          <cell r="AG30" t="str">
            <v>Jún</v>
          </cell>
          <cell r="AH30" t="str">
            <v>Jun</v>
          </cell>
          <cell r="AI30" t="str">
            <v>Jun</v>
          </cell>
          <cell r="AJ30" t="str">
            <v>jun</v>
          </cell>
          <cell r="AK30" t="str">
            <v>มิถุนายน</v>
          </cell>
          <cell r="AL30" t="str">
            <v>Haz</v>
          </cell>
          <cell r="AM30" t="str">
            <v>Tháng 6</v>
          </cell>
          <cell r="AN30" t="str">
            <v>Черв</v>
          </cell>
          <cell r="AO30" t="str">
            <v>جون</v>
          </cell>
        </row>
        <row r="31">
          <cell r="A31" t="str">
            <v>Jul</v>
          </cell>
          <cell r="B31" t="str">
            <v>Kor</v>
          </cell>
          <cell r="C31" t="str">
            <v>تموز</v>
          </cell>
          <cell r="D31" t="str">
            <v>Հուլիս</v>
          </cell>
          <cell r="E31" t="str">
            <v>İyl</v>
          </cell>
          <cell r="F31" t="str">
            <v>Юли</v>
          </cell>
          <cell r="G31" t="str">
            <v>Jul</v>
          </cell>
          <cell r="H31" t="str">
            <v>七月</v>
          </cell>
          <cell r="I31" t="str">
            <v>Jul</v>
          </cell>
          <cell r="J31" t="str">
            <v>Srp</v>
          </cell>
          <cell r="K31" t="str">
            <v>Čec</v>
          </cell>
          <cell r="L31" t="str">
            <v>Jul</v>
          </cell>
          <cell r="M31" t="str">
            <v>Jul</v>
          </cell>
          <cell r="N31" t="str">
            <v>Juil</v>
          </cell>
          <cell r="O31" t="str">
            <v>ივლ</v>
          </cell>
          <cell r="P31" t="str">
            <v>Jul</v>
          </cell>
          <cell r="Q31" t="str">
            <v>Ιουλ</v>
          </cell>
          <cell r="R31" t="str">
            <v>יולי</v>
          </cell>
          <cell r="S31" t="str">
            <v>Júl</v>
          </cell>
          <cell r="T31" t="str">
            <v>Jul</v>
          </cell>
          <cell r="U31" t="str">
            <v>Júl</v>
          </cell>
          <cell r="V31" t="str">
            <v>Lug</v>
          </cell>
          <cell r="W31" t="str">
            <v>7월</v>
          </cell>
          <cell r="X31" t="str">
            <v>Lie</v>
          </cell>
          <cell r="Y31" t="str">
            <v>Јул</v>
          </cell>
          <cell r="Z31" t="str">
            <v>Lul</v>
          </cell>
          <cell r="AA31" t="str">
            <v>Jul</v>
          </cell>
          <cell r="AB31" t="str">
            <v>ژولای</v>
          </cell>
          <cell r="AC31" t="str">
            <v>Lip</v>
          </cell>
          <cell r="AD31" t="str">
            <v>Jul</v>
          </cell>
          <cell r="AE31" t="str">
            <v>Iul</v>
          </cell>
          <cell r="AF31" t="str">
            <v>Jul</v>
          </cell>
          <cell r="AG31" t="str">
            <v>Júl</v>
          </cell>
          <cell r="AH31" t="str">
            <v>Jul</v>
          </cell>
          <cell r="AI31" t="str">
            <v>Jul</v>
          </cell>
          <cell r="AJ31" t="str">
            <v>jul</v>
          </cell>
          <cell r="AK31" t="str">
            <v>กรกฎาคม</v>
          </cell>
          <cell r="AL31" t="str">
            <v>Tem</v>
          </cell>
          <cell r="AM31" t="str">
            <v>Tháng 7</v>
          </cell>
          <cell r="AN31" t="str">
            <v>Лип</v>
          </cell>
          <cell r="AO31" t="str">
            <v>جولائی</v>
          </cell>
        </row>
        <row r="32">
          <cell r="A32" t="str">
            <v>Aug</v>
          </cell>
          <cell r="B32" t="str">
            <v>Gus</v>
          </cell>
          <cell r="C32" t="str">
            <v>آب</v>
          </cell>
          <cell r="D32" t="str">
            <v>Օգոս.</v>
          </cell>
          <cell r="E32" t="str">
            <v>Avq</v>
          </cell>
          <cell r="F32" t="str">
            <v>Август</v>
          </cell>
          <cell r="G32" t="str">
            <v>Ago</v>
          </cell>
          <cell r="H32" t="str">
            <v>八月</v>
          </cell>
          <cell r="I32" t="str">
            <v>Aug</v>
          </cell>
          <cell r="J32" t="str">
            <v>Kol</v>
          </cell>
          <cell r="K32" t="str">
            <v>Aug</v>
          </cell>
          <cell r="L32" t="str">
            <v>Aug</v>
          </cell>
          <cell r="M32" t="str">
            <v>Aug</v>
          </cell>
          <cell r="N32" t="str">
            <v>Août</v>
          </cell>
          <cell r="O32" t="str">
            <v>აგვ</v>
          </cell>
          <cell r="P32" t="str">
            <v>Aug</v>
          </cell>
          <cell r="Q32" t="str">
            <v>Αυγ</v>
          </cell>
          <cell r="R32" t="str">
            <v>אוגוסט</v>
          </cell>
          <cell r="S32" t="str">
            <v>Aug</v>
          </cell>
          <cell r="T32" t="str">
            <v>Agu</v>
          </cell>
          <cell r="U32" t="str">
            <v>Ágú</v>
          </cell>
          <cell r="V32" t="str">
            <v>Ago</v>
          </cell>
          <cell r="W32" t="str">
            <v>8월</v>
          </cell>
          <cell r="X32" t="str">
            <v>Rugp</v>
          </cell>
          <cell r="Y32" t="str">
            <v>Авг</v>
          </cell>
          <cell r="Z32" t="str">
            <v>Aww</v>
          </cell>
          <cell r="AA32" t="str">
            <v>Aug</v>
          </cell>
          <cell r="AB32" t="str">
            <v>اگوست</v>
          </cell>
          <cell r="AC32" t="str">
            <v>Się</v>
          </cell>
          <cell r="AD32" t="str">
            <v>Ago</v>
          </cell>
          <cell r="AE32" t="str">
            <v>Aug</v>
          </cell>
          <cell r="AF32" t="str">
            <v>Avg</v>
          </cell>
          <cell r="AG32" t="str">
            <v>Aug</v>
          </cell>
          <cell r="AH32" t="str">
            <v>Avg</v>
          </cell>
          <cell r="AI32" t="str">
            <v>Ago</v>
          </cell>
          <cell r="AJ32" t="str">
            <v>Aug</v>
          </cell>
          <cell r="AK32" t="str">
            <v>สิงหาคม</v>
          </cell>
          <cell r="AL32" t="str">
            <v>Ağu</v>
          </cell>
          <cell r="AM32" t="str">
            <v>Tháng 8</v>
          </cell>
          <cell r="AN32" t="str">
            <v>Серп</v>
          </cell>
          <cell r="AO32" t="str">
            <v>اگست</v>
          </cell>
        </row>
        <row r="33">
          <cell r="A33" t="str">
            <v>Sep</v>
          </cell>
          <cell r="B33" t="str">
            <v>Shta</v>
          </cell>
          <cell r="C33" t="str">
            <v>أيلول</v>
          </cell>
          <cell r="D33" t="str">
            <v>Սեպտ.</v>
          </cell>
          <cell r="E33" t="str">
            <v>Sen</v>
          </cell>
          <cell r="F33" t="str">
            <v>Септември</v>
          </cell>
          <cell r="G33" t="str">
            <v>Set</v>
          </cell>
          <cell r="H33" t="str">
            <v>九月</v>
          </cell>
          <cell r="I33" t="str">
            <v>Sep</v>
          </cell>
          <cell r="J33" t="str">
            <v>Ruj</v>
          </cell>
          <cell r="K33" t="str">
            <v>Sep</v>
          </cell>
          <cell r="L33" t="str">
            <v>Sep</v>
          </cell>
          <cell r="M33" t="str">
            <v>Sep</v>
          </cell>
          <cell r="N33" t="str">
            <v>Sept</v>
          </cell>
          <cell r="O33" t="str">
            <v>სექ</v>
          </cell>
          <cell r="P33" t="str">
            <v>Sep</v>
          </cell>
          <cell r="Q33" t="str">
            <v>Σεπ</v>
          </cell>
          <cell r="R33" t="str">
            <v>ספטמבר</v>
          </cell>
          <cell r="S33" t="str">
            <v>Szep</v>
          </cell>
          <cell r="T33" t="str">
            <v>Sep</v>
          </cell>
          <cell r="U33" t="str">
            <v>Sep</v>
          </cell>
          <cell r="V33" t="str">
            <v>Set</v>
          </cell>
          <cell r="W33" t="str">
            <v>9월</v>
          </cell>
          <cell r="X33" t="str">
            <v>Rugs</v>
          </cell>
          <cell r="Y33" t="str">
            <v>Сеп</v>
          </cell>
          <cell r="Z33" t="str">
            <v>Set</v>
          </cell>
          <cell r="AA33" t="str">
            <v>Sep</v>
          </cell>
          <cell r="AB33" t="str">
            <v>سپتامبر</v>
          </cell>
          <cell r="AC33" t="str">
            <v>Wrz</v>
          </cell>
          <cell r="AD33" t="str">
            <v>Set</v>
          </cell>
          <cell r="AE33" t="str">
            <v>Sep</v>
          </cell>
          <cell r="AF33" t="str">
            <v>Sep</v>
          </cell>
          <cell r="AG33" t="str">
            <v>Sep</v>
          </cell>
          <cell r="AH33" t="str">
            <v>Sep</v>
          </cell>
          <cell r="AI33" t="str">
            <v>Sep</v>
          </cell>
          <cell r="AJ33" t="str">
            <v>sep</v>
          </cell>
          <cell r="AK33" t="str">
            <v>กันยายน</v>
          </cell>
          <cell r="AL33" t="str">
            <v>Eyl</v>
          </cell>
          <cell r="AM33" t="str">
            <v>Tháng 9</v>
          </cell>
          <cell r="AN33" t="str">
            <v>Вер</v>
          </cell>
          <cell r="AO33" t="str">
            <v>ستمبر</v>
          </cell>
        </row>
        <row r="34">
          <cell r="A34" t="str">
            <v>Oct</v>
          </cell>
          <cell r="B34" t="str">
            <v>Tet</v>
          </cell>
          <cell r="C34" t="str">
            <v>تشرين أول</v>
          </cell>
          <cell r="D34" t="str">
            <v>Հոկտ.</v>
          </cell>
          <cell r="E34" t="str">
            <v>Okt</v>
          </cell>
          <cell r="F34" t="str">
            <v>Октомври</v>
          </cell>
          <cell r="G34" t="str">
            <v>Oct</v>
          </cell>
          <cell r="H34" t="str">
            <v>十月</v>
          </cell>
          <cell r="I34" t="str">
            <v>Oct</v>
          </cell>
          <cell r="J34" t="str">
            <v>Lis</v>
          </cell>
          <cell r="K34" t="str">
            <v>Oct</v>
          </cell>
          <cell r="L34" t="str">
            <v>Okt</v>
          </cell>
          <cell r="M34" t="str">
            <v>Okt</v>
          </cell>
          <cell r="N34" t="str">
            <v>Oct</v>
          </cell>
          <cell r="O34" t="str">
            <v>ოქტ</v>
          </cell>
          <cell r="P34" t="str">
            <v>Okt</v>
          </cell>
          <cell r="Q34" t="str">
            <v>Οκτ</v>
          </cell>
          <cell r="R34" t="str">
            <v>אוקטובר</v>
          </cell>
          <cell r="S34" t="str">
            <v>Okt</v>
          </cell>
          <cell r="T34" t="str">
            <v>Okt</v>
          </cell>
          <cell r="U34" t="str">
            <v>Okt</v>
          </cell>
          <cell r="V34" t="str">
            <v>Ott</v>
          </cell>
          <cell r="W34" t="str">
            <v>10월</v>
          </cell>
          <cell r="X34" t="str">
            <v>Spa</v>
          </cell>
          <cell r="Y34" t="str">
            <v>Окт</v>
          </cell>
          <cell r="Z34" t="str">
            <v>Ott</v>
          </cell>
          <cell r="AA34" t="str">
            <v>Okt</v>
          </cell>
          <cell r="AB34" t="str">
            <v>اکتبر</v>
          </cell>
          <cell r="AC34" t="str">
            <v>Paź</v>
          </cell>
          <cell r="AD34" t="str">
            <v>Out</v>
          </cell>
          <cell r="AE34" t="str">
            <v>Oct</v>
          </cell>
          <cell r="AF34" t="str">
            <v>Okt</v>
          </cell>
          <cell r="AG34" t="str">
            <v>Okt</v>
          </cell>
          <cell r="AH34" t="str">
            <v>Oct</v>
          </cell>
          <cell r="AI34" t="str">
            <v>Oct</v>
          </cell>
          <cell r="AJ34" t="str">
            <v>okt</v>
          </cell>
          <cell r="AK34" t="str">
            <v>ตุลาคม</v>
          </cell>
          <cell r="AL34" t="str">
            <v>Eki</v>
          </cell>
          <cell r="AM34" t="str">
            <v>Tháng 10</v>
          </cell>
          <cell r="AN34" t="str">
            <v>Жовт</v>
          </cell>
          <cell r="AO34" t="str">
            <v>اکتوبر</v>
          </cell>
        </row>
        <row r="35">
          <cell r="A35" t="str">
            <v>Nov</v>
          </cell>
          <cell r="B35" t="str">
            <v>Nën</v>
          </cell>
          <cell r="C35" t="str">
            <v>تشرين ثاني</v>
          </cell>
          <cell r="D35" t="str">
            <v>Նոյեմ.</v>
          </cell>
          <cell r="E35" t="str">
            <v>Noy</v>
          </cell>
          <cell r="F35" t="str">
            <v>Ноември</v>
          </cell>
          <cell r="G35" t="str">
            <v>Nov</v>
          </cell>
          <cell r="H35" t="str">
            <v>十一月</v>
          </cell>
          <cell r="I35" t="str">
            <v>Nov</v>
          </cell>
          <cell r="J35" t="str">
            <v>Stu</v>
          </cell>
          <cell r="K35" t="str">
            <v>Nov</v>
          </cell>
          <cell r="L35" t="str">
            <v>Nov</v>
          </cell>
          <cell r="M35" t="str">
            <v>Nov</v>
          </cell>
          <cell r="N35" t="str">
            <v>Nov</v>
          </cell>
          <cell r="O35" t="str">
            <v>ნოე</v>
          </cell>
          <cell r="P35" t="str">
            <v>Nov</v>
          </cell>
          <cell r="Q35" t="str">
            <v>Νοε</v>
          </cell>
          <cell r="R35" t="str">
            <v>נובמבר</v>
          </cell>
          <cell r="S35" t="str">
            <v>Nov</v>
          </cell>
          <cell r="T35" t="str">
            <v>Nop</v>
          </cell>
          <cell r="U35" t="str">
            <v>Nóv</v>
          </cell>
          <cell r="V35" t="str">
            <v>Nov</v>
          </cell>
          <cell r="W35" t="str">
            <v>11월</v>
          </cell>
          <cell r="X35" t="str">
            <v>Lapk</v>
          </cell>
          <cell r="Y35" t="str">
            <v>Ное</v>
          </cell>
          <cell r="Z35" t="str">
            <v>Nov</v>
          </cell>
          <cell r="AA35" t="str">
            <v>Nov</v>
          </cell>
          <cell r="AB35" t="str">
            <v>نوامبر</v>
          </cell>
          <cell r="AC35" t="str">
            <v>Lis</v>
          </cell>
          <cell r="AD35" t="str">
            <v>Nov</v>
          </cell>
          <cell r="AE35" t="str">
            <v>Noi</v>
          </cell>
          <cell r="AF35" t="str">
            <v>Nov</v>
          </cell>
          <cell r="AG35" t="str">
            <v>Nov</v>
          </cell>
          <cell r="AH35" t="str">
            <v>Nov</v>
          </cell>
          <cell r="AI35" t="str">
            <v>Nov</v>
          </cell>
          <cell r="AJ35" t="str">
            <v>nov</v>
          </cell>
          <cell r="AK35" t="str">
            <v>พฤศจิกายน</v>
          </cell>
          <cell r="AL35" t="str">
            <v>Kas</v>
          </cell>
          <cell r="AM35" t="str">
            <v>Tháng 11</v>
          </cell>
          <cell r="AN35" t="str">
            <v>Лист</v>
          </cell>
          <cell r="AO35" t="str">
            <v>نومبر</v>
          </cell>
        </row>
        <row r="36">
          <cell r="A36" t="str">
            <v>Dec</v>
          </cell>
          <cell r="B36" t="str">
            <v>Dhj</v>
          </cell>
          <cell r="C36" t="str">
            <v>كانون أول</v>
          </cell>
          <cell r="D36" t="str">
            <v>Դեկտ.</v>
          </cell>
          <cell r="E36" t="str">
            <v>Dek</v>
          </cell>
          <cell r="F36" t="str">
            <v>Декември</v>
          </cell>
          <cell r="G36" t="str">
            <v>Des</v>
          </cell>
          <cell r="H36" t="str">
            <v>十二月</v>
          </cell>
          <cell r="I36" t="str">
            <v>Dec</v>
          </cell>
          <cell r="J36" t="str">
            <v>Pro</v>
          </cell>
          <cell r="K36" t="str">
            <v>Dec</v>
          </cell>
          <cell r="L36" t="str">
            <v>Dec</v>
          </cell>
          <cell r="M36" t="str">
            <v>Dec</v>
          </cell>
          <cell r="N36" t="str">
            <v>Déc</v>
          </cell>
          <cell r="O36" t="str">
            <v>დეკ</v>
          </cell>
          <cell r="P36" t="str">
            <v>Dez</v>
          </cell>
          <cell r="Q36" t="str">
            <v>Δεκ</v>
          </cell>
          <cell r="R36" t="str">
            <v>דצמבר</v>
          </cell>
          <cell r="S36" t="str">
            <v>Dec</v>
          </cell>
          <cell r="T36" t="str">
            <v>Des</v>
          </cell>
          <cell r="U36" t="str">
            <v>Des</v>
          </cell>
          <cell r="V36" t="str">
            <v>Dic</v>
          </cell>
          <cell r="W36" t="str">
            <v>12월</v>
          </cell>
          <cell r="X36" t="str">
            <v>Gruo</v>
          </cell>
          <cell r="Y36" t="str">
            <v>Дек</v>
          </cell>
          <cell r="Z36" t="str">
            <v>Deċ</v>
          </cell>
          <cell r="AA36" t="str">
            <v>Des</v>
          </cell>
          <cell r="AB36" t="str">
            <v>دسامبر</v>
          </cell>
          <cell r="AC36" t="str">
            <v>Gru</v>
          </cell>
          <cell r="AD36" t="str">
            <v>Dez</v>
          </cell>
          <cell r="AE36" t="str">
            <v>Dec</v>
          </cell>
          <cell r="AF36" t="str">
            <v>Dec</v>
          </cell>
          <cell r="AG36" t="str">
            <v>Dec</v>
          </cell>
          <cell r="AH36" t="str">
            <v>Dec</v>
          </cell>
          <cell r="AI36" t="str">
            <v>Dic</v>
          </cell>
          <cell r="AJ36" t="str">
            <v>dec</v>
          </cell>
          <cell r="AK36" t="str">
            <v>ธันวาคม</v>
          </cell>
          <cell r="AL36" t="str">
            <v>Ara</v>
          </cell>
          <cell r="AM36" t="str">
            <v>Tháng 12</v>
          </cell>
          <cell r="AN36" t="str">
            <v>Груд</v>
          </cell>
          <cell r="AO36" t="str">
            <v>دسمبر</v>
          </cell>
        </row>
        <row r="37">
          <cell r="A37" t="str">
            <v>Team</v>
          </cell>
          <cell r="B37" t="str">
            <v>Ekipi</v>
          </cell>
          <cell r="C37" t="str">
            <v>المنتخب</v>
          </cell>
          <cell r="D37" t="str">
            <v>Հավաքական</v>
          </cell>
          <cell r="E37" t="str">
            <v>Komanda</v>
          </cell>
          <cell r="F37" t="str">
            <v>Отбор</v>
          </cell>
          <cell r="G37" t="str">
            <v>Equip</v>
          </cell>
          <cell r="H37" t="str">
            <v>球队</v>
          </cell>
          <cell r="I37" t="str">
            <v>隊伍</v>
          </cell>
          <cell r="J37" t="str">
            <v>Team</v>
          </cell>
          <cell r="K37" t="str">
            <v>Team</v>
          </cell>
          <cell r="L37" t="str">
            <v>Hold</v>
          </cell>
          <cell r="M37" t="str">
            <v>Team</v>
          </cell>
          <cell r="N37" t="str">
            <v>Équipe</v>
          </cell>
          <cell r="O37" t="str">
            <v>ნაკრები</v>
          </cell>
          <cell r="P37" t="str">
            <v>Team</v>
          </cell>
          <cell r="Q37" t="str">
            <v>Ομάδα</v>
          </cell>
          <cell r="R37" t="str">
            <v>קבוצה</v>
          </cell>
          <cell r="S37" t="str">
            <v>Csapat</v>
          </cell>
          <cell r="T37" t="str">
            <v>Tim</v>
          </cell>
          <cell r="U37" t="str">
            <v>Lið</v>
          </cell>
          <cell r="V37" t="str">
            <v>Squadra</v>
          </cell>
          <cell r="W37" t="str">
            <v>팀</v>
          </cell>
          <cell r="X37" t="str">
            <v>Komanda</v>
          </cell>
          <cell r="Y37" t="str">
            <v>Тим</v>
          </cell>
          <cell r="Z37" t="str">
            <v>Tim</v>
          </cell>
          <cell r="AA37" t="str">
            <v>Lag</v>
          </cell>
          <cell r="AB37" t="str">
            <v>تیم</v>
          </cell>
          <cell r="AC37" t="str">
            <v>Drużyna</v>
          </cell>
          <cell r="AD37" t="str">
            <v>Equipa</v>
          </cell>
          <cell r="AE37" t="str">
            <v>Echipa</v>
          </cell>
          <cell r="AF37" t="str">
            <v>Reprezentacija</v>
          </cell>
          <cell r="AG37" t="str">
            <v>Mužstvo</v>
          </cell>
          <cell r="AH37" t="str">
            <v>Moštvo</v>
          </cell>
          <cell r="AI37" t="str">
            <v>Equipo</v>
          </cell>
          <cell r="AJ37" t="str">
            <v>Lag</v>
          </cell>
          <cell r="AK37" t="str">
            <v>ทึม</v>
          </cell>
          <cell r="AL37" t="str">
            <v>Takım</v>
          </cell>
          <cell r="AM37" t="str">
            <v>Đội</v>
          </cell>
          <cell r="AN37" t="str">
            <v>Команда</v>
          </cell>
          <cell r="AO37" t="str">
            <v>ٹیم</v>
          </cell>
        </row>
        <row r="38">
          <cell r="A38" t="str">
            <v>Albania</v>
          </cell>
          <cell r="B38" t="str">
            <v>Shqipëri</v>
          </cell>
          <cell r="C38" t="str">
            <v>ألبانيا</v>
          </cell>
          <cell r="D38" t="str">
            <v>Ալբանիա</v>
          </cell>
          <cell r="E38" t="str">
            <v>Albaniya</v>
          </cell>
          <cell r="F38" t="str">
            <v>Албания</v>
          </cell>
          <cell r="G38" t="str">
            <v>Albània</v>
          </cell>
          <cell r="H38" t="str">
            <v>阿尔巴尼亚</v>
          </cell>
          <cell r="I38" t="str">
            <v>阿爾巴尼亞</v>
          </cell>
          <cell r="J38" t="str">
            <v>Albanija</v>
          </cell>
          <cell r="K38" t="str">
            <v>Albánie</v>
          </cell>
          <cell r="L38" t="str">
            <v>Albanien</v>
          </cell>
          <cell r="M38" t="str">
            <v>Albanië</v>
          </cell>
          <cell r="N38" t="str">
            <v>Albanie</v>
          </cell>
          <cell r="O38" t="str">
            <v>Albania</v>
          </cell>
          <cell r="P38" t="str">
            <v>Albanien</v>
          </cell>
          <cell r="Q38" t="str">
            <v>Αλβανία</v>
          </cell>
          <cell r="R38" t="str">
            <v>אלבניה</v>
          </cell>
          <cell r="S38" t="str">
            <v>Albánia</v>
          </cell>
          <cell r="T38" t="str">
            <v>Albania</v>
          </cell>
          <cell r="U38" t="str">
            <v>Albanía</v>
          </cell>
          <cell r="V38" t="str">
            <v>Albania</v>
          </cell>
          <cell r="W38" t="str">
            <v>알바니아</v>
          </cell>
          <cell r="X38" t="str">
            <v>Albanija</v>
          </cell>
          <cell r="Y38" t="str">
            <v>Албанија</v>
          </cell>
          <cell r="Z38" t="str">
            <v>Albanija</v>
          </cell>
          <cell r="AA38" t="str">
            <v>Albania</v>
          </cell>
          <cell r="AB38" t="str">
            <v>آلبانی</v>
          </cell>
          <cell r="AC38" t="str">
            <v>Albania</v>
          </cell>
          <cell r="AD38" t="str">
            <v>Albânia</v>
          </cell>
          <cell r="AE38" t="str">
            <v>Albania</v>
          </cell>
          <cell r="AF38" t="str">
            <v>Албанија</v>
          </cell>
          <cell r="AG38" t="str">
            <v>Albánsko</v>
          </cell>
          <cell r="AH38" t="str">
            <v>Albanija</v>
          </cell>
          <cell r="AI38" t="str">
            <v>Albania</v>
          </cell>
          <cell r="AJ38" t="str">
            <v>albanien</v>
          </cell>
          <cell r="AK38" t="str">
            <v>แอลเบเนีย</v>
          </cell>
          <cell r="AL38" t="str">
            <v>Arnavutluk</v>
          </cell>
          <cell r="AM38" t="str">
            <v>Albania</v>
          </cell>
          <cell r="AN38" t="str">
            <v>Албанія</v>
          </cell>
          <cell r="AO38" t="str">
            <v>البانیا</v>
          </cell>
        </row>
        <row r="39">
          <cell r="A39" t="str">
            <v>Romania</v>
          </cell>
          <cell r="B39" t="str">
            <v>Rumani</v>
          </cell>
          <cell r="C39" t="str">
            <v>رومانيا</v>
          </cell>
          <cell r="D39" t="str">
            <v>Ռումինիա</v>
          </cell>
          <cell r="E39" t="str">
            <v>Rumıniya</v>
          </cell>
          <cell r="F39" t="str">
            <v>Румъния</v>
          </cell>
          <cell r="G39" t="str">
            <v>Romania</v>
          </cell>
          <cell r="H39" t="str">
            <v>罗马尼亚</v>
          </cell>
          <cell r="I39" t="str">
            <v>羅馬尼亞</v>
          </cell>
          <cell r="J39" t="str">
            <v>Rumunija</v>
          </cell>
          <cell r="K39" t="str">
            <v>Rumunsko</v>
          </cell>
          <cell r="L39" t="str">
            <v>Rumænien</v>
          </cell>
          <cell r="M39" t="str">
            <v>Roemenië</v>
          </cell>
          <cell r="N39" t="str">
            <v>Roumanie</v>
          </cell>
          <cell r="O39" t="str">
            <v>რუმინეთი</v>
          </cell>
          <cell r="P39" t="str">
            <v>Rumänien</v>
          </cell>
          <cell r="Q39" t="str">
            <v>Ρουμανία</v>
          </cell>
          <cell r="R39" t="str">
            <v>רומני</v>
          </cell>
          <cell r="S39" t="str">
            <v>Románia</v>
          </cell>
          <cell r="T39" t="str">
            <v>Rumania</v>
          </cell>
          <cell r="U39" t="str">
            <v>rúmenía</v>
          </cell>
          <cell r="V39" t="str">
            <v>Romania</v>
          </cell>
          <cell r="W39" t="str">
            <v>루마니아</v>
          </cell>
          <cell r="X39" t="str">
            <v>Rumunija</v>
          </cell>
          <cell r="Y39" t="str">
            <v>Романија</v>
          </cell>
          <cell r="Z39" t="str">
            <v>Ir-Rumanija</v>
          </cell>
          <cell r="AA39" t="str">
            <v>Romania</v>
          </cell>
          <cell r="AB39" t="str">
            <v>رومانی</v>
          </cell>
          <cell r="AC39" t="str">
            <v>Rumunia</v>
          </cell>
          <cell r="AD39" t="str">
            <v>Romênia</v>
          </cell>
          <cell r="AE39" t="str">
            <v>România</v>
          </cell>
          <cell r="AF39" t="str">
            <v>Румунија</v>
          </cell>
          <cell r="AG39" t="str">
            <v>Rumunsko</v>
          </cell>
          <cell r="AH39" t="str">
            <v>Romunija</v>
          </cell>
          <cell r="AI39" t="str">
            <v>Rumania</v>
          </cell>
          <cell r="AJ39" t="str">
            <v>rumänien</v>
          </cell>
          <cell r="AK39" t="str">
            <v>โรมาเนีย</v>
          </cell>
          <cell r="AL39" t="str">
            <v>Romanya</v>
          </cell>
          <cell r="AM39" t="str">
            <v>Romania</v>
          </cell>
          <cell r="AN39" t="str">
            <v>Румунія</v>
          </cell>
          <cell r="AO39" t="str">
            <v>رومانیہ</v>
          </cell>
        </row>
        <row r="40">
          <cell r="A40" t="str">
            <v>Spain</v>
          </cell>
          <cell r="B40" t="str">
            <v>Spanjë</v>
          </cell>
          <cell r="C40" t="str">
            <v>إسبانيا</v>
          </cell>
          <cell r="D40" t="str">
            <v>Իսպանիա</v>
          </cell>
          <cell r="E40" t="str">
            <v>İspaniya</v>
          </cell>
          <cell r="F40" t="str">
            <v>Испания</v>
          </cell>
          <cell r="G40" t="str">
            <v>Espanya</v>
          </cell>
          <cell r="H40" t="str">
            <v>西班牙</v>
          </cell>
          <cell r="I40" t="str">
            <v>西班牙</v>
          </cell>
          <cell r="J40" t="str">
            <v>Španjolska</v>
          </cell>
          <cell r="K40" t="str">
            <v>Španělsko</v>
          </cell>
          <cell r="L40" t="str">
            <v>Spanien</v>
          </cell>
          <cell r="M40" t="str">
            <v>Spanje</v>
          </cell>
          <cell r="N40" t="str">
            <v>Espagne</v>
          </cell>
          <cell r="O40" t="str">
            <v>ესპანეთში</v>
          </cell>
          <cell r="P40" t="str">
            <v>Spanien</v>
          </cell>
          <cell r="Q40" t="str">
            <v>Ισπανία</v>
          </cell>
          <cell r="R40" t="str">
            <v>ספרד</v>
          </cell>
          <cell r="S40" t="str">
            <v>Spanyolország</v>
          </cell>
          <cell r="T40" t="str">
            <v>Spanyol</v>
          </cell>
          <cell r="U40" t="str">
            <v>spain</v>
          </cell>
          <cell r="V40" t="str">
            <v>Spagna</v>
          </cell>
          <cell r="W40" t="str">
            <v>스페인</v>
          </cell>
          <cell r="X40" t="str">
            <v>Ispanija</v>
          </cell>
          <cell r="Y40" t="str">
            <v>Шпанија</v>
          </cell>
          <cell r="Z40" t="str">
            <v>Spanja</v>
          </cell>
          <cell r="AA40" t="str">
            <v>Spania</v>
          </cell>
          <cell r="AB40" t="str">
            <v>کشور اسپانیا</v>
          </cell>
          <cell r="AC40" t="str">
            <v>Hiszpania</v>
          </cell>
          <cell r="AD40" t="str">
            <v>Espanha</v>
          </cell>
          <cell r="AE40" t="str">
            <v>Spania</v>
          </cell>
          <cell r="AF40" t="str">
            <v>Шпанија</v>
          </cell>
          <cell r="AG40" t="str">
            <v>španielsko</v>
          </cell>
          <cell r="AH40" t="str">
            <v>Španija</v>
          </cell>
          <cell r="AI40" t="str">
            <v>España</v>
          </cell>
          <cell r="AJ40" t="str">
            <v>Spanien</v>
          </cell>
          <cell r="AK40" t="str">
            <v>สเปน</v>
          </cell>
          <cell r="AL40" t="str">
            <v>İspanya</v>
          </cell>
          <cell r="AM40" t="str">
            <v>Tây ban nha</v>
          </cell>
          <cell r="AN40" t="str">
            <v>Іспанія</v>
          </cell>
          <cell r="AO40" t="str">
            <v>سپین</v>
          </cell>
        </row>
        <row r="41">
          <cell r="A41" t="str">
            <v>Italy</v>
          </cell>
          <cell r="B41" t="str">
            <v>Itali</v>
          </cell>
          <cell r="C41" t="str">
            <v>إيطاليا</v>
          </cell>
          <cell r="D41" t="str">
            <v>Իտալիա</v>
          </cell>
          <cell r="E41" t="str">
            <v>İtaliya</v>
          </cell>
          <cell r="F41" t="str">
            <v>Италия</v>
          </cell>
          <cell r="G41" t="str">
            <v>Itàlia</v>
          </cell>
          <cell r="H41" t="str">
            <v>意大利</v>
          </cell>
          <cell r="I41" t="str">
            <v>意大利</v>
          </cell>
          <cell r="J41" t="str">
            <v>Italija</v>
          </cell>
          <cell r="K41" t="str">
            <v>Itálie</v>
          </cell>
          <cell r="L41" t="str">
            <v>Italien</v>
          </cell>
          <cell r="M41" t="str">
            <v>Italië</v>
          </cell>
          <cell r="N41" t="str">
            <v>Italie</v>
          </cell>
          <cell r="O41" t="str">
            <v>იტალიაში</v>
          </cell>
          <cell r="P41" t="str">
            <v>Italien</v>
          </cell>
          <cell r="Q41" t="str">
            <v>Ιταλία</v>
          </cell>
          <cell r="R41" t="str">
            <v>איטליה</v>
          </cell>
          <cell r="S41" t="str">
            <v>Olaszország</v>
          </cell>
          <cell r="T41" t="str">
            <v>Italia</v>
          </cell>
          <cell r="U41" t="str">
            <v>Italy</v>
          </cell>
          <cell r="V41" t="str">
            <v>Italia</v>
          </cell>
          <cell r="W41" t="str">
            <v>이탈리아</v>
          </cell>
          <cell r="X41" t="str">
            <v>Italija</v>
          </cell>
          <cell r="Y41" t="str">
            <v>Италија</v>
          </cell>
          <cell r="Z41" t="str">
            <v>Italja</v>
          </cell>
          <cell r="AA41" t="str">
            <v>Italia</v>
          </cell>
          <cell r="AB41" t="str">
            <v>ایتالیا</v>
          </cell>
          <cell r="AC41" t="str">
            <v>Włochy</v>
          </cell>
          <cell r="AD41" t="str">
            <v>Itália</v>
          </cell>
          <cell r="AE41" t="str">
            <v>Italia</v>
          </cell>
          <cell r="AF41" t="str">
            <v>Италија</v>
          </cell>
          <cell r="AG41" t="str">
            <v>taliansko</v>
          </cell>
          <cell r="AH41" t="str">
            <v>Italija</v>
          </cell>
          <cell r="AI41" t="str">
            <v>Italia</v>
          </cell>
          <cell r="AJ41" t="str">
            <v>Italien</v>
          </cell>
          <cell r="AK41" t="str">
            <v>อิตาลี</v>
          </cell>
          <cell r="AL41" t="str">
            <v>İtalya</v>
          </cell>
          <cell r="AM41" t="str">
            <v>Ý</v>
          </cell>
          <cell r="AN41" t="str">
            <v>Італія</v>
          </cell>
          <cell r="AO41" t="str">
            <v>اٹلی</v>
          </cell>
        </row>
        <row r="42">
          <cell r="A42" t="str">
            <v>Portugal</v>
          </cell>
          <cell r="B42" t="str">
            <v>Portugali</v>
          </cell>
          <cell r="C42" t="str">
            <v>البرتغال</v>
          </cell>
          <cell r="D42" t="str">
            <v>Պորտուգալիա</v>
          </cell>
          <cell r="E42" t="str">
            <v>Portuqaliya</v>
          </cell>
          <cell r="F42" t="str">
            <v>Португалия</v>
          </cell>
          <cell r="G42" t="str">
            <v>Portugal</v>
          </cell>
          <cell r="H42" t="str">
            <v>葡萄牙</v>
          </cell>
          <cell r="I42" t="str">
            <v>葡萄牙</v>
          </cell>
          <cell r="J42" t="str">
            <v>Portugalija</v>
          </cell>
          <cell r="K42" t="str">
            <v>Portugalsko</v>
          </cell>
          <cell r="L42" t="str">
            <v>Portugal</v>
          </cell>
          <cell r="M42" t="str">
            <v>Portugal</v>
          </cell>
          <cell r="N42" t="str">
            <v>Portugal</v>
          </cell>
          <cell r="O42" t="str">
            <v>პორტუგალიის</v>
          </cell>
          <cell r="P42" t="str">
            <v>Portugal</v>
          </cell>
          <cell r="Q42" t="str">
            <v>Πορτογαλία</v>
          </cell>
          <cell r="R42" t="str">
            <v>פורטוגל</v>
          </cell>
          <cell r="S42" t="str">
            <v>Portugália</v>
          </cell>
          <cell r="T42" t="str">
            <v>Portugal</v>
          </cell>
          <cell r="U42" t="str">
            <v>Portugal</v>
          </cell>
          <cell r="V42" t="str">
            <v>Portogallo</v>
          </cell>
          <cell r="W42" t="str">
            <v>포르투갈</v>
          </cell>
          <cell r="X42" t="str">
            <v>Portugalija</v>
          </cell>
          <cell r="Y42" t="str">
            <v>Португалија</v>
          </cell>
          <cell r="Z42" t="str">
            <v>Portugall</v>
          </cell>
          <cell r="AA42" t="str">
            <v>Portugal</v>
          </cell>
          <cell r="AB42" t="str">
            <v>پرتغال</v>
          </cell>
          <cell r="AC42" t="str">
            <v>Portugalia</v>
          </cell>
          <cell r="AD42" t="str">
            <v>Portugal</v>
          </cell>
          <cell r="AE42" t="str">
            <v>Portugalia</v>
          </cell>
          <cell r="AF42" t="str">
            <v>Португалија</v>
          </cell>
          <cell r="AG42" t="str">
            <v>Portugalsko</v>
          </cell>
          <cell r="AH42" t="str">
            <v>Portugalska</v>
          </cell>
          <cell r="AI42" t="str">
            <v>Portugal</v>
          </cell>
          <cell r="AJ42" t="str">
            <v>Portugal</v>
          </cell>
          <cell r="AK42" t="str">
            <v>โปรตุเกส</v>
          </cell>
          <cell r="AL42" t="str">
            <v>Portekiz</v>
          </cell>
          <cell r="AM42" t="str">
            <v>Bồ Đào Nha</v>
          </cell>
          <cell r="AN42" t="str">
            <v>Португалія</v>
          </cell>
          <cell r="AO42" t="str">
            <v>پرتگال</v>
          </cell>
        </row>
        <row r="43">
          <cell r="A43" t="str">
            <v>Hungary</v>
          </cell>
          <cell r="B43" t="str">
            <v>Hungari</v>
          </cell>
          <cell r="C43" t="str">
            <v>هنغاريا</v>
          </cell>
          <cell r="D43" t="str">
            <v>Հունգարիա</v>
          </cell>
          <cell r="E43" t="str">
            <v>Macarıstan</v>
          </cell>
          <cell r="F43" t="str">
            <v>Унгария</v>
          </cell>
          <cell r="G43" t="str">
            <v>Hongria</v>
          </cell>
          <cell r="H43" t="str">
            <v>匈牙利</v>
          </cell>
          <cell r="I43" t="str">
            <v>匈牙利</v>
          </cell>
          <cell r="J43" t="str">
            <v>Mađarska</v>
          </cell>
          <cell r="K43" t="str">
            <v>Maďarsko</v>
          </cell>
          <cell r="L43" t="str">
            <v>Ungarn</v>
          </cell>
          <cell r="M43" t="str">
            <v>Hongarije</v>
          </cell>
          <cell r="N43" t="str">
            <v>Hongrie</v>
          </cell>
          <cell r="O43" t="str">
            <v>უნგრეთი</v>
          </cell>
          <cell r="P43" t="str">
            <v>Ungarn</v>
          </cell>
          <cell r="Q43" t="str">
            <v>Ουγγαρία</v>
          </cell>
          <cell r="R43" t="str">
            <v>הונגריה</v>
          </cell>
          <cell r="S43" t="str">
            <v>Magyarország</v>
          </cell>
          <cell r="T43" t="str">
            <v>Hongaria</v>
          </cell>
          <cell r="U43" t="str">
            <v>Ungverjaland</v>
          </cell>
          <cell r="V43" t="str">
            <v>Ungheria</v>
          </cell>
          <cell r="W43" t="str">
            <v>헝가리</v>
          </cell>
          <cell r="X43" t="str">
            <v>Vengrija</v>
          </cell>
          <cell r="Y43" t="str">
            <v>Унгарија</v>
          </cell>
          <cell r="Z43" t="str">
            <v>L-Ungerija</v>
          </cell>
          <cell r="AA43" t="str">
            <v>Ungarn</v>
          </cell>
          <cell r="AB43" t="str">
            <v>مجارستان</v>
          </cell>
          <cell r="AC43" t="str">
            <v>Węgry</v>
          </cell>
          <cell r="AD43" t="str">
            <v>Hungria</v>
          </cell>
          <cell r="AE43" t="str">
            <v>Ungaria</v>
          </cell>
          <cell r="AF43" t="str">
            <v>Мађарска</v>
          </cell>
          <cell r="AG43" t="str">
            <v>maďarsko</v>
          </cell>
          <cell r="AH43" t="str">
            <v>Madžarska</v>
          </cell>
          <cell r="AI43" t="str">
            <v>Hungría</v>
          </cell>
          <cell r="AJ43" t="str">
            <v>Ungern</v>
          </cell>
          <cell r="AK43" t="str">
            <v>ฮังการี</v>
          </cell>
          <cell r="AL43" t="str">
            <v>Macaristan</v>
          </cell>
          <cell r="AM43" t="str">
            <v>Hungary</v>
          </cell>
          <cell r="AN43" t="str">
            <v>Угорщина</v>
          </cell>
          <cell r="AO43" t="str">
            <v>ہنگری</v>
          </cell>
        </row>
        <row r="44">
          <cell r="A44" t="str">
            <v>Denmark</v>
          </cell>
          <cell r="B44" t="str">
            <v>Danimarkë</v>
          </cell>
          <cell r="C44" t="str">
            <v>الدنمارك</v>
          </cell>
          <cell r="D44" t="str">
            <v>Դանիա</v>
          </cell>
          <cell r="E44" t="str">
            <v>Danimarka</v>
          </cell>
          <cell r="F44" t="str">
            <v>Дания</v>
          </cell>
          <cell r="G44" t="str">
            <v>Dinamarca</v>
          </cell>
          <cell r="H44" t="str">
            <v>丹麦</v>
          </cell>
          <cell r="I44" t="str">
            <v>丹麥</v>
          </cell>
          <cell r="J44" t="str">
            <v>Danska</v>
          </cell>
          <cell r="K44" t="str">
            <v>Dánsko</v>
          </cell>
          <cell r="L44" t="str">
            <v>Danmark</v>
          </cell>
          <cell r="M44" t="str">
            <v>Denemarken</v>
          </cell>
          <cell r="N44" t="str">
            <v>Danemark</v>
          </cell>
          <cell r="O44" t="str">
            <v>დანია</v>
          </cell>
          <cell r="P44" t="str">
            <v>Dänemark</v>
          </cell>
          <cell r="Q44" t="str">
            <v>Δανία</v>
          </cell>
          <cell r="R44" t="str">
            <v>דנמרק</v>
          </cell>
          <cell r="S44" t="str">
            <v>Dánia</v>
          </cell>
          <cell r="T44" t="str">
            <v>Denmark</v>
          </cell>
          <cell r="U44" t="str">
            <v>Denmark</v>
          </cell>
          <cell r="V44" t="str">
            <v>Danimarca</v>
          </cell>
          <cell r="W44" t="str">
            <v>덴마크</v>
          </cell>
          <cell r="X44" t="str">
            <v>Danija</v>
          </cell>
          <cell r="Y44" t="str">
            <v>Данска</v>
          </cell>
          <cell r="Z44" t="str">
            <v>Id-Danimarka</v>
          </cell>
          <cell r="AA44" t="str">
            <v>Danmark</v>
          </cell>
          <cell r="AB44" t="str">
            <v>دانمارک</v>
          </cell>
          <cell r="AC44" t="str">
            <v>Dania</v>
          </cell>
          <cell r="AD44" t="str">
            <v>Dinamarca</v>
          </cell>
          <cell r="AE44" t="str">
            <v>Danemarca</v>
          </cell>
          <cell r="AF44" t="str">
            <v>Данска</v>
          </cell>
          <cell r="AG44" t="str">
            <v>Dánsko</v>
          </cell>
          <cell r="AH44" t="str">
            <v>Danska</v>
          </cell>
          <cell r="AI44" t="str">
            <v>Dinamarca</v>
          </cell>
          <cell r="AJ44" t="str">
            <v>Danmark</v>
          </cell>
          <cell r="AK44" t="str">
            <v>เดนมาร์ก</v>
          </cell>
          <cell r="AL44" t="str">
            <v>Danimarka</v>
          </cell>
          <cell r="AM44" t="str">
            <v>Đan MạCh</v>
          </cell>
          <cell r="AN44" t="str">
            <v>Данія</v>
          </cell>
          <cell r="AO44" t="str">
            <v>ڈنمارک</v>
          </cell>
        </row>
        <row r="45">
          <cell r="A45" t="str">
            <v>Ukraine</v>
          </cell>
          <cell r="B45" t="str">
            <v>Ukrainë</v>
          </cell>
          <cell r="C45" t="str">
            <v>أوكرانيا</v>
          </cell>
          <cell r="D45" t="str">
            <v>Ուկրաինան</v>
          </cell>
          <cell r="E45" t="str">
            <v>Ukrayna</v>
          </cell>
          <cell r="F45" t="str">
            <v>Украйна</v>
          </cell>
          <cell r="G45" t="str">
            <v>Ucraïna</v>
          </cell>
          <cell r="H45" t="str">
            <v>乌克兰</v>
          </cell>
          <cell r="I45" t="str">
            <v>烏克蘭</v>
          </cell>
          <cell r="J45" t="str">
            <v>Ukrajina</v>
          </cell>
          <cell r="K45" t="str">
            <v>Ukrajina</v>
          </cell>
          <cell r="L45" t="str">
            <v>Ukraine</v>
          </cell>
          <cell r="M45" t="str">
            <v>Oekraïne</v>
          </cell>
          <cell r="N45" t="str">
            <v>Ukraine</v>
          </cell>
          <cell r="O45" t="str">
            <v>უკრაინა</v>
          </cell>
          <cell r="P45" t="str">
            <v>Ukraine</v>
          </cell>
          <cell r="Q45" t="str">
            <v>Ουκρανία</v>
          </cell>
          <cell r="R45" t="str">
            <v>אוקראינה</v>
          </cell>
          <cell r="S45" t="str">
            <v>Ukrajna</v>
          </cell>
          <cell r="T45" t="str">
            <v>Ukraina</v>
          </cell>
          <cell r="U45" t="str">
            <v>Úkraína</v>
          </cell>
          <cell r="V45" t="str">
            <v>Ucraina</v>
          </cell>
          <cell r="W45" t="str">
            <v>우크라이나</v>
          </cell>
          <cell r="X45" t="str">
            <v>Ukraina</v>
          </cell>
          <cell r="Y45" t="str">
            <v>Украина</v>
          </cell>
          <cell r="Z45" t="str">
            <v>Ukraina</v>
          </cell>
          <cell r="AA45" t="str">
            <v>Ukraina</v>
          </cell>
          <cell r="AB45" t="str">
            <v>اوکراین</v>
          </cell>
          <cell r="AC45" t="str">
            <v>Ukraina</v>
          </cell>
          <cell r="AD45" t="str">
            <v>Ucrânia</v>
          </cell>
          <cell r="AE45" t="str">
            <v>Ucraina</v>
          </cell>
          <cell r="AF45" t="str">
            <v>Украјина</v>
          </cell>
          <cell r="AG45" t="str">
            <v>Ukrajina</v>
          </cell>
          <cell r="AH45" t="str">
            <v>Ukrajina</v>
          </cell>
          <cell r="AI45" t="str">
            <v>Ucrania</v>
          </cell>
          <cell r="AJ45" t="str">
            <v>Ukraina</v>
          </cell>
          <cell r="AK45" t="str">
            <v>ยูเครน</v>
          </cell>
          <cell r="AL45" t="str">
            <v>Ukrayna</v>
          </cell>
          <cell r="AM45" t="str">
            <v>Ukraina</v>
          </cell>
          <cell r="AN45" t="str">
            <v>Україна</v>
          </cell>
          <cell r="AO45" t="str">
            <v>یوکرائن</v>
          </cell>
        </row>
        <row r="46">
          <cell r="A46" t="str">
            <v>Turkey</v>
          </cell>
          <cell r="B46" t="str">
            <v>Turqi</v>
          </cell>
          <cell r="C46" t="str">
            <v>ديك رومي</v>
          </cell>
          <cell r="D46" t="str">
            <v>Turkey</v>
          </cell>
          <cell r="E46" t="str">
            <v>Turkey</v>
          </cell>
          <cell r="F46" t="str">
            <v>Турция</v>
          </cell>
          <cell r="G46" t="str">
            <v>Turquia</v>
          </cell>
          <cell r="H46" t="str">
            <v>火鸡</v>
          </cell>
          <cell r="I46" t="str">
            <v>火雞</v>
          </cell>
          <cell r="J46" t="str">
            <v>Turska</v>
          </cell>
          <cell r="K46" t="str">
            <v>Turecko</v>
          </cell>
          <cell r="L46" t="str">
            <v>Tyrkia</v>
          </cell>
          <cell r="M46" t="str">
            <v>Turkije</v>
          </cell>
          <cell r="N46" t="str">
            <v>Turquie</v>
          </cell>
          <cell r="O46" t="str">
            <v>თურქეთში</v>
          </cell>
          <cell r="P46" t="str">
            <v>Türkei</v>
          </cell>
          <cell r="Q46" t="str">
            <v>Turkey</v>
          </cell>
          <cell r="R46" t="str">
            <v>טורקיה</v>
          </cell>
          <cell r="S46" t="str">
            <v>Törökország</v>
          </cell>
          <cell r="T46" t="str">
            <v>Turki</v>
          </cell>
          <cell r="U46" t="str">
            <v>Tyrkland</v>
          </cell>
          <cell r="V46" t="str">
            <v>la Turchia</v>
          </cell>
          <cell r="W46" t="str">
            <v>터키</v>
          </cell>
          <cell r="X46" t="str">
            <v>Turkija</v>
          </cell>
          <cell r="Y46" t="str">
            <v>Турција</v>
          </cell>
          <cell r="Z46" t="str">
            <v>Turkija</v>
          </cell>
          <cell r="AA46" t="str">
            <v>Tyrkia</v>
          </cell>
          <cell r="AB46" t="str">
            <v>بوقلمون</v>
          </cell>
          <cell r="AC46" t="str">
            <v>Turcja</v>
          </cell>
          <cell r="AD46" t="str">
            <v>Turquia</v>
          </cell>
          <cell r="AE46" t="str">
            <v>Turcia</v>
          </cell>
          <cell r="AF46" t="str">
            <v>Турска</v>
          </cell>
          <cell r="AG46" t="str">
            <v>Turecko</v>
          </cell>
          <cell r="AH46" t="str">
            <v>Turkey</v>
          </cell>
          <cell r="AI46" t="str">
            <v>Turquía</v>
          </cell>
          <cell r="AJ46" t="str">
            <v>Turkey</v>
          </cell>
          <cell r="AK46" t="str">
            <v>ตุรกี</v>
          </cell>
          <cell r="AL46" t="str">
            <v>Türkiye</v>
          </cell>
          <cell r="AM46" t="str">
            <v>Thổ Nhĩ Kỳ</v>
          </cell>
          <cell r="AN46" t="str">
            <v>Туреччина</v>
          </cell>
          <cell r="AO46" t="str">
            <v>ترکی</v>
          </cell>
        </row>
        <row r="47">
          <cell r="A47" t="str">
            <v>Finland</v>
          </cell>
          <cell r="B47" t="str">
            <v>Finlandë</v>
          </cell>
          <cell r="C47" t="str">
            <v>فنلندا</v>
          </cell>
          <cell r="D47" t="str">
            <v>Ֆինլանդիա</v>
          </cell>
          <cell r="E47" t="str">
            <v>Finlandiya</v>
          </cell>
          <cell r="F47" t="str">
            <v>Финландия</v>
          </cell>
          <cell r="G47" t="str">
            <v>Finlàndia</v>
          </cell>
          <cell r="H47" t="str">
            <v>芬兰</v>
          </cell>
          <cell r="I47" t="str">
            <v>芬蘭</v>
          </cell>
          <cell r="J47" t="str">
            <v>Finska</v>
          </cell>
          <cell r="K47" t="str">
            <v>Finsko</v>
          </cell>
          <cell r="L47" t="str">
            <v>Finland</v>
          </cell>
          <cell r="M47" t="str">
            <v>Finland</v>
          </cell>
          <cell r="N47" t="str">
            <v>Finlande</v>
          </cell>
          <cell r="O47" t="str">
            <v>ფინეთი</v>
          </cell>
          <cell r="P47" t="str">
            <v>Finnland</v>
          </cell>
          <cell r="Q47" t="str">
            <v>Φινλανδία</v>
          </cell>
          <cell r="R47" t="str">
            <v>פינלנד</v>
          </cell>
          <cell r="S47" t="str">
            <v>Finnország</v>
          </cell>
          <cell r="T47" t="str">
            <v>Finlandia</v>
          </cell>
          <cell r="U47" t="str">
            <v>Finnland</v>
          </cell>
          <cell r="V47" t="str">
            <v>Finlandia</v>
          </cell>
          <cell r="W47" t="str">
            <v>핀란드</v>
          </cell>
          <cell r="X47" t="str">
            <v>Suomija</v>
          </cell>
          <cell r="Y47" t="str">
            <v>Финска</v>
          </cell>
          <cell r="Z47" t="str">
            <v>Il-Finlandja</v>
          </cell>
          <cell r="AA47" t="str">
            <v>Finland</v>
          </cell>
          <cell r="AB47" t="str">
            <v>فنلاند</v>
          </cell>
          <cell r="AC47" t="str">
            <v>Finlandia</v>
          </cell>
          <cell r="AD47" t="str">
            <v>Finlândia</v>
          </cell>
          <cell r="AE47" t="str">
            <v>Finlanda</v>
          </cell>
          <cell r="AF47" t="str">
            <v>Финска</v>
          </cell>
          <cell r="AG47" t="str">
            <v>Fínsko</v>
          </cell>
          <cell r="AH47" t="str">
            <v>Finska</v>
          </cell>
          <cell r="AI47" t="str">
            <v>Finlandia</v>
          </cell>
          <cell r="AJ47" t="str">
            <v>Finland</v>
          </cell>
          <cell r="AK47" t="str">
            <v>ฟินแลนด์</v>
          </cell>
          <cell r="AL47" t="str">
            <v>Finlandiya</v>
          </cell>
          <cell r="AM47" t="str">
            <v>PhầN Lan</v>
          </cell>
          <cell r="AN47" t="str">
            <v>Фінляндія</v>
          </cell>
          <cell r="AO47" t="str">
            <v>فن لینڈ</v>
          </cell>
        </row>
        <row r="48">
          <cell r="A48" t="str">
            <v>Netherlands</v>
          </cell>
          <cell r="B48" t="str">
            <v>Holandë</v>
          </cell>
          <cell r="C48" t="str">
            <v>هولندا</v>
          </cell>
          <cell r="D48" t="str">
            <v>Netherlands</v>
          </cell>
          <cell r="E48" t="str">
            <v>Hollandiya</v>
          </cell>
          <cell r="F48" t="str">
            <v>Холандия</v>
          </cell>
          <cell r="G48" t="str">
            <v>Països Baixos</v>
          </cell>
          <cell r="H48" t="str">
            <v>荷兰</v>
          </cell>
          <cell r="I48" t="str">
            <v>荷蘭</v>
          </cell>
          <cell r="J48" t="str">
            <v>Nizozemska</v>
          </cell>
          <cell r="K48" t="str">
            <v>Holandsko</v>
          </cell>
          <cell r="L48" t="str">
            <v>Holland</v>
          </cell>
          <cell r="M48" t="str">
            <v>Nederland</v>
          </cell>
          <cell r="N48" t="str">
            <v>Pays-Bas</v>
          </cell>
          <cell r="O48" t="str">
            <v>ნიდერლანდები</v>
          </cell>
          <cell r="P48" t="str">
            <v>Niederlande</v>
          </cell>
          <cell r="Q48" t="str">
            <v>Ολλανδία</v>
          </cell>
          <cell r="R48" t="str">
            <v>הולנד</v>
          </cell>
          <cell r="S48" t="str">
            <v>Hollandia</v>
          </cell>
          <cell r="T48" t="str">
            <v>Belanda</v>
          </cell>
          <cell r="U48" t="str">
            <v>Holland</v>
          </cell>
          <cell r="V48" t="str">
            <v>Olanda</v>
          </cell>
          <cell r="W48" t="str">
            <v>네덜란드</v>
          </cell>
          <cell r="X48" t="str">
            <v>Nyderlandai</v>
          </cell>
          <cell r="Y48" t="str">
            <v>Холандија</v>
          </cell>
          <cell r="Z48" t="str">
            <v>Pajjiżi L-Baxxi</v>
          </cell>
          <cell r="AA48" t="str">
            <v>Nederland</v>
          </cell>
          <cell r="AB48" t="str">
            <v>هلند</v>
          </cell>
          <cell r="AC48" t="str">
            <v>Holandia</v>
          </cell>
          <cell r="AD48" t="str">
            <v>Países Baixos</v>
          </cell>
          <cell r="AE48" t="str">
            <v>Olanda</v>
          </cell>
          <cell r="AF48" t="str">
            <v>Низоземска</v>
          </cell>
          <cell r="AG48" t="str">
            <v>Holandsko</v>
          </cell>
          <cell r="AH48" t="str">
            <v>Nizozemska</v>
          </cell>
          <cell r="AI48" t="str">
            <v>Países Bajos</v>
          </cell>
          <cell r="AJ48" t="str">
            <v>Nederländerna</v>
          </cell>
          <cell r="AK48" t="str">
            <v>เนเธอร์แลนด์</v>
          </cell>
          <cell r="AL48" t="str">
            <v>Hollanda</v>
          </cell>
          <cell r="AM48" t="str">
            <v>NướC Hà Lan</v>
          </cell>
          <cell r="AN48" t="str">
            <v>Нідерланди</v>
          </cell>
          <cell r="AO48" t="str">
            <v>ہالینڈ</v>
          </cell>
        </row>
        <row r="49">
          <cell r="A49" t="str">
            <v>North Macedonia</v>
          </cell>
          <cell r="B49" t="str">
            <v>North Maqedoni</v>
          </cell>
          <cell r="C49" t="str">
            <v>شمال مقدونيا</v>
          </cell>
          <cell r="D49" t="str">
            <v>Հյուսիս Մակեդոնիա</v>
          </cell>
          <cell r="E49" t="str">
            <v>Şimali Makedoniya</v>
          </cell>
          <cell r="F49" t="str">
            <v>Северна Македония</v>
          </cell>
          <cell r="G49" t="str">
            <v>Nord Macedònia</v>
          </cell>
          <cell r="H49" t="str">
            <v>北马其顿</v>
          </cell>
          <cell r="I49" t="str">
            <v>北馬其頓</v>
          </cell>
          <cell r="J49" t="str">
            <v>Sjeverna Makedonija</v>
          </cell>
          <cell r="K49" t="str">
            <v>Severní Makedonie</v>
          </cell>
          <cell r="L49" t="str">
            <v>Nordmakedonien</v>
          </cell>
          <cell r="M49" t="str">
            <v>Noord-Macedonië</v>
          </cell>
          <cell r="N49" t="str">
            <v>Macédoine Du Nord</v>
          </cell>
          <cell r="O49" t="str">
            <v>ჩრდილოეთ მაკედონია</v>
          </cell>
          <cell r="P49" t="str">
            <v>Nord Mazedonien</v>
          </cell>
          <cell r="Q49" t="str">
            <v>Βόρεια Μακεδονία</v>
          </cell>
          <cell r="R49" t="str">
            <v>צפון מקדוניה</v>
          </cell>
          <cell r="S49" t="str">
            <v>Észak-Macedónia</v>
          </cell>
          <cell r="T49" t="str">
            <v>Utara Makedonia</v>
          </cell>
          <cell r="U49" t="str">
            <v>Norður-Makedónía</v>
          </cell>
          <cell r="V49" t="str">
            <v>Nord Macedonia</v>
          </cell>
          <cell r="W49" t="str">
            <v>북 마케도니아</v>
          </cell>
          <cell r="X49" t="str">
            <v>Šiaurės Makedonija</v>
          </cell>
          <cell r="Y49" t="str">
            <v>Северна Македонија</v>
          </cell>
          <cell r="Z49" t="str">
            <v>Tramuntana Maċedonja</v>
          </cell>
          <cell r="AA49" t="str">
            <v>Nord-Makedonia</v>
          </cell>
          <cell r="AB49" t="str">
            <v>شمالی مقدونیه</v>
          </cell>
          <cell r="AC49" t="str">
            <v>Północna Macedonia</v>
          </cell>
          <cell r="AD49" t="str">
            <v>Norte Macedônia</v>
          </cell>
          <cell r="AE49" t="str">
            <v>Macedonia De Nord</v>
          </cell>
          <cell r="AF49" t="str">
            <v>Северна Македонија</v>
          </cell>
          <cell r="AG49" t="str">
            <v>Severné Macedónsko</v>
          </cell>
          <cell r="AH49" t="str">
            <v>Severna Makedonija</v>
          </cell>
          <cell r="AI49" t="str">
            <v>Norte Macedonia</v>
          </cell>
          <cell r="AJ49" t="str">
            <v>Nordmakedonien</v>
          </cell>
          <cell r="AK49" t="str">
            <v>นอร์ทมาซิโดเนีย</v>
          </cell>
          <cell r="AL49" t="str">
            <v>Kuzey Makedonya</v>
          </cell>
          <cell r="AM49" t="str">
            <v>BắC Macedonia</v>
          </cell>
          <cell r="AN49" t="str">
            <v>Північна Македонія</v>
          </cell>
          <cell r="AO49" t="str">
            <v>شمالی مقدونیہ</v>
          </cell>
        </row>
        <row r="50">
          <cell r="A50" t="str">
            <v>Scotland</v>
          </cell>
          <cell r="B50" t="str">
            <v>Skoci</v>
          </cell>
          <cell r="C50" t="str">
            <v>أسكتلندا</v>
          </cell>
          <cell r="D50" t="str">
            <v>Շոտլանդիա</v>
          </cell>
          <cell r="E50" t="str">
            <v>Şotlandiya</v>
          </cell>
          <cell r="F50" t="str">
            <v>Шотландия</v>
          </cell>
          <cell r="G50" t="str">
            <v>Escòcia</v>
          </cell>
          <cell r="H50" t="str">
            <v>苏格兰</v>
          </cell>
          <cell r="I50" t="str">
            <v>蘇格蘭</v>
          </cell>
          <cell r="J50" t="str">
            <v>Škotska</v>
          </cell>
          <cell r="K50" t="str">
            <v>Skotsko</v>
          </cell>
          <cell r="L50" t="str">
            <v>Skotland</v>
          </cell>
          <cell r="M50" t="str">
            <v>Schotland</v>
          </cell>
          <cell r="N50" t="str">
            <v>Écosse</v>
          </cell>
          <cell r="O50" t="str">
            <v>შოტლანდია</v>
          </cell>
          <cell r="P50" t="str">
            <v>Schottland</v>
          </cell>
          <cell r="Q50" t="str">
            <v>Σκωτία</v>
          </cell>
          <cell r="R50" t="str">
            <v>סקוטלנד</v>
          </cell>
          <cell r="S50" t="str">
            <v>Skócia</v>
          </cell>
          <cell r="T50" t="str">
            <v>Skotlandia</v>
          </cell>
          <cell r="U50" t="str">
            <v>Scotland</v>
          </cell>
          <cell r="V50" t="str">
            <v>Scozia</v>
          </cell>
          <cell r="W50" t="str">
            <v>스코틀랜드</v>
          </cell>
          <cell r="X50" t="str">
            <v>Škotija</v>
          </cell>
          <cell r="Y50" t="str">
            <v>Шкотска</v>
          </cell>
          <cell r="Z50" t="str">
            <v>Iskozja</v>
          </cell>
          <cell r="AA50" t="str">
            <v>Skottland</v>
          </cell>
          <cell r="AB50" t="str">
            <v>اسکاتلند</v>
          </cell>
          <cell r="AC50" t="str">
            <v>Szkocja</v>
          </cell>
          <cell r="AD50" t="str">
            <v>Escócia</v>
          </cell>
          <cell r="AE50" t="str">
            <v>Scoţia</v>
          </cell>
          <cell r="AF50" t="str">
            <v>Шкотска</v>
          </cell>
          <cell r="AG50" t="str">
            <v>Škótsko</v>
          </cell>
          <cell r="AH50" t="str">
            <v>Škotska</v>
          </cell>
          <cell r="AI50" t="str">
            <v>Escocia</v>
          </cell>
          <cell r="AJ50" t="str">
            <v>Skottland</v>
          </cell>
          <cell r="AK50" t="str">
            <v>ก็อตแลนด์</v>
          </cell>
          <cell r="AL50" t="str">
            <v>İskoçya</v>
          </cell>
          <cell r="AM50" t="str">
            <v>Scotland</v>
          </cell>
          <cell r="AN50" t="str">
            <v>Шотландія</v>
          </cell>
          <cell r="AO50" t="str">
            <v>اسکاٹ لینڈ</v>
          </cell>
        </row>
        <row r="51">
          <cell r="A51" t="str">
            <v>Slovakia</v>
          </cell>
          <cell r="B51" t="str">
            <v>Slovakia</v>
          </cell>
          <cell r="C51" t="str">
            <v>سلوفاكيا</v>
          </cell>
          <cell r="D51" t="str">
            <v>Սլովակիա</v>
          </cell>
          <cell r="E51" t="str">
            <v>Slovakiya</v>
          </cell>
          <cell r="F51" t="str">
            <v>Словакия</v>
          </cell>
          <cell r="G51" t="str">
            <v>Eslovàquia</v>
          </cell>
          <cell r="H51" t="str">
            <v>斯洛伐克</v>
          </cell>
          <cell r="I51" t="str">
            <v>斯洛伐克</v>
          </cell>
          <cell r="J51" t="str">
            <v>Slovačka</v>
          </cell>
          <cell r="K51" t="str">
            <v>Slovensko</v>
          </cell>
          <cell r="L51" t="str">
            <v>Slovakiet</v>
          </cell>
          <cell r="M51" t="str">
            <v>Slowakije</v>
          </cell>
          <cell r="N51" t="str">
            <v>Slovaquie</v>
          </cell>
          <cell r="O51" t="str">
            <v>სლოვაკეთი</v>
          </cell>
          <cell r="P51" t="str">
            <v>Slowakei</v>
          </cell>
          <cell r="Q51" t="str">
            <v>Σλοβακία</v>
          </cell>
          <cell r="R51" t="str">
            <v>סלובקיה</v>
          </cell>
          <cell r="S51" t="str">
            <v>Szlovákia</v>
          </cell>
          <cell r="T51" t="str">
            <v>Slovakia</v>
          </cell>
          <cell r="U51" t="str">
            <v>Slovakia</v>
          </cell>
          <cell r="V51" t="str">
            <v>Slovacchia</v>
          </cell>
          <cell r="W51" t="str">
            <v>슬로바키아</v>
          </cell>
          <cell r="X51" t="str">
            <v>Slovakija</v>
          </cell>
          <cell r="Y51" t="str">
            <v>Словачка</v>
          </cell>
          <cell r="Z51" t="str">
            <v>Slovakkja</v>
          </cell>
          <cell r="AA51" t="str">
            <v>Slovakia</v>
          </cell>
          <cell r="AB51" t="str">
            <v>اسلواکی</v>
          </cell>
          <cell r="AC51" t="str">
            <v>Słowacja</v>
          </cell>
          <cell r="AD51" t="str">
            <v>Eslováquia</v>
          </cell>
          <cell r="AE51" t="str">
            <v>Slovacia</v>
          </cell>
          <cell r="AF51" t="str">
            <v>Словачка</v>
          </cell>
          <cell r="AG51" t="str">
            <v>Slovensko</v>
          </cell>
          <cell r="AH51" t="str">
            <v>Slovaška</v>
          </cell>
          <cell r="AI51" t="str">
            <v>Eslovaquia</v>
          </cell>
          <cell r="AJ51" t="str">
            <v>Slovakien</v>
          </cell>
          <cell r="AK51" t="str">
            <v>สโลวะเกีย</v>
          </cell>
          <cell r="AL51" t="str">
            <v>Slovakya</v>
          </cell>
          <cell r="AM51" t="str">
            <v>Slovakia</v>
          </cell>
          <cell r="AN51" t="str">
            <v>Словаччина</v>
          </cell>
          <cell r="AO51" t="str">
            <v>سلوواکیہ</v>
          </cell>
        </row>
        <row r="52">
          <cell r="A52" t="str">
            <v>Germany</v>
          </cell>
          <cell r="B52" t="str">
            <v>Gjermani</v>
          </cell>
          <cell r="C52" t="str">
            <v>ألمانيا</v>
          </cell>
          <cell r="D52" t="str">
            <v>Գերմանիա</v>
          </cell>
          <cell r="E52" t="str">
            <v>Almaniya</v>
          </cell>
          <cell r="F52" t="str">
            <v>Германия</v>
          </cell>
          <cell r="G52" t="str">
            <v>Alemanya</v>
          </cell>
          <cell r="H52" t="str">
            <v>德国</v>
          </cell>
          <cell r="I52" t="str">
            <v>德國</v>
          </cell>
          <cell r="J52" t="str">
            <v>Njemačka</v>
          </cell>
          <cell r="K52" t="str">
            <v>Německo</v>
          </cell>
          <cell r="L52" t="str">
            <v>Tyskland</v>
          </cell>
          <cell r="M52" t="str">
            <v>Duitsland</v>
          </cell>
          <cell r="N52" t="str">
            <v>Allemagne</v>
          </cell>
          <cell r="O52" t="str">
            <v>გერმანია</v>
          </cell>
          <cell r="P52" t="str">
            <v>Deutschland</v>
          </cell>
          <cell r="Q52" t="str">
            <v>Γερμανία</v>
          </cell>
          <cell r="R52" t="str">
            <v>גרמניה</v>
          </cell>
          <cell r="S52" t="str">
            <v>Németország</v>
          </cell>
          <cell r="T52" t="str">
            <v>Jerman</v>
          </cell>
          <cell r="U52" t="str">
            <v>Þýskaland</v>
          </cell>
          <cell r="V52" t="str">
            <v>Germania</v>
          </cell>
          <cell r="W52" t="str">
            <v>독일</v>
          </cell>
          <cell r="X52" t="str">
            <v>Vokietija</v>
          </cell>
          <cell r="Y52" t="str">
            <v>германија</v>
          </cell>
          <cell r="Z52" t="str">
            <v>Ġermanja</v>
          </cell>
          <cell r="AA52" t="str">
            <v>Tyskland</v>
          </cell>
          <cell r="AB52" t="str">
            <v>آلمان</v>
          </cell>
          <cell r="AC52" t="str">
            <v>Niemcy</v>
          </cell>
          <cell r="AD52" t="str">
            <v>Alemanha</v>
          </cell>
          <cell r="AE52" t="str">
            <v>Germania</v>
          </cell>
          <cell r="AF52" t="str">
            <v>Немачка</v>
          </cell>
          <cell r="AG52" t="str">
            <v>nemecko</v>
          </cell>
          <cell r="AH52" t="str">
            <v>Nemčija</v>
          </cell>
          <cell r="AI52" t="str">
            <v>Alemania</v>
          </cell>
          <cell r="AJ52" t="str">
            <v>Tyskland</v>
          </cell>
          <cell r="AK52" t="str">
            <v>ประเทศเยอรมัน</v>
          </cell>
          <cell r="AL52" t="str">
            <v>Almanya</v>
          </cell>
          <cell r="AM52" t="str">
            <v>Đức</v>
          </cell>
          <cell r="AN52" t="str">
            <v>Німеччина</v>
          </cell>
          <cell r="AO52" t="str">
            <v>جرمنی</v>
          </cell>
        </row>
        <row r="54">
          <cell r="A54" t="str">
            <v>Wales</v>
          </cell>
          <cell r="B54" t="str">
            <v>Uells</v>
          </cell>
          <cell r="C54" t="str">
            <v>ويلز</v>
          </cell>
          <cell r="D54" t="str">
            <v>Wales</v>
          </cell>
          <cell r="E54" t="str">
            <v>Wales</v>
          </cell>
          <cell r="F54" t="str">
            <v>Уелс</v>
          </cell>
          <cell r="G54" t="str">
            <v>Gal·les</v>
          </cell>
          <cell r="H54" t="str">
            <v>威尔士</v>
          </cell>
          <cell r="I54" t="str">
            <v>威爾士</v>
          </cell>
          <cell r="J54" t="str">
            <v>Vels</v>
          </cell>
          <cell r="K54" t="str">
            <v>Wales</v>
          </cell>
          <cell r="L54" t="str">
            <v>Wales</v>
          </cell>
          <cell r="M54" t="str">
            <v>Wales</v>
          </cell>
          <cell r="N54" t="str">
            <v>Pays de Galles</v>
          </cell>
          <cell r="O54" t="str">
            <v>უელსი</v>
          </cell>
          <cell r="P54" t="str">
            <v>Wales</v>
          </cell>
          <cell r="Q54" t="str">
            <v>Ουαλία</v>
          </cell>
          <cell r="R54" t="str">
            <v>ויילס</v>
          </cell>
          <cell r="S54" t="str">
            <v>Wales</v>
          </cell>
          <cell r="T54" t="str">
            <v>Wales</v>
          </cell>
          <cell r="U54" t="str">
            <v>Wales</v>
          </cell>
          <cell r="V54" t="str">
            <v>Galles</v>
          </cell>
          <cell r="W54" t="str">
            <v>웨일즈</v>
          </cell>
          <cell r="X54" t="str">
            <v>Velsas</v>
          </cell>
          <cell r="Y54" t="str">
            <v>Велс</v>
          </cell>
          <cell r="Z54" t="str">
            <v>wales</v>
          </cell>
          <cell r="AA54" t="str">
            <v>Wales</v>
          </cell>
          <cell r="AB54" t="str">
            <v>ولز</v>
          </cell>
          <cell r="AC54" t="str">
            <v>Walia</v>
          </cell>
          <cell r="AD54" t="str">
            <v>país de Gales</v>
          </cell>
          <cell r="AE54" t="str">
            <v>Țara Galilor</v>
          </cell>
          <cell r="AF54" t="str">
            <v>Велс</v>
          </cell>
          <cell r="AG54" t="str">
            <v>Wales</v>
          </cell>
          <cell r="AH54" t="str">
            <v>Wales</v>
          </cell>
          <cell r="AI54" t="str">
            <v>Gales</v>
          </cell>
          <cell r="AJ54" t="str">
            <v>wales</v>
          </cell>
          <cell r="AK54" t="str">
            <v>เวลส์</v>
          </cell>
          <cell r="AL54" t="str">
            <v>Galler</v>
          </cell>
          <cell r="AM54" t="str">
            <v>xứ Wales</v>
          </cell>
          <cell r="AN54" t="str">
            <v>Уельс</v>
          </cell>
          <cell r="AO54" t="str">
            <v>ویلز</v>
          </cell>
        </row>
        <row r="55">
          <cell r="A55" t="str">
            <v>Croatia</v>
          </cell>
          <cell r="B55" t="str">
            <v>Kroacia</v>
          </cell>
          <cell r="C55" t="str">
            <v>كرواتيا</v>
          </cell>
          <cell r="D55" t="str">
            <v>Խորվաթիա</v>
          </cell>
          <cell r="E55" t="str">
            <v>Xorvatiya</v>
          </cell>
          <cell r="F55" t="str">
            <v>Хърватия</v>
          </cell>
          <cell r="G55" t="str">
            <v>Croàcia</v>
          </cell>
          <cell r="H55" t="str">
            <v>克罗地亚</v>
          </cell>
          <cell r="I55" t="str">
            <v>克羅地亞</v>
          </cell>
          <cell r="J55" t="str">
            <v>Hrvatska</v>
          </cell>
          <cell r="K55" t="str">
            <v>Chorvatsko</v>
          </cell>
          <cell r="L55" t="str">
            <v>Kroatien</v>
          </cell>
          <cell r="M55" t="str">
            <v>Kroatië</v>
          </cell>
          <cell r="N55" t="str">
            <v>Croatie</v>
          </cell>
          <cell r="O55" t="str">
            <v>ხორვატია</v>
          </cell>
          <cell r="P55" t="str">
            <v>Kroatien</v>
          </cell>
          <cell r="Q55" t="str">
            <v>Κροατία</v>
          </cell>
          <cell r="R55" t="str">
            <v>קרואטיה</v>
          </cell>
          <cell r="S55" t="str">
            <v>Horvátország</v>
          </cell>
          <cell r="T55" t="str">
            <v>Kroasia</v>
          </cell>
          <cell r="U55" t="str">
            <v>Croatia</v>
          </cell>
          <cell r="V55" t="str">
            <v>Croazia</v>
          </cell>
          <cell r="W55" t="str">
            <v>크로아티아</v>
          </cell>
          <cell r="X55" t="str">
            <v>Kroatija</v>
          </cell>
          <cell r="Y55" t="str">
            <v>хрватска</v>
          </cell>
          <cell r="Z55" t="str">
            <v>Kroazja</v>
          </cell>
          <cell r="AA55" t="str">
            <v>Kroatia</v>
          </cell>
          <cell r="AB55" t="str">
            <v>کرواسی</v>
          </cell>
          <cell r="AC55" t="str">
            <v>Chorwacja</v>
          </cell>
          <cell r="AD55" t="str">
            <v>Croácia</v>
          </cell>
          <cell r="AE55" t="str">
            <v>Croația</v>
          </cell>
          <cell r="AF55" t="str">
            <v>Хрватска</v>
          </cell>
          <cell r="AG55" t="str">
            <v>chorvátsko</v>
          </cell>
          <cell r="AH55" t="str">
            <v>Hrvaška</v>
          </cell>
          <cell r="AI55" t="str">
            <v>Croacia</v>
          </cell>
          <cell r="AJ55" t="str">
            <v>Kroatien</v>
          </cell>
          <cell r="AK55" t="str">
            <v>โครเอเชีย</v>
          </cell>
          <cell r="AL55" t="str">
            <v>Hırvatistan</v>
          </cell>
          <cell r="AM55" t="str">
            <v>Croatia</v>
          </cell>
          <cell r="AN55" t="str">
            <v>Хорватія</v>
          </cell>
          <cell r="AO55" t="str">
            <v>کروشیا</v>
          </cell>
        </row>
        <row r="56">
          <cell r="A56" t="str">
            <v>Northern Ireland</v>
          </cell>
          <cell r="B56" t="str">
            <v>Irlanada veriore</v>
          </cell>
          <cell r="C56" t="str">
            <v>إيرلندا الشمالية</v>
          </cell>
          <cell r="D56" t="str">
            <v>Հյուսիսային Իռլանդիա</v>
          </cell>
          <cell r="E56" t="str">
            <v>Şimali irlandiya</v>
          </cell>
          <cell r="F56" t="str">
            <v>Северна Ирландия</v>
          </cell>
          <cell r="G56" t="str">
            <v>Irlanda del Nord</v>
          </cell>
          <cell r="H56" t="str">
            <v>北爱尔兰</v>
          </cell>
          <cell r="I56" t="str">
            <v>北愛爾蘭</v>
          </cell>
          <cell r="J56" t="str">
            <v>Sjeverna Irska</v>
          </cell>
          <cell r="K56" t="str">
            <v>Severní Irsko</v>
          </cell>
          <cell r="L56" t="str">
            <v>Nordirland</v>
          </cell>
          <cell r="M56" t="str">
            <v>Noord-Ierland</v>
          </cell>
          <cell r="N56" t="str">
            <v>Irlande du nord</v>
          </cell>
          <cell r="O56" t="str">
            <v>ჩრდილოეთ ირლანდია</v>
          </cell>
          <cell r="P56" t="str">
            <v>Nordirland</v>
          </cell>
          <cell r="Q56" t="str">
            <v>Βόρεια Ιρλανδία</v>
          </cell>
          <cell r="R56" t="str">
            <v>אירלנד הצפונית</v>
          </cell>
          <cell r="S56" t="str">
            <v>Észak-Írország</v>
          </cell>
          <cell r="T56" t="str">
            <v>Irlandia Utara</v>
          </cell>
          <cell r="U56" t="str">
            <v>Norður Írland</v>
          </cell>
          <cell r="V56" t="str">
            <v>Irlanda del nord</v>
          </cell>
          <cell r="W56" t="str">
            <v>북 아일랜드</v>
          </cell>
          <cell r="X56" t="str">
            <v>Šiaurės Airija</v>
          </cell>
          <cell r="Y56" t="str">
            <v>Северна Ирска</v>
          </cell>
          <cell r="Z56" t="str">
            <v>Irlanda ta 'Fuq</v>
          </cell>
          <cell r="AA56" t="str">
            <v>Nord-Irland</v>
          </cell>
          <cell r="AB56" t="str">
            <v>ایرلند شمالی</v>
          </cell>
          <cell r="AC56" t="str">
            <v>Irlandia Północna</v>
          </cell>
          <cell r="AD56" t="str">
            <v>Irlanda do Norte</v>
          </cell>
          <cell r="AE56" t="str">
            <v>Irlanda de Nord</v>
          </cell>
          <cell r="AF56" t="str">
            <v>Северна Ирска</v>
          </cell>
          <cell r="AG56" t="str">
            <v>Severné Írsko</v>
          </cell>
          <cell r="AH56" t="str">
            <v>Severna Irska</v>
          </cell>
          <cell r="AI56" t="str">
            <v>Irlanda del Norte</v>
          </cell>
          <cell r="AJ56" t="str">
            <v>Norra Irland</v>
          </cell>
          <cell r="AK56" t="str">
            <v>ไอร์แลนด์เหนือ</v>
          </cell>
          <cell r="AL56" t="str">
            <v>Kuzey Irlanda</v>
          </cell>
          <cell r="AM56" t="str">
            <v>Bắc Ireland</v>
          </cell>
          <cell r="AN56" t="str">
            <v>Північна Ірландія</v>
          </cell>
          <cell r="AO56" t="str">
            <v>شمالی آئر لینڈ</v>
          </cell>
        </row>
        <row r="57">
          <cell r="A57" t="str">
            <v>Switzerland</v>
          </cell>
          <cell r="B57" t="str">
            <v>Zvicër</v>
          </cell>
          <cell r="C57" t="str">
            <v>سويسرا</v>
          </cell>
          <cell r="D57" t="str">
            <v>Շվեյցարիա</v>
          </cell>
          <cell r="E57" t="str">
            <v>İsveçrə</v>
          </cell>
          <cell r="F57" t="str">
            <v>Швейцария</v>
          </cell>
          <cell r="G57" t="str">
            <v>Suïssa</v>
          </cell>
          <cell r="H57" t="str">
            <v>瑞士</v>
          </cell>
          <cell r="I57" t="str">
            <v>瑞士</v>
          </cell>
          <cell r="J57" t="str">
            <v>Švajcarska</v>
          </cell>
          <cell r="K57" t="str">
            <v>Švýcarsko</v>
          </cell>
          <cell r="L57" t="str">
            <v>Schweiz</v>
          </cell>
          <cell r="M57" t="str">
            <v>Zwitserland</v>
          </cell>
          <cell r="N57" t="str">
            <v>Suisse</v>
          </cell>
          <cell r="O57" t="str">
            <v>შვეიცარია</v>
          </cell>
          <cell r="P57" t="str">
            <v>Schweiz</v>
          </cell>
          <cell r="Q57" t="str">
            <v>Ελβετία</v>
          </cell>
          <cell r="R57" t="str">
            <v>שוויץ</v>
          </cell>
          <cell r="S57" t="str">
            <v>Svájc</v>
          </cell>
          <cell r="T57" t="str">
            <v>Swiss</v>
          </cell>
          <cell r="U57" t="str">
            <v>Sviss</v>
          </cell>
          <cell r="V57" t="str">
            <v>Svizzera</v>
          </cell>
          <cell r="W57" t="str">
            <v>스위스</v>
          </cell>
          <cell r="X57" t="str">
            <v>Šveicarija</v>
          </cell>
          <cell r="Y57" t="str">
            <v>Швајцарија</v>
          </cell>
          <cell r="Z57" t="str">
            <v>Isvizzera</v>
          </cell>
          <cell r="AA57" t="str">
            <v>Sveits</v>
          </cell>
          <cell r="AB57" t="str">
            <v>سویس</v>
          </cell>
          <cell r="AC57" t="str">
            <v>Szwajcaria</v>
          </cell>
          <cell r="AD57" t="str">
            <v>Suíça</v>
          </cell>
          <cell r="AE57" t="str">
            <v>Elveția</v>
          </cell>
          <cell r="AF57" t="str">
            <v>Швајцарска</v>
          </cell>
          <cell r="AG57" t="str">
            <v>švajčiarsko</v>
          </cell>
          <cell r="AH57" t="str">
            <v>Švica</v>
          </cell>
          <cell r="AI57" t="str">
            <v>Suiza</v>
          </cell>
          <cell r="AJ57" t="str">
            <v>Schweiz</v>
          </cell>
          <cell r="AK57" t="str">
            <v>ประเทศสวิสเซอร์แลนด์</v>
          </cell>
          <cell r="AL57" t="str">
            <v>İsviçre</v>
          </cell>
          <cell r="AM57" t="str">
            <v>Thụy Sĩ</v>
          </cell>
          <cell r="AN57" t="str">
            <v>Швейцарія</v>
          </cell>
          <cell r="AO57" t="str">
            <v>سوئٹزرلینڈ</v>
          </cell>
        </row>
        <row r="58">
          <cell r="A58" t="str">
            <v>Czech Republic</v>
          </cell>
          <cell r="B58" t="str">
            <v>Republika Çeke</v>
          </cell>
          <cell r="C58" t="str">
            <v>جمهورية التشيك</v>
          </cell>
          <cell r="D58" t="str">
            <v>Չեխիայի Հանրապետություն</v>
          </cell>
          <cell r="E58" t="str">
            <v>Çexiya Respublikası</v>
          </cell>
          <cell r="F58" t="str">
            <v>Чехия</v>
          </cell>
          <cell r="G58" t="str">
            <v>República Txeca</v>
          </cell>
          <cell r="H58" t="str">
            <v>捷克共和国</v>
          </cell>
          <cell r="I58" t="str">
            <v>捷克共和國</v>
          </cell>
          <cell r="J58" t="str">
            <v>Češka Republika</v>
          </cell>
          <cell r="K58" t="str">
            <v>Česko</v>
          </cell>
          <cell r="L58" t="str">
            <v>Tjekkiet</v>
          </cell>
          <cell r="M58" t="str">
            <v>Tsjechische Republiek</v>
          </cell>
          <cell r="N58" t="str">
            <v>Rép. Tchèque</v>
          </cell>
          <cell r="O58" t="str">
            <v>ჩეხეთის რესპუბლიკა</v>
          </cell>
          <cell r="P58" t="str">
            <v>Tschechien</v>
          </cell>
          <cell r="Q58" t="str">
            <v>Τσεχική Δημοκρατία</v>
          </cell>
          <cell r="R58" t="str">
            <v>הרפובליקה הצ'כית</v>
          </cell>
          <cell r="S58" t="str">
            <v>Cseh Köztársaság</v>
          </cell>
          <cell r="T58" t="str">
            <v>Republik Ceko</v>
          </cell>
          <cell r="U58" t="str">
            <v>Tékkland</v>
          </cell>
          <cell r="V58" t="str">
            <v>Repubblica Ceca</v>
          </cell>
          <cell r="W58" t="str">
            <v>체코 공화국</v>
          </cell>
          <cell r="X58" t="str">
            <v>Čekijos Respublika</v>
          </cell>
          <cell r="Y58" t="str">
            <v>Република Чешка</v>
          </cell>
          <cell r="Z58" t="str">
            <v>Repubblika Ċeka</v>
          </cell>
          <cell r="AA58" t="str">
            <v>Tsjekkia</v>
          </cell>
          <cell r="AB58" t="str">
            <v>جمهوری چک</v>
          </cell>
          <cell r="AC58" t="str">
            <v>Czechy</v>
          </cell>
          <cell r="AD58" t="str">
            <v>República Checa</v>
          </cell>
          <cell r="AE58" t="str">
            <v>Republica Cehă</v>
          </cell>
          <cell r="AF58" t="str">
            <v>Чешка</v>
          </cell>
          <cell r="AG58" t="str">
            <v>Česká republika</v>
          </cell>
          <cell r="AH58" t="str">
            <v>Češka</v>
          </cell>
          <cell r="AI58" t="str">
            <v>República Checa</v>
          </cell>
          <cell r="AJ58" t="str">
            <v>Tjeckien</v>
          </cell>
          <cell r="AK58" t="str">
            <v>สาธารณรัฐเช็ก</v>
          </cell>
          <cell r="AL58" t="str">
            <v>Çek Cumhuriyeti</v>
          </cell>
          <cell r="AM58" t="str">
            <v>Cộng hòa Séc</v>
          </cell>
          <cell r="AN58" t="str">
            <v>Чеська Республіка</v>
          </cell>
          <cell r="AO58" t="str">
            <v>جمہوریہ چیک</v>
          </cell>
        </row>
        <row r="59">
          <cell r="A59" t="str">
            <v>Republic of Ireland</v>
          </cell>
          <cell r="B59" t="str">
            <v>Republika e Irlandës</v>
          </cell>
          <cell r="C59" t="str">
            <v>جمهورية ايرلندا</v>
          </cell>
          <cell r="D59" t="str">
            <v>Իռլանդիա</v>
          </cell>
          <cell r="E59" t="str">
            <v>İrlandiya Respublikası</v>
          </cell>
          <cell r="F59" t="str">
            <v>Република Ирландия</v>
          </cell>
          <cell r="G59" t="str">
            <v>República d'Irlanda</v>
          </cell>
          <cell r="H59" t="str">
            <v>爱尔兰</v>
          </cell>
          <cell r="I59" t="str">
            <v>愛爾蘭</v>
          </cell>
          <cell r="J59" t="str">
            <v>Republika Irska</v>
          </cell>
          <cell r="K59" t="str">
            <v>Irsko</v>
          </cell>
          <cell r="L59" t="str">
            <v>Irland</v>
          </cell>
          <cell r="M59" t="str">
            <v>republiek Ierland</v>
          </cell>
          <cell r="N59" t="str">
            <v>Rép.d'Irlande</v>
          </cell>
          <cell r="O59" t="str">
            <v>ირლანდიის რესპუბლიკა</v>
          </cell>
          <cell r="P59" t="str">
            <v>Irische Republik</v>
          </cell>
          <cell r="Q59" t="str">
            <v>Δημοκρατία της Ιρλανδίας</v>
          </cell>
          <cell r="R59" t="str">
            <v>רפובליקת אירלנד</v>
          </cell>
          <cell r="S59" t="str">
            <v>Ír Köztársaság</v>
          </cell>
          <cell r="T59" t="str">
            <v>Republik Irlandia</v>
          </cell>
          <cell r="U59" t="str">
            <v>Írland</v>
          </cell>
          <cell r="V59" t="str">
            <v>repubblica d'Irlanda</v>
          </cell>
          <cell r="W59" t="str">
            <v>아일랜드</v>
          </cell>
          <cell r="X59" t="str">
            <v>Airijos Respublika</v>
          </cell>
          <cell r="Y59" t="str">
            <v>Република Ирска</v>
          </cell>
          <cell r="Z59" t="str">
            <v>Repubblika tal-Irlanda</v>
          </cell>
          <cell r="AA59" t="str">
            <v>Republikken Irland</v>
          </cell>
          <cell r="AB59" t="str">
            <v>جمهوری ایرلند</v>
          </cell>
          <cell r="AC59" t="str">
            <v>Irlandia</v>
          </cell>
          <cell r="AD59" t="str">
            <v>República da Irlanda</v>
          </cell>
          <cell r="AE59" t="str">
            <v>Republica Irlanda</v>
          </cell>
          <cell r="AF59" t="str">
            <v>Република Ирска</v>
          </cell>
          <cell r="AG59" t="str">
            <v>Írsko</v>
          </cell>
          <cell r="AH59" t="str">
            <v>Republika Irska</v>
          </cell>
          <cell r="AI59" t="str">
            <v>Republica de Irlanda</v>
          </cell>
          <cell r="AJ59" t="str">
            <v>republiken Irland</v>
          </cell>
          <cell r="AK59" t="str">
            <v>สาธารณรัฐไอร์แลนด์</v>
          </cell>
          <cell r="AL59" t="str">
            <v>irlanda Cumhuriyeti</v>
          </cell>
          <cell r="AM59" t="str">
            <v>Cộng hòa Ireland</v>
          </cell>
          <cell r="AN59" t="str">
            <v>Ірландія</v>
          </cell>
          <cell r="AO59" t="str">
            <v>جمہوریہ آئرلینڈ</v>
          </cell>
        </row>
        <row r="60">
          <cell r="A60" t="str">
            <v>Iceland</v>
          </cell>
          <cell r="B60" t="str">
            <v>Islandë</v>
          </cell>
          <cell r="C60" t="str">
            <v>أيسلندا</v>
          </cell>
          <cell r="D60" t="str">
            <v>Իսլանդիան</v>
          </cell>
          <cell r="E60" t="str">
            <v>İslandiya</v>
          </cell>
          <cell r="F60" t="str">
            <v>Исландия</v>
          </cell>
          <cell r="G60" t="str">
            <v>Islàndia</v>
          </cell>
          <cell r="H60" t="str">
            <v>冰岛</v>
          </cell>
          <cell r="I60" t="str">
            <v>冰島</v>
          </cell>
          <cell r="J60" t="str">
            <v>Island</v>
          </cell>
          <cell r="K60" t="str">
            <v>Island</v>
          </cell>
          <cell r="L60" t="str">
            <v>Island</v>
          </cell>
          <cell r="M60" t="str">
            <v>IJsland</v>
          </cell>
          <cell r="N60" t="str">
            <v>Islande</v>
          </cell>
          <cell r="O60" t="str">
            <v>ისლანდიის</v>
          </cell>
          <cell r="P60" t="str">
            <v>Island</v>
          </cell>
          <cell r="Q60" t="str">
            <v>Ισλανδία</v>
          </cell>
          <cell r="R60" t="str">
            <v>אִיסלַנד</v>
          </cell>
          <cell r="S60" t="str">
            <v>Izland</v>
          </cell>
          <cell r="T60" t="str">
            <v>Islandia</v>
          </cell>
          <cell r="U60" t="str">
            <v>Ísland</v>
          </cell>
          <cell r="V60" t="str">
            <v>Islanda</v>
          </cell>
          <cell r="W60" t="str">
            <v>아이슬란드</v>
          </cell>
          <cell r="X60" t="str">
            <v>Islandija</v>
          </cell>
          <cell r="Y60" t="str">
            <v>Исланд</v>
          </cell>
          <cell r="Z60" t="str">
            <v>Islanda</v>
          </cell>
          <cell r="AA60" t="str">
            <v>Island</v>
          </cell>
          <cell r="AB60" t="str">
            <v>ایسلند</v>
          </cell>
          <cell r="AC60" t="str">
            <v>Islandia</v>
          </cell>
          <cell r="AD60" t="str">
            <v>Islândia</v>
          </cell>
          <cell r="AE60" t="str">
            <v>Islanda</v>
          </cell>
          <cell r="AF60" t="str">
            <v>Исланд</v>
          </cell>
          <cell r="AG60" t="str">
            <v>Island</v>
          </cell>
          <cell r="AH60" t="str">
            <v>Islandija</v>
          </cell>
          <cell r="AI60" t="str">
            <v>Islandia</v>
          </cell>
          <cell r="AJ60" t="str">
            <v>island</v>
          </cell>
          <cell r="AK60" t="str">
            <v>ประเทศไอซ์แลนด์</v>
          </cell>
          <cell r="AL60" t="str">
            <v>İzlanda</v>
          </cell>
          <cell r="AM60" t="str">
            <v>Iceland</v>
          </cell>
          <cell r="AN60" t="str">
            <v>Ісландія</v>
          </cell>
          <cell r="AO60" t="str">
            <v>آئس لینڈ</v>
          </cell>
        </row>
        <row r="61">
          <cell r="A61" t="str">
            <v>Austria</v>
          </cell>
          <cell r="B61" t="str">
            <v>Austri</v>
          </cell>
          <cell r="C61" t="str">
            <v>النمسا</v>
          </cell>
          <cell r="D61" t="str">
            <v>austria</v>
          </cell>
          <cell r="E61" t="str">
            <v>Avstriya</v>
          </cell>
          <cell r="F61" t="str">
            <v>Австрия</v>
          </cell>
          <cell r="G61" t="str">
            <v>Àustria</v>
          </cell>
          <cell r="H61" t="str">
            <v>奥地利</v>
          </cell>
          <cell r="I61" t="str">
            <v>奧地利</v>
          </cell>
          <cell r="J61" t="str">
            <v>Austrija</v>
          </cell>
          <cell r="K61" t="str">
            <v>Rakousko</v>
          </cell>
          <cell r="L61" t="str">
            <v>Østrig</v>
          </cell>
          <cell r="M61" t="str">
            <v>Oostenrijk</v>
          </cell>
          <cell r="N61" t="str">
            <v>Autriche</v>
          </cell>
          <cell r="O61" t="str">
            <v>ავსტრიაში</v>
          </cell>
          <cell r="P61" t="str">
            <v>Österreich</v>
          </cell>
          <cell r="Q61" t="str">
            <v>Αυστρία</v>
          </cell>
          <cell r="R61" t="str">
            <v>אוֹסְטְרֵיָה</v>
          </cell>
          <cell r="S61" t="str">
            <v>Ausztria</v>
          </cell>
          <cell r="T61" t="str">
            <v>Austria</v>
          </cell>
          <cell r="U61" t="str">
            <v>Austurríki</v>
          </cell>
          <cell r="V61" t="str">
            <v>Austria</v>
          </cell>
          <cell r="W61" t="str">
            <v>오스트리아</v>
          </cell>
          <cell r="X61" t="str">
            <v>Austrija</v>
          </cell>
          <cell r="Y61" t="str">
            <v>Австрија</v>
          </cell>
          <cell r="Z61" t="str">
            <v>awstrija</v>
          </cell>
          <cell r="AA61" t="str">
            <v>Østerrike</v>
          </cell>
          <cell r="AB61" t="str">
            <v>اتریش</v>
          </cell>
          <cell r="AC61" t="str">
            <v>Austria</v>
          </cell>
          <cell r="AD61" t="str">
            <v>Áustria</v>
          </cell>
          <cell r="AE61" t="str">
            <v>Austria</v>
          </cell>
          <cell r="AF61" t="str">
            <v>Аустрија</v>
          </cell>
          <cell r="AG61" t="str">
            <v>Rakúsko</v>
          </cell>
          <cell r="AH61" t="str">
            <v>Avstrija</v>
          </cell>
          <cell r="AI61" t="str">
            <v>Austria</v>
          </cell>
          <cell r="AJ61" t="str">
            <v>österrike</v>
          </cell>
          <cell r="AK61" t="str">
            <v>ออสเตรีย</v>
          </cell>
          <cell r="AL61" t="str">
            <v>Avusturya</v>
          </cell>
          <cell r="AM61" t="str">
            <v>Áo</v>
          </cell>
          <cell r="AN61" t="str">
            <v>Австрія</v>
          </cell>
          <cell r="AO61" t="str">
            <v>آسٹریا</v>
          </cell>
        </row>
        <row r="62">
          <cell r="A62" t="str">
            <v>France</v>
          </cell>
          <cell r="B62" t="str">
            <v>Francë</v>
          </cell>
          <cell r="C62" t="str">
            <v>فرنسا</v>
          </cell>
          <cell r="D62" t="str">
            <v>France</v>
          </cell>
          <cell r="E62" t="str">
            <v>Fransa</v>
          </cell>
          <cell r="F62" t="str">
            <v>Франция</v>
          </cell>
          <cell r="G62" t="str">
            <v>França</v>
          </cell>
          <cell r="H62" t="str">
            <v>法国</v>
          </cell>
          <cell r="I62" t="str">
            <v>法國</v>
          </cell>
          <cell r="J62" t="str">
            <v>Francuska</v>
          </cell>
          <cell r="K62" t="str">
            <v>Francie</v>
          </cell>
          <cell r="L62" t="str">
            <v>Frankrig</v>
          </cell>
          <cell r="M62" t="str">
            <v>Frankrijk</v>
          </cell>
          <cell r="N62" t="str">
            <v>France</v>
          </cell>
          <cell r="O62" t="str">
            <v>საფრანგეთი</v>
          </cell>
          <cell r="P62" t="str">
            <v>Frankreich</v>
          </cell>
          <cell r="Q62" t="str">
            <v>Γαλλία</v>
          </cell>
          <cell r="R62" t="str">
            <v>צרפת</v>
          </cell>
          <cell r="S62" t="str">
            <v>Franciaország</v>
          </cell>
          <cell r="T62" t="str">
            <v>Perancis</v>
          </cell>
          <cell r="U62" t="str">
            <v>France</v>
          </cell>
          <cell r="V62" t="str">
            <v>Francia</v>
          </cell>
          <cell r="W62" t="str">
            <v>프랑스</v>
          </cell>
          <cell r="X62" t="str">
            <v>Prancūzija</v>
          </cell>
          <cell r="Y62" t="str">
            <v>Франција</v>
          </cell>
          <cell r="Z62" t="str">
            <v>Franza</v>
          </cell>
          <cell r="AA62" t="str">
            <v>Frankrike</v>
          </cell>
          <cell r="AB62" t="str">
            <v>فرانسه</v>
          </cell>
          <cell r="AC62" t="str">
            <v>Francja</v>
          </cell>
          <cell r="AD62" t="str">
            <v>França</v>
          </cell>
          <cell r="AE62" t="str">
            <v>Franța</v>
          </cell>
          <cell r="AF62" t="str">
            <v>Француска</v>
          </cell>
          <cell r="AG62" t="str">
            <v>francúzsko</v>
          </cell>
          <cell r="AH62" t="str">
            <v>France</v>
          </cell>
          <cell r="AI62" t="str">
            <v>Francia</v>
          </cell>
          <cell r="AJ62" t="str">
            <v>Frankrike</v>
          </cell>
          <cell r="AK62" t="str">
            <v>ฝรั่งเศส</v>
          </cell>
          <cell r="AL62" t="str">
            <v>Fransa</v>
          </cell>
          <cell r="AM62" t="str">
            <v>Pháp</v>
          </cell>
          <cell r="AN62" t="str">
            <v>Франція</v>
          </cell>
          <cell r="AO62" t="str">
            <v>فرانس</v>
          </cell>
        </row>
        <row r="64">
          <cell r="A64" t="str">
            <v>Poland</v>
          </cell>
          <cell r="B64" t="str">
            <v>Poloni</v>
          </cell>
          <cell r="C64" t="str">
            <v>بولندا</v>
          </cell>
          <cell r="D64" t="str">
            <v>poland</v>
          </cell>
          <cell r="E64" t="str">
            <v>Polşa</v>
          </cell>
          <cell r="F64" t="str">
            <v>Полша</v>
          </cell>
          <cell r="G64" t="str">
            <v>Polònia</v>
          </cell>
          <cell r="H64" t="str">
            <v>波兰</v>
          </cell>
          <cell r="I64" t="str">
            <v>波蘭</v>
          </cell>
          <cell r="J64" t="str">
            <v>Poljska</v>
          </cell>
          <cell r="K64" t="str">
            <v>Polsko</v>
          </cell>
          <cell r="L64" t="str">
            <v>Polen</v>
          </cell>
          <cell r="M64" t="str">
            <v>Polen</v>
          </cell>
          <cell r="N64" t="str">
            <v>Pologne</v>
          </cell>
          <cell r="O64" t="str">
            <v>პოლონეთი</v>
          </cell>
          <cell r="P64" t="str">
            <v>Polen</v>
          </cell>
          <cell r="Q64" t="str">
            <v>Πολωνία</v>
          </cell>
          <cell r="R64" t="str">
            <v>פולין</v>
          </cell>
          <cell r="S64" t="str">
            <v>Lengyelország</v>
          </cell>
          <cell r="T64" t="str">
            <v>Polandia</v>
          </cell>
          <cell r="U64" t="str">
            <v>poland</v>
          </cell>
          <cell r="V64" t="str">
            <v>Polonia</v>
          </cell>
          <cell r="W64" t="str">
            <v>폴란드</v>
          </cell>
          <cell r="X64" t="str">
            <v>Lenkija</v>
          </cell>
          <cell r="Y64" t="str">
            <v>Полска</v>
          </cell>
          <cell r="Z64" t="str">
            <v>Il-Polonja</v>
          </cell>
          <cell r="AA64" t="str">
            <v>Polen</v>
          </cell>
          <cell r="AB64" t="str">
            <v>لهستان</v>
          </cell>
          <cell r="AC64" t="str">
            <v>Polska</v>
          </cell>
          <cell r="AD64" t="str">
            <v>Polônia</v>
          </cell>
          <cell r="AE64" t="str">
            <v>Polonia</v>
          </cell>
          <cell r="AF64" t="str">
            <v>Пољска</v>
          </cell>
          <cell r="AG64" t="str">
            <v>Poľsko</v>
          </cell>
          <cell r="AH64" t="str">
            <v>Poljska</v>
          </cell>
          <cell r="AI64" t="str">
            <v>Polonia</v>
          </cell>
          <cell r="AJ64" t="str">
            <v>polen</v>
          </cell>
          <cell r="AK64" t="str">
            <v>โปแลนด์</v>
          </cell>
          <cell r="AL64" t="str">
            <v>Polonya</v>
          </cell>
          <cell r="AM64" t="str">
            <v>Ba Lan</v>
          </cell>
          <cell r="AN64" t="str">
            <v>Польща</v>
          </cell>
          <cell r="AO64" t="str">
            <v>پولینڈ</v>
          </cell>
        </row>
        <row r="66">
          <cell r="A66" t="str">
            <v>England</v>
          </cell>
          <cell r="B66" t="str">
            <v>Angli</v>
          </cell>
          <cell r="C66" t="str">
            <v>انجلترا</v>
          </cell>
          <cell r="D66" t="str">
            <v>Անգլիա</v>
          </cell>
          <cell r="E66" t="str">
            <v>İngiltərə</v>
          </cell>
          <cell r="F66" t="str">
            <v>Англия</v>
          </cell>
          <cell r="G66" t="str">
            <v>Anglaterra</v>
          </cell>
          <cell r="H66" t="str">
            <v>英国</v>
          </cell>
          <cell r="I66" t="str">
            <v>英國</v>
          </cell>
          <cell r="J66" t="str">
            <v>Engleska</v>
          </cell>
          <cell r="K66" t="str">
            <v>Anglie</v>
          </cell>
          <cell r="L66" t="str">
            <v>England</v>
          </cell>
          <cell r="M66" t="str">
            <v>Engeland</v>
          </cell>
          <cell r="N66" t="str">
            <v>Angleterre</v>
          </cell>
          <cell r="O66" t="str">
            <v>ინგლისი</v>
          </cell>
          <cell r="P66" t="str">
            <v>England</v>
          </cell>
          <cell r="Q66" t="str">
            <v>Αγγλία</v>
          </cell>
          <cell r="R66" t="str">
            <v>אנגליה</v>
          </cell>
          <cell r="S66" t="str">
            <v>Anglia</v>
          </cell>
          <cell r="T66" t="str">
            <v>Inggris</v>
          </cell>
          <cell r="U66" t="str">
            <v>England</v>
          </cell>
          <cell r="V66" t="str">
            <v>Inghilterra</v>
          </cell>
          <cell r="W66" t="str">
            <v>영국</v>
          </cell>
          <cell r="X66" t="str">
            <v>Anglija</v>
          </cell>
          <cell r="Y66" t="str">
            <v>Англија</v>
          </cell>
          <cell r="Z66" t="str">
            <v>Ingilterra</v>
          </cell>
          <cell r="AA66" t="str">
            <v>England</v>
          </cell>
          <cell r="AB66" t="str">
            <v>انگلستان</v>
          </cell>
          <cell r="AC66" t="str">
            <v>Anglia</v>
          </cell>
          <cell r="AD66" t="str">
            <v>Inglaterra</v>
          </cell>
          <cell r="AE66" t="str">
            <v>Anglia</v>
          </cell>
          <cell r="AF66" t="str">
            <v>Енглеска</v>
          </cell>
          <cell r="AG66" t="str">
            <v>Anglicko</v>
          </cell>
          <cell r="AH66" t="str">
            <v>Anglija</v>
          </cell>
          <cell r="AI66" t="str">
            <v>Inglaterra</v>
          </cell>
          <cell r="AJ66" t="str">
            <v>England</v>
          </cell>
          <cell r="AK66" t="str">
            <v>อังกฤษ</v>
          </cell>
          <cell r="AL66" t="str">
            <v>İngiltere</v>
          </cell>
          <cell r="AM66" t="str">
            <v>Anh</v>
          </cell>
          <cell r="AN66" t="str">
            <v>Англія</v>
          </cell>
          <cell r="AO66" t="str">
            <v>انگلینڈ</v>
          </cell>
        </row>
        <row r="67">
          <cell r="A67" t="str">
            <v>Belgium</v>
          </cell>
          <cell r="B67" t="str">
            <v>Belgjikë</v>
          </cell>
          <cell r="C67" t="str">
            <v>بلجيكا</v>
          </cell>
          <cell r="D67" t="str">
            <v>Բելգիա</v>
          </cell>
          <cell r="E67" t="str">
            <v>Belçika</v>
          </cell>
          <cell r="F67" t="str">
            <v>Белгия</v>
          </cell>
          <cell r="G67" t="str">
            <v>Bèlgica</v>
          </cell>
          <cell r="H67" t="str">
            <v>比利时</v>
          </cell>
          <cell r="I67" t="str">
            <v>比利時</v>
          </cell>
          <cell r="J67" t="str">
            <v>Belgija</v>
          </cell>
          <cell r="K67" t="str">
            <v>Belgie</v>
          </cell>
          <cell r="L67" t="str">
            <v>Belgien</v>
          </cell>
          <cell r="M67" t="str">
            <v>België</v>
          </cell>
          <cell r="N67" t="str">
            <v>Belgique</v>
          </cell>
          <cell r="O67" t="str">
            <v>ბელგიის</v>
          </cell>
          <cell r="P67" t="str">
            <v>Belgien</v>
          </cell>
          <cell r="Q67" t="str">
            <v>Βέλγιο</v>
          </cell>
          <cell r="R67" t="str">
            <v>בלגיה</v>
          </cell>
          <cell r="S67" t="str">
            <v>Belgium</v>
          </cell>
          <cell r="T67" t="str">
            <v>Belgia</v>
          </cell>
          <cell r="U67" t="str">
            <v>Belgium</v>
          </cell>
          <cell r="V67" t="str">
            <v>Belgio</v>
          </cell>
          <cell r="W67" t="str">
            <v>벨기에</v>
          </cell>
          <cell r="X67" t="str">
            <v>Belgija</v>
          </cell>
          <cell r="Y67" t="str">
            <v>белгија</v>
          </cell>
          <cell r="Z67" t="str">
            <v>Il-Belġju</v>
          </cell>
          <cell r="AA67" t="str">
            <v>Belgia</v>
          </cell>
          <cell r="AB67" t="str">
            <v>بلژیک</v>
          </cell>
          <cell r="AC67" t="str">
            <v>Belgia</v>
          </cell>
          <cell r="AD67" t="str">
            <v>Bélgica</v>
          </cell>
          <cell r="AE67" t="str">
            <v>Belgia</v>
          </cell>
          <cell r="AF67" t="str">
            <v>Белгија</v>
          </cell>
          <cell r="AG67" t="str">
            <v>belgicko</v>
          </cell>
          <cell r="AH67" t="str">
            <v>Belgija</v>
          </cell>
          <cell r="AI67" t="str">
            <v>Bélgica</v>
          </cell>
          <cell r="AJ67" t="str">
            <v>Belgien</v>
          </cell>
          <cell r="AK67" t="str">
            <v>เบลเยี่ยม</v>
          </cell>
          <cell r="AL67" t="str">
            <v>Belçika</v>
          </cell>
          <cell r="AM67" t="str">
            <v>Bỉ</v>
          </cell>
          <cell r="AN67" t="str">
            <v>Бельгія</v>
          </cell>
          <cell r="AO67" t="str">
            <v>بیلجئیم</v>
          </cell>
        </row>
        <row r="68">
          <cell r="A68" t="str">
            <v>Sweden</v>
          </cell>
          <cell r="B68" t="str">
            <v>Suedi</v>
          </cell>
          <cell r="C68" t="str">
            <v>السويد</v>
          </cell>
          <cell r="D68" t="str">
            <v>sweden</v>
          </cell>
          <cell r="E68" t="str">
            <v>İsveç</v>
          </cell>
          <cell r="F68" t="str">
            <v>Швеция</v>
          </cell>
          <cell r="G68" t="str">
            <v>Suècia</v>
          </cell>
          <cell r="H68" t="str">
            <v>瑞典</v>
          </cell>
          <cell r="I68" t="str">
            <v>瑞典</v>
          </cell>
          <cell r="J68" t="str">
            <v>Švedska</v>
          </cell>
          <cell r="K68" t="str">
            <v>Švédsko</v>
          </cell>
          <cell r="L68" t="str">
            <v>Sverige</v>
          </cell>
          <cell r="M68" t="str">
            <v>Zweden</v>
          </cell>
          <cell r="N68" t="str">
            <v>Suède</v>
          </cell>
          <cell r="O68" t="str">
            <v>შვედეთი</v>
          </cell>
          <cell r="P68" t="str">
            <v>Schweden</v>
          </cell>
          <cell r="Q68" t="str">
            <v>Σουηδία</v>
          </cell>
          <cell r="R68" t="str">
            <v>שוודיה</v>
          </cell>
          <cell r="S68" t="str">
            <v>Svédország</v>
          </cell>
          <cell r="T68" t="str">
            <v>Swedia</v>
          </cell>
          <cell r="U68" t="str">
            <v>Svíþjóð</v>
          </cell>
          <cell r="V68" t="str">
            <v>Svezia</v>
          </cell>
          <cell r="W68" t="str">
            <v>스웨덴</v>
          </cell>
          <cell r="X68" t="str">
            <v>Švedija</v>
          </cell>
          <cell r="Y68" t="str">
            <v>Шведска</v>
          </cell>
          <cell r="Z68" t="str">
            <v>l-Isvezja</v>
          </cell>
          <cell r="AA68" t="str">
            <v>Sverige</v>
          </cell>
          <cell r="AB68" t="str">
            <v>سوئد</v>
          </cell>
          <cell r="AC68" t="str">
            <v>Szwecja</v>
          </cell>
          <cell r="AD68" t="str">
            <v>Suécia</v>
          </cell>
          <cell r="AE68" t="str">
            <v>Suedia</v>
          </cell>
          <cell r="AF68" t="str">
            <v>Шведска</v>
          </cell>
          <cell r="AG68" t="str">
            <v>Švédsko</v>
          </cell>
          <cell r="AH68" t="str">
            <v>Švedska</v>
          </cell>
          <cell r="AI68" t="str">
            <v>Suecia</v>
          </cell>
          <cell r="AJ68" t="str">
            <v>sverige</v>
          </cell>
          <cell r="AK68" t="str">
            <v>สวีเดน</v>
          </cell>
          <cell r="AL68" t="str">
            <v>İsveç</v>
          </cell>
          <cell r="AM68" t="str">
            <v>Thụy Điển</v>
          </cell>
          <cell r="AN68" t="str">
            <v>Швеція</v>
          </cell>
          <cell r="AO68" t="str">
            <v>سویڈن</v>
          </cell>
        </row>
        <row r="69">
          <cell r="A69" t="str">
            <v>Russia</v>
          </cell>
          <cell r="B69" t="str">
            <v>Rusi</v>
          </cell>
          <cell r="C69" t="str">
            <v>روسيا</v>
          </cell>
          <cell r="D69" t="str">
            <v>Ռուսաստան</v>
          </cell>
          <cell r="E69" t="str">
            <v>Rusiya</v>
          </cell>
          <cell r="F69" t="str">
            <v>Русия</v>
          </cell>
          <cell r="G69" t="str">
            <v>Rússia</v>
          </cell>
          <cell r="H69" t="str">
            <v>俄国</v>
          </cell>
          <cell r="I69" t="str">
            <v>俄國</v>
          </cell>
          <cell r="J69" t="str">
            <v>Rusija</v>
          </cell>
          <cell r="K69" t="str">
            <v>Rusko</v>
          </cell>
          <cell r="L69" t="str">
            <v>Rusland</v>
          </cell>
          <cell r="M69" t="str">
            <v>Rusland</v>
          </cell>
          <cell r="N69" t="str">
            <v>Russie</v>
          </cell>
          <cell r="O69" t="str">
            <v>რუსეთის</v>
          </cell>
          <cell r="P69" t="str">
            <v>Russland</v>
          </cell>
          <cell r="Q69" t="str">
            <v>Ρωσία</v>
          </cell>
          <cell r="R69" t="str">
            <v>רוסיה</v>
          </cell>
          <cell r="S69" t="str">
            <v>Oroszország</v>
          </cell>
          <cell r="T69" t="str">
            <v>Rusia</v>
          </cell>
          <cell r="U69" t="str">
            <v>russia</v>
          </cell>
          <cell r="V69" t="str">
            <v>Russia</v>
          </cell>
          <cell r="W69" t="str">
            <v>러시아</v>
          </cell>
          <cell r="X69" t="str">
            <v>Rusija</v>
          </cell>
          <cell r="Y69" t="str">
            <v>Русија</v>
          </cell>
          <cell r="Z69" t="str">
            <v>Russja</v>
          </cell>
          <cell r="AA69" t="str">
            <v>Russland</v>
          </cell>
          <cell r="AB69" t="str">
            <v>روسیه،</v>
          </cell>
          <cell r="AC69" t="str">
            <v>Rosja</v>
          </cell>
          <cell r="AD69" t="str">
            <v>Rússia</v>
          </cell>
          <cell r="AE69" t="str">
            <v>Rusia</v>
          </cell>
          <cell r="AF69" t="str">
            <v>Русија</v>
          </cell>
          <cell r="AG69" t="str">
            <v>rusko</v>
          </cell>
          <cell r="AH69" t="str">
            <v>Rusija</v>
          </cell>
          <cell r="AI69" t="str">
            <v>Rusia</v>
          </cell>
          <cell r="AJ69" t="str">
            <v>Ryssland</v>
          </cell>
          <cell r="AK69" t="str">
            <v>ประเทศรัสเซีย</v>
          </cell>
          <cell r="AL69" t="str">
            <v>Rusya</v>
          </cell>
          <cell r="AM69" t="str">
            <v>Nga</v>
          </cell>
          <cell r="AN69" t="str">
            <v>Росія</v>
          </cell>
          <cell r="AO69" t="str">
            <v>روس</v>
          </cell>
        </row>
        <row r="70">
          <cell r="A70" t="str">
            <v>1A</v>
          </cell>
          <cell r="B70" t="str">
            <v>1A</v>
          </cell>
          <cell r="C70" t="str">
            <v>1A</v>
          </cell>
          <cell r="D70" t="str">
            <v>1A</v>
          </cell>
          <cell r="E70" t="str">
            <v>1A</v>
          </cell>
          <cell r="F70" t="str">
            <v>1A</v>
          </cell>
          <cell r="G70" t="str">
            <v>1A</v>
          </cell>
          <cell r="H70" t="str">
            <v>1A</v>
          </cell>
          <cell r="I70" t="str">
            <v>1A</v>
          </cell>
          <cell r="J70" t="str">
            <v>1A</v>
          </cell>
          <cell r="K70" t="str">
            <v>1A</v>
          </cell>
          <cell r="L70" t="str">
            <v>1A</v>
          </cell>
          <cell r="M70" t="str">
            <v>A1</v>
          </cell>
          <cell r="N70" t="str">
            <v>1A</v>
          </cell>
          <cell r="O70" t="str">
            <v>1A</v>
          </cell>
          <cell r="P70" t="str">
            <v>1A</v>
          </cell>
          <cell r="Q70" t="str">
            <v>1A</v>
          </cell>
          <cell r="R70" t="str">
            <v>1A</v>
          </cell>
          <cell r="S70" t="str">
            <v>1A</v>
          </cell>
          <cell r="T70" t="str">
            <v>1A</v>
          </cell>
          <cell r="U70" t="str">
            <v>1A</v>
          </cell>
          <cell r="V70" t="str">
            <v>1A</v>
          </cell>
          <cell r="W70" t="str">
            <v>A 그룹 1위</v>
          </cell>
          <cell r="X70" t="str">
            <v>1A</v>
          </cell>
          <cell r="Y70" t="str">
            <v>1A</v>
          </cell>
          <cell r="Z70" t="str">
            <v>1A</v>
          </cell>
          <cell r="AA70" t="str">
            <v>1A</v>
          </cell>
          <cell r="AB70" t="str">
            <v>اول گروه A</v>
          </cell>
          <cell r="AC70" t="str">
            <v>1A</v>
          </cell>
          <cell r="AD70" t="str">
            <v>1A</v>
          </cell>
          <cell r="AE70" t="str">
            <v>1A</v>
          </cell>
          <cell r="AF70" t="str">
            <v>1A</v>
          </cell>
          <cell r="AG70" t="str">
            <v>1A</v>
          </cell>
          <cell r="AH70" t="str">
            <v>1A</v>
          </cell>
          <cell r="AI70" t="str">
            <v>1A</v>
          </cell>
          <cell r="AJ70" t="str">
            <v>1A</v>
          </cell>
          <cell r="AK70" t="str">
            <v>ที่ 1 สาย A</v>
          </cell>
          <cell r="AL70" t="str">
            <v>A1</v>
          </cell>
          <cell r="AM70" t="str">
            <v>1A</v>
          </cell>
          <cell r="AN70" t="str">
            <v>1A</v>
          </cell>
          <cell r="AO70" t="str">
            <v>۱الف</v>
          </cell>
        </row>
        <row r="71">
          <cell r="A71" t="str">
            <v>2A</v>
          </cell>
          <cell r="B71" t="str">
            <v>2A</v>
          </cell>
          <cell r="C71" t="str">
            <v>2A</v>
          </cell>
          <cell r="D71" t="str">
            <v>2A</v>
          </cell>
          <cell r="E71" t="str">
            <v>2A</v>
          </cell>
          <cell r="F71" t="str">
            <v>2A</v>
          </cell>
          <cell r="G71" t="str">
            <v>2A</v>
          </cell>
          <cell r="H71" t="str">
            <v>2A</v>
          </cell>
          <cell r="I71" t="str">
            <v>2A</v>
          </cell>
          <cell r="J71" t="str">
            <v>2A</v>
          </cell>
          <cell r="K71" t="str">
            <v>2A</v>
          </cell>
          <cell r="L71" t="str">
            <v>2A</v>
          </cell>
          <cell r="M71" t="str">
            <v>A2</v>
          </cell>
          <cell r="N71" t="str">
            <v>2A</v>
          </cell>
          <cell r="O71" t="str">
            <v>2A</v>
          </cell>
          <cell r="P71" t="str">
            <v>2A</v>
          </cell>
          <cell r="Q71" t="str">
            <v>2A</v>
          </cell>
          <cell r="R71" t="str">
            <v>2A</v>
          </cell>
          <cell r="S71" t="str">
            <v>2A</v>
          </cell>
          <cell r="T71" t="str">
            <v>2A</v>
          </cell>
          <cell r="U71" t="str">
            <v>2A</v>
          </cell>
          <cell r="V71" t="str">
            <v>2A</v>
          </cell>
          <cell r="W71" t="str">
            <v>A 그룹 2위</v>
          </cell>
          <cell r="X71" t="str">
            <v>2A</v>
          </cell>
          <cell r="Y71" t="str">
            <v>2A</v>
          </cell>
          <cell r="Z71" t="str">
            <v>2A</v>
          </cell>
          <cell r="AA71" t="str">
            <v>2A</v>
          </cell>
          <cell r="AB71" t="str">
            <v>دوم گروه A</v>
          </cell>
          <cell r="AC71" t="str">
            <v>2A</v>
          </cell>
          <cell r="AD71" t="str">
            <v>2A</v>
          </cell>
          <cell r="AE71" t="str">
            <v>2A</v>
          </cell>
          <cell r="AF71" t="str">
            <v>2A</v>
          </cell>
          <cell r="AG71" t="str">
            <v>2A</v>
          </cell>
          <cell r="AH71" t="str">
            <v>2A</v>
          </cell>
          <cell r="AI71" t="str">
            <v>2A</v>
          </cell>
          <cell r="AJ71" t="str">
            <v>2A</v>
          </cell>
          <cell r="AK71" t="str">
            <v>ที่ 2 สาย A</v>
          </cell>
          <cell r="AL71" t="str">
            <v>A2</v>
          </cell>
          <cell r="AM71" t="str">
            <v>2A</v>
          </cell>
          <cell r="AN71" t="str">
            <v>2A</v>
          </cell>
          <cell r="AO71" t="str">
            <v>۲الف</v>
          </cell>
        </row>
        <row r="72">
          <cell r="A72" t="str">
            <v>1B</v>
          </cell>
          <cell r="B72" t="str">
            <v>1B</v>
          </cell>
          <cell r="C72" t="str">
            <v>1B</v>
          </cell>
          <cell r="D72" t="str">
            <v>1B</v>
          </cell>
          <cell r="E72" t="str">
            <v>1B</v>
          </cell>
          <cell r="F72" t="str">
            <v>1B</v>
          </cell>
          <cell r="G72" t="str">
            <v>1B</v>
          </cell>
          <cell r="H72" t="str">
            <v>1B</v>
          </cell>
          <cell r="I72" t="str">
            <v>1B</v>
          </cell>
          <cell r="J72" t="str">
            <v>1B</v>
          </cell>
          <cell r="K72" t="str">
            <v>1B</v>
          </cell>
          <cell r="L72" t="str">
            <v>1B</v>
          </cell>
          <cell r="M72" t="str">
            <v>B1</v>
          </cell>
          <cell r="N72" t="str">
            <v>1B</v>
          </cell>
          <cell r="O72" t="str">
            <v>1B</v>
          </cell>
          <cell r="P72" t="str">
            <v>1B</v>
          </cell>
          <cell r="Q72" t="str">
            <v>1B</v>
          </cell>
          <cell r="R72" t="str">
            <v>1B</v>
          </cell>
          <cell r="S72" t="str">
            <v>1B</v>
          </cell>
          <cell r="T72" t="str">
            <v>1B</v>
          </cell>
          <cell r="U72" t="str">
            <v>1B</v>
          </cell>
          <cell r="V72" t="str">
            <v>1B</v>
          </cell>
          <cell r="W72" t="str">
            <v>B 그룹 1위</v>
          </cell>
          <cell r="X72" t="str">
            <v>1B</v>
          </cell>
          <cell r="Y72" t="str">
            <v>1B</v>
          </cell>
          <cell r="Z72" t="str">
            <v>1B</v>
          </cell>
          <cell r="AA72" t="str">
            <v>1B</v>
          </cell>
          <cell r="AB72" t="str">
            <v>اول گروه B</v>
          </cell>
          <cell r="AC72" t="str">
            <v>1B</v>
          </cell>
          <cell r="AD72" t="str">
            <v>1B</v>
          </cell>
          <cell r="AE72" t="str">
            <v>1B</v>
          </cell>
          <cell r="AF72" t="str">
            <v>1B</v>
          </cell>
          <cell r="AG72" t="str">
            <v>1B</v>
          </cell>
          <cell r="AH72" t="str">
            <v>1B</v>
          </cell>
          <cell r="AI72" t="str">
            <v>1B</v>
          </cell>
          <cell r="AJ72" t="str">
            <v>1B</v>
          </cell>
          <cell r="AK72" t="str">
            <v>ที่ 1 สาย B</v>
          </cell>
          <cell r="AL72" t="str">
            <v>B1</v>
          </cell>
          <cell r="AM72" t="str">
            <v>1B</v>
          </cell>
          <cell r="AN72" t="str">
            <v>1B</v>
          </cell>
          <cell r="AO72" t="str">
            <v>۱ب</v>
          </cell>
        </row>
        <row r="73">
          <cell r="A73" t="str">
            <v>2B</v>
          </cell>
          <cell r="B73" t="str">
            <v>2B</v>
          </cell>
          <cell r="C73" t="str">
            <v>2B</v>
          </cell>
          <cell r="D73" t="str">
            <v>2B</v>
          </cell>
          <cell r="E73" t="str">
            <v>2B</v>
          </cell>
          <cell r="F73" t="str">
            <v>2B</v>
          </cell>
          <cell r="G73" t="str">
            <v>2B</v>
          </cell>
          <cell r="H73" t="str">
            <v>2B</v>
          </cell>
          <cell r="I73" t="str">
            <v>2B</v>
          </cell>
          <cell r="J73" t="str">
            <v>2B</v>
          </cell>
          <cell r="K73" t="str">
            <v>2B</v>
          </cell>
          <cell r="L73" t="str">
            <v>2B</v>
          </cell>
          <cell r="M73" t="str">
            <v>B2</v>
          </cell>
          <cell r="N73" t="str">
            <v>2B</v>
          </cell>
          <cell r="O73" t="str">
            <v>2B</v>
          </cell>
          <cell r="P73" t="str">
            <v>2B</v>
          </cell>
          <cell r="Q73" t="str">
            <v>2B</v>
          </cell>
          <cell r="R73" t="str">
            <v>2B</v>
          </cell>
          <cell r="S73" t="str">
            <v>2B</v>
          </cell>
          <cell r="T73" t="str">
            <v>2B</v>
          </cell>
          <cell r="U73" t="str">
            <v>2B</v>
          </cell>
          <cell r="V73" t="str">
            <v>2B</v>
          </cell>
          <cell r="W73" t="str">
            <v>B 그룹 2위</v>
          </cell>
          <cell r="X73" t="str">
            <v>2B</v>
          </cell>
          <cell r="Y73" t="str">
            <v>2B</v>
          </cell>
          <cell r="Z73" t="str">
            <v>2B</v>
          </cell>
          <cell r="AA73" t="str">
            <v>2B</v>
          </cell>
          <cell r="AB73" t="str">
            <v>دوم گروهB</v>
          </cell>
          <cell r="AC73" t="str">
            <v>2B</v>
          </cell>
          <cell r="AD73" t="str">
            <v>2B</v>
          </cell>
          <cell r="AE73" t="str">
            <v>2B</v>
          </cell>
          <cell r="AF73" t="str">
            <v>2B</v>
          </cell>
          <cell r="AG73" t="str">
            <v>2B</v>
          </cell>
          <cell r="AH73" t="str">
            <v>2B</v>
          </cell>
          <cell r="AI73" t="str">
            <v>2B</v>
          </cell>
          <cell r="AJ73" t="str">
            <v>2B</v>
          </cell>
          <cell r="AK73" t="str">
            <v>ที่ 2 สาย B</v>
          </cell>
          <cell r="AL73" t="str">
            <v>B2</v>
          </cell>
          <cell r="AM73" t="str">
            <v>2B</v>
          </cell>
          <cell r="AN73" t="str">
            <v>2B</v>
          </cell>
          <cell r="AO73" t="str">
            <v>۲ب</v>
          </cell>
        </row>
        <row r="74">
          <cell r="A74" t="str">
            <v>1C</v>
          </cell>
          <cell r="B74" t="str">
            <v>1C</v>
          </cell>
          <cell r="C74" t="str">
            <v>1C</v>
          </cell>
          <cell r="D74" t="str">
            <v>1C</v>
          </cell>
          <cell r="E74" t="str">
            <v>1C</v>
          </cell>
          <cell r="F74" t="str">
            <v>1C</v>
          </cell>
          <cell r="G74" t="str">
            <v>1C</v>
          </cell>
          <cell r="H74" t="str">
            <v>1C</v>
          </cell>
          <cell r="I74" t="str">
            <v>1C</v>
          </cell>
          <cell r="J74" t="str">
            <v>1C</v>
          </cell>
          <cell r="K74" t="str">
            <v>1C</v>
          </cell>
          <cell r="L74" t="str">
            <v>1C</v>
          </cell>
          <cell r="M74" t="str">
            <v>C1</v>
          </cell>
          <cell r="N74" t="str">
            <v>1C</v>
          </cell>
          <cell r="O74" t="str">
            <v>1C</v>
          </cell>
          <cell r="P74" t="str">
            <v>1C</v>
          </cell>
          <cell r="Q74" t="str">
            <v>1Γ</v>
          </cell>
          <cell r="R74" t="str">
            <v>1C</v>
          </cell>
          <cell r="S74" t="str">
            <v>1C</v>
          </cell>
          <cell r="T74" t="str">
            <v>1C</v>
          </cell>
          <cell r="U74" t="str">
            <v>1C</v>
          </cell>
          <cell r="V74" t="str">
            <v>1C</v>
          </cell>
          <cell r="W74" t="str">
            <v>C 그룹 1위</v>
          </cell>
          <cell r="X74" t="str">
            <v>1C</v>
          </cell>
          <cell r="Y74" t="str">
            <v>1C</v>
          </cell>
          <cell r="Z74" t="str">
            <v>1Ċ</v>
          </cell>
          <cell r="AA74" t="str">
            <v>1C</v>
          </cell>
          <cell r="AB74" t="str">
            <v>اول گروه C</v>
          </cell>
          <cell r="AC74" t="str">
            <v>1C</v>
          </cell>
          <cell r="AD74" t="str">
            <v>1C</v>
          </cell>
          <cell r="AE74" t="str">
            <v>1C</v>
          </cell>
          <cell r="AF74" t="str">
            <v>1C</v>
          </cell>
          <cell r="AG74" t="str">
            <v>1C</v>
          </cell>
          <cell r="AH74" t="str">
            <v>1C</v>
          </cell>
          <cell r="AI74" t="str">
            <v>1C</v>
          </cell>
          <cell r="AJ74" t="str">
            <v>1C</v>
          </cell>
          <cell r="AK74" t="str">
            <v>ที่ 1 สาย C</v>
          </cell>
          <cell r="AL74" t="str">
            <v>C1</v>
          </cell>
          <cell r="AM74" t="str">
            <v>1C</v>
          </cell>
          <cell r="AN74" t="str">
            <v>1C</v>
          </cell>
          <cell r="AO74" t="str">
            <v>۱ج</v>
          </cell>
        </row>
        <row r="75">
          <cell r="A75" t="str">
            <v>2C</v>
          </cell>
          <cell r="B75" t="str">
            <v>2C</v>
          </cell>
          <cell r="C75" t="str">
            <v>2C</v>
          </cell>
          <cell r="D75" t="str">
            <v>2C</v>
          </cell>
          <cell r="E75" t="str">
            <v>2C</v>
          </cell>
          <cell r="F75" t="str">
            <v>2C</v>
          </cell>
          <cell r="G75" t="str">
            <v>2C</v>
          </cell>
          <cell r="H75" t="str">
            <v>2C</v>
          </cell>
          <cell r="I75" t="str">
            <v>2C</v>
          </cell>
          <cell r="J75" t="str">
            <v>2C</v>
          </cell>
          <cell r="K75" t="str">
            <v>2C</v>
          </cell>
          <cell r="L75" t="str">
            <v>2C</v>
          </cell>
          <cell r="M75" t="str">
            <v>C2</v>
          </cell>
          <cell r="N75" t="str">
            <v>2C</v>
          </cell>
          <cell r="O75" t="str">
            <v>2C</v>
          </cell>
          <cell r="P75" t="str">
            <v>2C</v>
          </cell>
          <cell r="Q75" t="str">
            <v>2Γ</v>
          </cell>
          <cell r="R75" t="str">
            <v>2C</v>
          </cell>
          <cell r="S75" t="str">
            <v>2C</v>
          </cell>
          <cell r="T75" t="str">
            <v>2C</v>
          </cell>
          <cell r="U75" t="str">
            <v>2C</v>
          </cell>
          <cell r="V75" t="str">
            <v>2C</v>
          </cell>
          <cell r="W75" t="str">
            <v>C 그룹 2위</v>
          </cell>
          <cell r="X75" t="str">
            <v>2C</v>
          </cell>
          <cell r="Y75" t="str">
            <v>2C</v>
          </cell>
          <cell r="Z75" t="str">
            <v>2Ċ</v>
          </cell>
          <cell r="AA75" t="str">
            <v>2C</v>
          </cell>
          <cell r="AB75" t="str">
            <v>دوم گروه C</v>
          </cell>
          <cell r="AC75" t="str">
            <v>2C</v>
          </cell>
          <cell r="AD75" t="str">
            <v>2C</v>
          </cell>
          <cell r="AE75" t="str">
            <v>2C</v>
          </cell>
          <cell r="AF75" t="str">
            <v>2C</v>
          </cell>
          <cell r="AG75" t="str">
            <v>2C</v>
          </cell>
          <cell r="AH75" t="str">
            <v>2C</v>
          </cell>
          <cell r="AI75" t="str">
            <v>2C</v>
          </cell>
          <cell r="AJ75" t="str">
            <v>2C</v>
          </cell>
          <cell r="AK75" t="str">
            <v>ที่ 2 สาย C</v>
          </cell>
          <cell r="AL75" t="str">
            <v>C2</v>
          </cell>
          <cell r="AM75" t="str">
            <v>2C</v>
          </cell>
          <cell r="AN75" t="str">
            <v>2C</v>
          </cell>
          <cell r="AO75" t="str">
            <v>۲ج</v>
          </cell>
        </row>
        <row r="76">
          <cell r="A76" t="str">
            <v>1D</v>
          </cell>
          <cell r="B76" t="str">
            <v>1D</v>
          </cell>
          <cell r="C76" t="str">
            <v>1D</v>
          </cell>
          <cell r="D76" t="str">
            <v>1D</v>
          </cell>
          <cell r="E76" t="str">
            <v>1D</v>
          </cell>
          <cell r="F76" t="str">
            <v>1D</v>
          </cell>
          <cell r="G76" t="str">
            <v>1D</v>
          </cell>
          <cell r="H76" t="str">
            <v>1D</v>
          </cell>
          <cell r="I76" t="str">
            <v>1D</v>
          </cell>
          <cell r="J76" t="str">
            <v>1D</v>
          </cell>
          <cell r="K76" t="str">
            <v>1D</v>
          </cell>
          <cell r="L76" t="str">
            <v>1D</v>
          </cell>
          <cell r="M76" t="str">
            <v>D1</v>
          </cell>
          <cell r="N76" t="str">
            <v>1D</v>
          </cell>
          <cell r="O76" t="str">
            <v>1D</v>
          </cell>
          <cell r="P76" t="str">
            <v>1D</v>
          </cell>
          <cell r="Q76" t="str">
            <v>1Δ</v>
          </cell>
          <cell r="R76" t="str">
            <v>1D</v>
          </cell>
          <cell r="S76" t="str">
            <v>1D</v>
          </cell>
          <cell r="T76" t="str">
            <v>1D</v>
          </cell>
          <cell r="U76" t="str">
            <v>1D</v>
          </cell>
          <cell r="V76" t="str">
            <v>1D</v>
          </cell>
          <cell r="W76" t="str">
            <v>D 그룹 1위</v>
          </cell>
          <cell r="X76" t="str">
            <v>1D</v>
          </cell>
          <cell r="Y76" t="str">
            <v>1D</v>
          </cell>
          <cell r="Z76" t="str">
            <v>1D</v>
          </cell>
          <cell r="AA76" t="str">
            <v>1D</v>
          </cell>
          <cell r="AB76" t="str">
            <v>اول گروه D</v>
          </cell>
          <cell r="AC76" t="str">
            <v>1D</v>
          </cell>
          <cell r="AD76" t="str">
            <v>1D</v>
          </cell>
          <cell r="AE76" t="str">
            <v>1D</v>
          </cell>
          <cell r="AF76" t="str">
            <v>1D</v>
          </cell>
          <cell r="AG76" t="str">
            <v>1D</v>
          </cell>
          <cell r="AH76" t="str">
            <v>1D</v>
          </cell>
          <cell r="AI76" t="str">
            <v>1D</v>
          </cell>
          <cell r="AJ76" t="str">
            <v>1D</v>
          </cell>
          <cell r="AK76" t="str">
            <v>ที่ 1 สาย D</v>
          </cell>
          <cell r="AL76" t="str">
            <v>D1</v>
          </cell>
          <cell r="AM76" t="str">
            <v>1D</v>
          </cell>
          <cell r="AN76" t="str">
            <v>1D</v>
          </cell>
          <cell r="AO76" t="str">
            <v>۱د</v>
          </cell>
        </row>
        <row r="77">
          <cell r="A77" t="str">
            <v>2D</v>
          </cell>
          <cell r="B77" t="str">
            <v>2D</v>
          </cell>
          <cell r="C77" t="str">
            <v>2D</v>
          </cell>
          <cell r="D77" t="str">
            <v>2D</v>
          </cell>
          <cell r="E77" t="str">
            <v>2D</v>
          </cell>
          <cell r="F77" t="str">
            <v>2D</v>
          </cell>
          <cell r="G77" t="str">
            <v>2D</v>
          </cell>
          <cell r="H77" t="str">
            <v>2D</v>
          </cell>
          <cell r="I77" t="str">
            <v>2D</v>
          </cell>
          <cell r="J77" t="str">
            <v>2D</v>
          </cell>
          <cell r="K77" t="str">
            <v>2D</v>
          </cell>
          <cell r="L77" t="str">
            <v>2D</v>
          </cell>
          <cell r="M77" t="str">
            <v>D2</v>
          </cell>
          <cell r="N77" t="str">
            <v>2D</v>
          </cell>
          <cell r="O77" t="str">
            <v>2D</v>
          </cell>
          <cell r="P77" t="str">
            <v>2D</v>
          </cell>
          <cell r="Q77" t="str">
            <v>2Δ</v>
          </cell>
          <cell r="R77" t="str">
            <v>2D</v>
          </cell>
          <cell r="S77" t="str">
            <v>2D</v>
          </cell>
          <cell r="T77" t="str">
            <v>2D</v>
          </cell>
          <cell r="U77" t="str">
            <v>2D</v>
          </cell>
          <cell r="V77" t="str">
            <v>2D</v>
          </cell>
          <cell r="W77" t="str">
            <v>D 그룹 2위</v>
          </cell>
          <cell r="X77" t="str">
            <v>2D</v>
          </cell>
          <cell r="Y77" t="str">
            <v>2D</v>
          </cell>
          <cell r="Z77" t="str">
            <v>2D</v>
          </cell>
          <cell r="AA77" t="str">
            <v>2D</v>
          </cell>
          <cell r="AB77" t="str">
            <v>دوم گروه D</v>
          </cell>
          <cell r="AC77" t="str">
            <v>2D</v>
          </cell>
          <cell r="AD77" t="str">
            <v>2D</v>
          </cell>
          <cell r="AE77" t="str">
            <v>2D</v>
          </cell>
          <cell r="AF77" t="str">
            <v>2D</v>
          </cell>
          <cell r="AG77" t="str">
            <v>2D</v>
          </cell>
          <cell r="AH77" t="str">
            <v>2D</v>
          </cell>
          <cell r="AI77" t="str">
            <v>2D</v>
          </cell>
          <cell r="AJ77" t="str">
            <v>2D</v>
          </cell>
          <cell r="AK77" t="str">
            <v>ที่ 2 สาย D</v>
          </cell>
          <cell r="AL77" t="str">
            <v>D2</v>
          </cell>
          <cell r="AM77" t="str">
            <v>2D</v>
          </cell>
          <cell r="AN77" t="str">
            <v>2D</v>
          </cell>
          <cell r="AO77" t="str">
            <v>۲د</v>
          </cell>
        </row>
        <row r="78">
          <cell r="A78" t="str">
            <v>1E</v>
          </cell>
          <cell r="B78" t="str">
            <v>1E</v>
          </cell>
          <cell r="C78" t="str">
            <v>1E</v>
          </cell>
          <cell r="D78" t="str">
            <v>1E</v>
          </cell>
          <cell r="E78" t="str">
            <v>1E</v>
          </cell>
          <cell r="F78" t="str">
            <v>1E</v>
          </cell>
          <cell r="G78" t="str">
            <v>1E</v>
          </cell>
          <cell r="H78" t="str">
            <v>1E</v>
          </cell>
          <cell r="I78" t="str">
            <v>1E</v>
          </cell>
          <cell r="J78" t="str">
            <v>1E</v>
          </cell>
          <cell r="K78" t="str">
            <v>1E</v>
          </cell>
          <cell r="L78" t="str">
            <v>1E</v>
          </cell>
          <cell r="M78" t="str">
            <v>E1</v>
          </cell>
          <cell r="N78" t="str">
            <v>1E</v>
          </cell>
          <cell r="O78" t="str">
            <v>1E</v>
          </cell>
          <cell r="P78" t="str">
            <v>1E</v>
          </cell>
          <cell r="Q78" t="str">
            <v>1Ε</v>
          </cell>
          <cell r="R78" t="str">
            <v>1E</v>
          </cell>
          <cell r="S78" t="str">
            <v>1E</v>
          </cell>
          <cell r="T78" t="str">
            <v>1E</v>
          </cell>
          <cell r="U78" t="str">
            <v>1E</v>
          </cell>
          <cell r="V78" t="str">
            <v>1E</v>
          </cell>
          <cell r="W78" t="str">
            <v>E 그룹 1위</v>
          </cell>
          <cell r="X78" t="str">
            <v>1E</v>
          </cell>
          <cell r="Y78" t="str">
            <v>1E</v>
          </cell>
          <cell r="Z78" t="str">
            <v>1E</v>
          </cell>
          <cell r="AA78" t="str">
            <v>1E</v>
          </cell>
          <cell r="AB78" t="str">
            <v>اول گروه E</v>
          </cell>
          <cell r="AC78" t="str">
            <v>1E</v>
          </cell>
          <cell r="AD78" t="str">
            <v>1E</v>
          </cell>
          <cell r="AE78" t="str">
            <v>1E</v>
          </cell>
          <cell r="AF78" t="str">
            <v>1E</v>
          </cell>
          <cell r="AG78" t="str">
            <v>1E</v>
          </cell>
          <cell r="AH78" t="str">
            <v>1E</v>
          </cell>
          <cell r="AI78" t="str">
            <v>1E</v>
          </cell>
          <cell r="AJ78" t="str">
            <v>1E</v>
          </cell>
          <cell r="AK78" t="str">
            <v>ที่ 1 สาย E</v>
          </cell>
          <cell r="AL78" t="str">
            <v>E1</v>
          </cell>
          <cell r="AM78" t="str">
            <v>1E</v>
          </cell>
          <cell r="AN78" t="str">
            <v>1E</v>
          </cell>
          <cell r="AO78" t="str">
            <v>۱ھ</v>
          </cell>
        </row>
        <row r="79">
          <cell r="A79" t="str">
            <v>2E</v>
          </cell>
          <cell r="B79" t="str">
            <v>2E</v>
          </cell>
          <cell r="C79" t="str">
            <v>2E</v>
          </cell>
          <cell r="D79" t="str">
            <v>2E</v>
          </cell>
          <cell r="E79" t="str">
            <v>2E</v>
          </cell>
          <cell r="F79" t="str">
            <v>2E</v>
          </cell>
          <cell r="G79" t="str">
            <v>2E</v>
          </cell>
          <cell r="H79" t="str">
            <v>2E</v>
          </cell>
          <cell r="I79" t="str">
            <v>2E</v>
          </cell>
          <cell r="J79" t="str">
            <v>2E</v>
          </cell>
          <cell r="K79" t="str">
            <v>2E</v>
          </cell>
          <cell r="L79" t="str">
            <v>2E</v>
          </cell>
          <cell r="M79" t="str">
            <v>E2</v>
          </cell>
          <cell r="N79" t="str">
            <v>2E</v>
          </cell>
          <cell r="O79" t="str">
            <v>2E</v>
          </cell>
          <cell r="P79" t="str">
            <v>2E</v>
          </cell>
          <cell r="Q79" t="str">
            <v>2Ε</v>
          </cell>
          <cell r="R79" t="str">
            <v>2E</v>
          </cell>
          <cell r="S79" t="str">
            <v>2E</v>
          </cell>
          <cell r="T79" t="str">
            <v>2E</v>
          </cell>
          <cell r="U79" t="str">
            <v>2E</v>
          </cell>
          <cell r="V79" t="str">
            <v>2E</v>
          </cell>
          <cell r="W79" t="str">
            <v>E 그룹 2위</v>
          </cell>
          <cell r="X79" t="str">
            <v>2E</v>
          </cell>
          <cell r="Y79" t="str">
            <v>2E</v>
          </cell>
          <cell r="Z79" t="str">
            <v>2E</v>
          </cell>
          <cell r="AA79" t="str">
            <v>2E</v>
          </cell>
          <cell r="AB79" t="str">
            <v>دوم گروه E</v>
          </cell>
          <cell r="AC79" t="str">
            <v>2E</v>
          </cell>
          <cell r="AD79" t="str">
            <v>2E</v>
          </cell>
          <cell r="AE79" t="str">
            <v>2E</v>
          </cell>
          <cell r="AF79" t="str">
            <v>2E</v>
          </cell>
          <cell r="AG79" t="str">
            <v>2E</v>
          </cell>
          <cell r="AH79" t="str">
            <v>2E</v>
          </cell>
          <cell r="AI79" t="str">
            <v>2E</v>
          </cell>
          <cell r="AJ79" t="str">
            <v>2E</v>
          </cell>
          <cell r="AK79" t="str">
            <v>ที่ 2 สาย E</v>
          </cell>
          <cell r="AL79" t="str">
            <v>E2</v>
          </cell>
          <cell r="AM79" t="str">
            <v>2E</v>
          </cell>
          <cell r="AN79" t="str">
            <v>2E</v>
          </cell>
          <cell r="AO79" t="str">
            <v>۲ھ</v>
          </cell>
        </row>
        <row r="80">
          <cell r="A80" t="str">
            <v>1F</v>
          </cell>
          <cell r="B80" t="str">
            <v>1F</v>
          </cell>
          <cell r="C80" t="str">
            <v>1F</v>
          </cell>
          <cell r="D80" t="str">
            <v>1F</v>
          </cell>
          <cell r="E80" t="str">
            <v>1F</v>
          </cell>
          <cell r="F80" t="str">
            <v>1F</v>
          </cell>
          <cell r="G80" t="str">
            <v>1F</v>
          </cell>
          <cell r="H80" t="str">
            <v>1F</v>
          </cell>
          <cell r="I80" t="str">
            <v>1F</v>
          </cell>
          <cell r="J80" t="str">
            <v>1F</v>
          </cell>
          <cell r="K80" t="str">
            <v>1F</v>
          </cell>
          <cell r="L80" t="str">
            <v>1F</v>
          </cell>
          <cell r="M80" t="str">
            <v>F1</v>
          </cell>
          <cell r="N80" t="str">
            <v>1F</v>
          </cell>
          <cell r="O80" t="str">
            <v>1F</v>
          </cell>
          <cell r="P80" t="str">
            <v>1F</v>
          </cell>
          <cell r="Q80" t="str">
            <v>1ΣΤ</v>
          </cell>
          <cell r="R80" t="str">
            <v>1F</v>
          </cell>
          <cell r="S80" t="str">
            <v>1F</v>
          </cell>
          <cell r="T80" t="str">
            <v>1F</v>
          </cell>
          <cell r="U80" t="str">
            <v>1F</v>
          </cell>
          <cell r="V80" t="str">
            <v>1F</v>
          </cell>
          <cell r="W80" t="str">
            <v>F 그룹 1위</v>
          </cell>
          <cell r="X80" t="str">
            <v>1F</v>
          </cell>
          <cell r="Y80" t="str">
            <v>1F</v>
          </cell>
          <cell r="Z80" t="str">
            <v>1F</v>
          </cell>
          <cell r="AA80" t="str">
            <v>1F</v>
          </cell>
          <cell r="AB80" t="str">
            <v>اول گروه F</v>
          </cell>
          <cell r="AC80" t="str">
            <v>1F</v>
          </cell>
          <cell r="AD80" t="str">
            <v>1F</v>
          </cell>
          <cell r="AE80" t="str">
            <v>1F</v>
          </cell>
          <cell r="AF80" t="str">
            <v>1F</v>
          </cell>
          <cell r="AG80" t="str">
            <v>1F</v>
          </cell>
          <cell r="AH80" t="str">
            <v>1F</v>
          </cell>
          <cell r="AI80" t="str">
            <v>1F</v>
          </cell>
          <cell r="AJ80" t="str">
            <v>1F</v>
          </cell>
          <cell r="AK80" t="str">
            <v>ที่ 1 สาย F</v>
          </cell>
          <cell r="AL80" t="str">
            <v>F1</v>
          </cell>
          <cell r="AM80" t="str">
            <v>1F</v>
          </cell>
          <cell r="AN80" t="str">
            <v>1F</v>
          </cell>
          <cell r="AO80" t="str">
            <v>۱و</v>
          </cell>
        </row>
        <row r="81">
          <cell r="A81" t="str">
            <v>2F</v>
          </cell>
          <cell r="B81" t="str">
            <v>2F</v>
          </cell>
          <cell r="C81" t="str">
            <v>2F</v>
          </cell>
          <cell r="D81" t="str">
            <v>2F</v>
          </cell>
          <cell r="E81" t="str">
            <v>2F</v>
          </cell>
          <cell r="F81" t="str">
            <v>2F</v>
          </cell>
          <cell r="G81" t="str">
            <v>2F</v>
          </cell>
          <cell r="H81" t="str">
            <v>2F</v>
          </cell>
          <cell r="I81" t="str">
            <v>2F</v>
          </cell>
          <cell r="J81" t="str">
            <v>2F</v>
          </cell>
          <cell r="K81" t="str">
            <v>2F</v>
          </cell>
          <cell r="L81" t="str">
            <v>2F</v>
          </cell>
          <cell r="M81" t="str">
            <v>F2</v>
          </cell>
          <cell r="N81" t="str">
            <v>2F</v>
          </cell>
          <cell r="O81" t="str">
            <v>2F</v>
          </cell>
          <cell r="P81" t="str">
            <v>2F</v>
          </cell>
          <cell r="Q81" t="str">
            <v>2ΣΤ</v>
          </cell>
          <cell r="R81" t="str">
            <v>2F</v>
          </cell>
          <cell r="S81" t="str">
            <v>2F</v>
          </cell>
          <cell r="T81" t="str">
            <v>2F</v>
          </cell>
          <cell r="U81" t="str">
            <v>2F</v>
          </cell>
          <cell r="V81" t="str">
            <v>2F</v>
          </cell>
          <cell r="W81" t="str">
            <v>F 그룹 2위</v>
          </cell>
          <cell r="X81" t="str">
            <v>2F</v>
          </cell>
          <cell r="Y81" t="str">
            <v>2F</v>
          </cell>
          <cell r="Z81" t="str">
            <v>2F</v>
          </cell>
          <cell r="AA81" t="str">
            <v>2F</v>
          </cell>
          <cell r="AB81" t="str">
            <v>دوم گروه F</v>
          </cell>
          <cell r="AC81" t="str">
            <v>2F</v>
          </cell>
          <cell r="AD81" t="str">
            <v>2F</v>
          </cell>
          <cell r="AE81" t="str">
            <v>2F</v>
          </cell>
          <cell r="AF81" t="str">
            <v>2F</v>
          </cell>
          <cell r="AG81" t="str">
            <v>2F</v>
          </cell>
          <cell r="AH81" t="str">
            <v>2F</v>
          </cell>
          <cell r="AI81" t="str">
            <v>2F</v>
          </cell>
          <cell r="AJ81" t="str">
            <v>2F</v>
          </cell>
          <cell r="AK81" t="str">
            <v>ที่ 2 สาย F</v>
          </cell>
          <cell r="AL81" t="str">
            <v>F2</v>
          </cell>
          <cell r="AM81" t="str">
            <v>2F</v>
          </cell>
          <cell r="AN81" t="str">
            <v>2F</v>
          </cell>
          <cell r="AO81" t="str">
            <v>۲و</v>
          </cell>
        </row>
        <row r="82">
          <cell r="A82" t="str">
            <v>1G</v>
          </cell>
          <cell r="B82" t="str">
            <v>1G</v>
          </cell>
          <cell r="C82" t="str">
            <v>1G</v>
          </cell>
          <cell r="D82" t="str">
            <v>1G</v>
          </cell>
          <cell r="E82" t="str">
            <v>1G</v>
          </cell>
          <cell r="F82" t="str">
            <v>1G</v>
          </cell>
          <cell r="G82" t="str">
            <v>1G</v>
          </cell>
          <cell r="H82" t="str">
            <v>1G</v>
          </cell>
          <cell r="I82" t="str">
            <v>1G</v>
          </cell>
          <cell r="J82" t="str">
            <v>1G</v>
          </cell>
          <cell r="K82" t="str">
            <v>1G</v>
          </cell>
          <cell r="L82" t="str">
            <v>1G</v>
          </cell>
          <cell r="M82" t="str">
            <v>G1</v>
          </cell>
          <cell r="N82" t="str">
            <v>1G</v>
          </cell>
          <cell r="O82" t="str">
            <v>1G</v>
          </cell>
          <cell r="P82" t="str">
            <v>1G</v>
          </cell>
          <cell r="Q82" t="str">
            <v>1Ζ</v>
          </cell>
          <cell r="R82" t="str">
            <v>1G</v>
          </cell>
          <cell r="S82" t="str">
            <v>1G</v>
          </cell>
          <cell r="T82" t="str">
            <v>1G</v>
          </cell>
          <cell r="U82" t="str">
            <v>1G</v>
          </cell>
          <cell r="V82" t="str">
            <v>1G</v>
          </cell>
          <cell r="W82" t="str">
            <v>G 그룹 1위</v>
          </cell>
          <cell r="X82" t="str">
            <v>1G</v>
          </cell>
          <cell r="Y82" t="str">
            <v>1G</v>
          </cell>
          <cell r="Z82" t="str">
            <v>1Ġ</v>
          </cell>
          <cell r="AA82" t="str">
            <v>1G</v>
          </cell>
          <cell r="AB82" t="str">
            <v>اول گروه G</v>
          </cell>
          <cell r="AC82" t="str">
            <v>1G</v>
          </cell>
          <cell r="AD82" t="str">
            <v>1G</v>
          </cell>
          <cell r="AE82" t="str">
            <v>1G</v>
          </cell>
          <cell r="AF82" t="str">
            <v>1G</v>
          </cell>
          <cell r="AG82" t="str">
            <v>1G</v>
          </cell>
          <cell r="AH82" t="str">
            <v>1G</v>
          </cell>
          <cell r="AI82" t="str">
            <v>1G</v>
          </cell>
          <cell r="AJ82" t="str">
            <v>1G</v>
          </cell>
          <cell r="AK82" t="str">
            <v>ที่ 1 สาย G</v>
          </cell>
          <cell r="AL82" t="str">
            <v>G1</v>
          </cell>
          <cell r="AM82" t="str">
            <v>1G</v>
          </cell>
          <cell r="AN82" t="str">
            <v>1G</v>
          </cell>
          <cell r="AO82" t="str">
            <v>۱ز</v>
          </cell>
        </row>
        <row r="83">
          <cell r="A83" t="str">
            <v>2G</v>
          </cell>
          <cell r="B83" t="str">
            <v>2G</v>
          </cell>
          <cell r="C83" t="str">
            <v>2G</v>
          </cell>
          <cell r="D83" t="str">
            <v>2G</v>
          </cell>
          <cell r="E83" t="str">
            <v>2G</v>
          </cell>
          <cell r="F83" t="str">
            <v>2G</v>
          </cell>
          <cell r="G83" t="str">
            <v>2G</v>
          </cell>
          <cell r="H83" t="str">
            <v>2G</v>
          </cell>
          <cell r="I83" t="str">
            <v>2G</v>
          </cell>
          <cell r="J83" t="str">
            <v>2G</v>
          </cell>
          <cell r="K83" t="str">
            <v>2G</v>
          </cell>
          <cell r="L83" t="str">
            <v>2G</v>
          </cell>
          <cell r="M83" t="str">
            <v>G2</v>
          </cell>
          <cell r="N83" t="str">
            <v>2G</v>
          </cell>
          <cell r="O83" t="str">
            <v>2G</v>
          </cell>
          <cell r="P83" t="str">
            <v>2G</v>
          </cell>
          <cell r="Q83" t="str">
            <v>2Ζ</v>
          </cell>
          <cell r="R83" t="str">
            <v>2G</v>
          </cell>
          <cell r="S83" t="str">
            <v>2G</v>
          </cell>
          <cell r="T83" t="str">
            <v>2G</v>
          </cell>
          <cell r="U83" t="str">
            <v>2G</v>
          </cell>
          <cell r="V83" t="str">
            <v>2G</v>
          </cell>
          <cell r="W83" t="str">
            <v>G 그룹 2위</v>
          </cell>
          <cell r="X83" t="str">
            <v>2G</v>
          </cell>
          <cell r="Y83" t="str">
            <v>2G</v>
          </cell>
          <cell r="Z83" t="str">
            <v>2Ġ</v>
          </cell>
          <cell r="AA83" t="str">
            <v>2G</v>
          </cell>
          <cell r="AB83" t="str">
            <v>دوم گروه G</v>
          </cell>
          <cell r="AC83" t="str">
            <v>2G</v>
          </cell>
          <cell r="AD83" t="str">
            <v>2G</v>
          </cell>
          <cell r="AE83" t="str">
            <v>2G</v>
          </cell>
          <cell r="AF83" t="str">
            <v>2G</v>
          </cell>
          <cell r="AG83" t="str">
            <v>2G</v>
          </cell>
          <cell r="AH83" t="str">
            <v>2G</v>
          </cell>
          <cell r="AI83" t="str">
            <v>2G</v>
          </cell>
          <cell r="AJ83" t="str">
            <v>2G</v>
          </cell>
          <cell r="AK83" t="str">
            <v>ที่ 2 สาย G</v>
          </cell>
          <cell r="AL83" t="str">
            <v>G2</v>
          </cell>
          <cell r="AM83" t="str">
            <v>2G</v>
          </cell>
          <cell r="AN83" t="str">
            <v>2G</v>
          </cell>
          <cell r="AO83" t="str">
            <v>۲ز</v>
          </cell>
        </row>
        <row r="84">
          <cell r="A84" t="str">
            <v>1H</v>
          </cell>
          <cell r="B84" t="str">
            <v>1H</v>
          </cell>
          <cell r="C84" t="str">
            <v>1H</v>
          </cell>
          <cell r="D84" t="str">
            <v>1H</v>
          </cell>
          <cell r="E84" t="str">
            <v>1H</v>
          </cell>
          <cell r="F84" t="str">
            <v>1H</v>
          </cell>
          <cell r="G84" t="str">
            <v>1H</v>
          </cell>
          <cell r="H84" t="str">
            <v>1H</v>
          </cell>
          <cell r="I84" t="str">
            <v>1H</v>
          </cell>
          <cell r="J84" t="str">
            <v>1H</v>
          </cell>
          <cell r="K84" t="str">
            <v>1H</v>
          </cell>
          <cell r="L84" t="str">
            <v>1H</v>
          </cell>
          <cell r="M84" t="str">
            <v>H1</v>
          </cell>
          <cell r="N84" t="str">
            <v>1H</v>
          </cell>
          <cell r="O84" t="str">
            <v>1H</v>
          </cell>
          <cell r="P84" t="str">
            <v>1H</v>
          </cell>
          <cell r="Q84" t="str">
            <v>1H</v>
          </cell>
          <cell r="R84" t="str">
            <v>1H</v>
          </cell>
          <cell r="S84" t="str">
            <v>1H</v>
          </cell>
          <cell r="T84" t="str">
            <v>1H</v>
          </cell>
          <cell r="U84" t="str">
            <v>1H</v>
          </cell>
          <cell r="V84" t="str">
            <v>1H</v>
          </cell>
          <cell r="W84" t="str">
            <v>H 그룹 1위</v>
          </cell>
          <cell r="X84" t="str">
            <v>1H</v>
          </cell>
          <cell r="Y84" t="str">
            <v>1H</v>
          </cell>
          <cell r="Z84" t="str">
            <v>1Ħ</v>
          </cell>
          <cell r="AA84" t="str">
            <v>1H</v>
          </cell>
          <cell r="AB84" t="str">
            <v>اول گروه H</v>
          </cell>
          <cell r="AC84" t="str">
            <v>1H</v>
          </cell>
          <cell r="AD84" t="str">
            <v>1H</v>
          </cell>
          <cell r="AE84" t="str">
            <v>1H</v>
          </cell>
          <cell r="AF84" t="str">
            <v>1H</v>
          </cell>
          <cell r="AG84" t="str">
            <v>1H</v>
          </cell>
          <cell r="AH84" t="str">
            <v>1H</v>
          </cell>
          <cell r="AI84" t="str">
            <v>1H</v>
          </cell>
          <cell r="AJ84" t="str">
            <v>1H</v>
          </cell>
          <cell r="AK84" t="str">
            <v>ที่ 1 สาย H</v>
          </cell>
          <cell r="AL84" t="str">
            <v>H1</v>
          </cell>
          <cell r="AM84" t="str">
            <v>1H</v>
          </cell>
          <cell r="AN84" t="str">
            <v>1H</v>
          </cell>
          <cell r="AO84" t="str">
            <v>۱ح</v>
          </cell>
        </row>
        <row r="85">
          <cell r="A85" t="str">
            <v>2H</v>
          </cell>
          <cell r="B85" t="str">
            <v>2H</v>
          </cell>
          <cell r="C85" t="str">
            <v>2H</v>
          </cell>
          <cell r="D85" t="str">
            <v>2H</v>
          </cell>
          <cell r="E85" t="str">
            <v>2H</v>
          </cell>
          <cell r="F85" t="str">
            <v>2H</v>
          </cell>
          <cell r="G85" t="str">
            <v>2H</v>
          </cell>
          <cell r="H85" t="str">
            <v>2H</v>
          </cell>
          <cell r="I85" t="str">
            <v>2H</v>
          </cell>
          <cell r="J85" t="str">
            <v>2H</v>
          </cell>
          <cell r="K85" t="str">
            <v>2H</v>
          </cell>
          <cell r="L85" t="str">
            <v>2H</v>
          </cell>
          <cell r="M85" t="str">
            <v>H2</v>
          </cell>
          <cell r="N85" t="str">
            <v>2H</v>
          </cell>
          <cell r="O85" t="str">
            <v>2H</v>
          </cell>
          <cell r="P85" t="str">
            <v>2H</v>
          </cell>
          <cell r="Q85" t="str">
            <v>2H</v>
          </cell>
          <cell r="R85" t="str">
            <v>2H</v>
          </cell>
          <cell r="S85" t="str">
            <v>2H</v>
          </cell>
          <cell r="T85" t="str">
            <v>2H</v>
          </cell>
          <cell r="U85" t="str">
            <v>2H</v>
          </cell>
          <cell r="V85" t="str">
            <v>2H</v>
          </cell>
          <cell r="W85" t="str">
            <v>H 그룹 2위</v>
          </cell>
          <cell r="X85" t="str">
            <v>2H</v>
          </cell>
          <cell r="Y85" t="str">
            <v>2H</v>
          </cell>
          <cell r="Z85" t="str">
            <v>1Ħ</v>
          </cell>
          <cell r="AA85" t="str">
            <v>2H</v>
          </cell>
          <cell r="AB85" t="str">
            <v>دوم گروه H</v>
          </cell>
          <cell r="AC85" t="str">
            <v>2H</v>
          </cell>
          <cell r="AD85" t="str">
            <v>2H</v>
          </cell>
          <cell r="AE85" t="str">
            <v>2H</v>
          </cell>
          <cell r="AF85" t="str">
            <v>2H</v>
          </cell>
          <cell r="AG85" t="str">
            <v>2H</v>
          </cell>
          <cell r="AH85" t="str">
            <v>2H</v>
          </cell>
          <cell r="AI85" t="str">
            <v>2H</v>
          </cell>
          <cell r="AJ85" t="str">
            <v>2H</v>
          </cell>
          <cell r="AK85" t="str">
            <v>ที่ 2 สาย H</v>
          </cell>
          <cell r="AL85" t="str">
            <v>H2</v>
          </cell>
          <cell r="AM85" t="str">
            <v>2H</v>
          </cell>
          <cell r="AN85" t="str">
            <v>2H</v>
          </cell>
          <cell r="AO85" t="str">
            <v>۲ح</v>
          </cell>
        </row>
        <row r="86">
          <cell r="A86" t="str">
            <v>W37</v>
          </cell>
          <cell r="B86" t="str">
            <v>F37</v>
          </cell>
          <cell r="C86" t="str">
            <v>W37</v>
          </cell>
          <cell r="D86" t="str">
            <v>W37</v>
          </cell>
          <cell r="E86" t="str">
            <v>Q37</v>
          </cell>
          <cell r="F86" t="str">
            <v>W37</v>
          </cell>
          <cell r="G86" t="str">
            <v>G37</v>
          </cell>
          <cell r="H86" t="str">
            <v>37胜者</v>
          </cell>
          <cell r="I86" t="str">
            <v>W37</v>
          </cell>
          <cell r="J86" t="str">
            <v>W37</v>
          </cell>
          <cell r="K86" t="str">
            <v>V37</v>
          </cell>
          <cell r="L86" t="str">
            <v>V37</v>
          </cell>
          <cell r="M86" t="str">
            <v>W37</v>
          </cell>
          <cell r="N86" t="str">
            <v>W37</v>
          </cell>
          <cell r="O86" t="str">
            <v>მ37</v>
          </cell>
          <cell r="P86" t="str">
            <v>W37</v>
          </cell>
          <cell r="Q86" t="str">
            <v>Ν37</v>
          </cell>
          <cell r="R86" t="str">
            <v>W37</v>
          </cell>
          <cell r="S86" t="str">
            <v>GY37</v>
          </cell>
          <cell r="T86" t="str">
            <v>W37</v>
          </cell>
          <cell r="U86" t="str">
            <v>W37</v>
          </cell>
          <cell r="V86" t="str">
            <v>W37</v>
          </cell>
          <cell r="W86" t="str">
            <v>16강전 경기1 승자</v>
          </cell>
          <cell r="X86" t="str">
            <v>L37</v>
          </cell>
          <cell r="Y86" t="str">
            <v>П37</v>
          </cell>
          <cell r="Z86" t="str">
            <v>R37</v>
          </cell>
          <cell r="AA86" t="str">
            <v>V37</v>
          </cell>
          <cell r="AB86" t="str">
            <v>برنده بازی 37</v>
          </cell>
          <cell r="AC86" t="str">
            <v>W37</v>
          </cell>
          <cell r="AD86" t="str">
            <v>W37</v>
          </cell>
          <cell r="AE86" t="str">
            <v>C37</v>
          </cell>
          <cell r="AF86" t="str">
            <v>P37</v>
          </cell>
          <cell r="AG86" t="str">
            <v>V37</v>
          </cell>
          <cell r="AH86" t="str">
            <v>W37</v>
          </cell>
          <cell r="AI86" t="str">
            <v>W37</v>
          </cell>
          <cell r="AJ86" t="str">
            <v>W37</v>
          </cell>
          <cell r="AK86" t="str">
            <v>ผู้ชนะนัดที่ 37</v>
          </cell>
          <cell r="AL86" t="str">
            <v>G37</v>
          </cell>
          <cell r="AM86" t="str">
            <v>T37</v>
          </cell>
          <cell r="AN86" t="str">
            <v>Переможець 37</v>
          </cell>
          <cell r="AO86" t="str">
            <v>۴۹ جیت</v>
          </cell>
        </row>
        <row r="87">
          <cell r="A87" t="str">
            <v>W39</v>
          </cell>
          <cell r="B87" t="str">
            <v>F39</v>
          </cell>
          <cell r="C87" t="str">
            <v>W39</v>
          </cell>
          <cell r="D87" t="str">
            <v>W39</v>
          </cell>
          <cell r="E87" t="str">
            <v>Q39</v>
          </cell>
          <cell r="F87" t="str">
            <v>W39</v>
          </cell>
          <cell r="G87" t="str">
            <v>G39</v>
          </cell>
          <cell r="H87" t="str">
            <v>39胜者</v>
          </cell>
          <cell r="I87" t="str">
            <v>W39</v>
          </cell>
          <cell r="J87" t="str">
            <v>W39</v>
          </cell>
          <cell r="K87" t="str">
            <v>V39</v>
          </cell>
          <cell r="L87" t="str">
            <v>V39</v>
          </cell>
          <cell r="M87" t="str">
            <v>W39</v>
          </cell>
          <cell r="N87" t="str">
            <v>W39</v>
          </cell>
          <cell r="O87" t="str">
            <v>მ39</v>
          </cell>
          <cell r="P87" t="str">
            <v>W39</v>
          </cell>
          <cell r="Q87" t="str">
            <v>Ν39</v>
          </cell>
          <cell r="R87" t="str">
            <v>W39</v>
          </cell>
          <cell r="S87" t="str">
            <v>GY39</v>
          </cell>
          <cell r="T87" t="str">
            <v>W39</v>
          </cell>
          <cell r="U87" t="str">
            <v>W39</v>
          </cell>
          <cell r="V87" t="str">
            <v>W39</v>
          </cell>
          <cell r="W87" t="str">
            <v>16강전 경기2 승자</v>
          </cell>
          <cell r="X87" t="str">
            <v>L39</v>
          </cell>
          <cell r="Y87" t="str">
            <v>П39</v>
          </cell>
          <cell r="Z87" t="str">
            <v>R39</v>
          </cell>
          <cell r="AA87" t="str">
            <v>V39</v>
          </cell>
          <cell r="AB87" t="str">
            <v>برنده بازی 39</v>
          </cell>
          <cell r="AC87" t="str">
            <v>W39</v>
          </cell>
          <cell r="AD87" t="str">
            <v>W39</v>
          </cell>
          <cell r="AE87" t="str">
            <v>C39</v>
          </cell>
          <cell r="AF87" t="str">
            <v>P39</v>
          </cell>
          <cell r="AG87" t="str">
            <v>V39</v>
          </cell>
          <cell r="AH87" t="str">
            <v>W39</v>
          </cell>
          <cell r="AI87" t="str">
            <v>W39</v>
          </cell>
          <cell r="AJ87" t="str">
            <v>W39</v>
          </cell>
          <cell r="AK87" t="str">
            <v>ผู้ชนะนัดที่ 39</v>
          </cell>
          <cell r="AL87" t="str">
            <v>G39</v>
          </cell>
          <cell r="AM87" t="str">
            <v>T39</v>
          </cell>
          <cell r="AN87" t="str">
            <v>Переможець 39</v>
          </cell>
          <cell r="AO87" t="str">
            <v>۵۰ جیت</v>
          </cell>
        </row>
        <row r="88">
          <cell r="A88" t="str">
            <v>W41</v>
          </cell>
          <cell r="B88" t="str">
            <v>F41</v>
          </cell>
          <cell r="C88" t="str">
            <v>W41</v>
          </cell>
          <cell r="D88" t="str">
            <v>W41</v>
          </cell>
          <cell r="E88" t="str">
            <v>Q41</v>
          </cell>
          <cell r="F88" t="str">
            <v>W41</v>
          </cell>
          <cell r="G88" t="str">
            <v>G41</v>
          </cell>
          <cell r="H88" t="str">
            <v>41胜者</v>
          </cell>
          <cell r="I88" t="str">
            <v>W41</v>
          </cell>
          <cell r="J88" t="str">
            <v>W41</v>
          </cell>
          <cell r="K88" t="str">
            <v>V41</v>
          </cell>
          <cell r="L88" t="str">
            <v>V41</v>
          </cell>
          <cell r="M88" t="str">
            <v>W41</v>
          </cell>
          <cell r="N88" t="str">
            <v>W41</v>
          </cell>
          <cell r="O88" t="str">
            <v>მ41</v>
          </cell>
          <cell r="P88" t="str">
            <v>W41</v>
          </cell>
          <cell r="Q88" t="str">
            <v>Ν41</v>
          </cell>
          <cell r="R88" t="str">
            <v>W41</v>
          </cell>
          <cell r="S88" t="str">
            <v>GY41</v>
          </cell>
          <cell r="T88" t="str">
            <v>W41</v>
          </cell>
          <cell r="U88" t="str">
            <v>W41</v>
          </cell>
          <cell r="V88" t="str">
            <v>W41</v>
          </cell>
          <cell r="W88" t="str">
            <v>16강전 경기3 승자</v>
          </cell>
          <cell r="X88" t="str">
            <v>L41</v>
          </cell>
          <cell r="Y88" t="str">
            <v>П41</v>
          </cell>
          <cell r="Z88" t="str">
            <v>R41</v>
          </cell>
          <cell r="AA88" t="str">
            <v>V41</v>
          </cell>
          <cell r="AB88" t="str">
            <v>برنده بازی 41</v>
          </cell>
          <cell r="AC88" t="str">
            <v>W41</v>
          </cell>
          <cell r="AD88" t="str">
            <v>W41</v>
          </cell>
          <cell r="AE88" t="str">
            <v>C41</v>
          </cell>
          <cell r="AF88" t="str">
            <v>P41</v>
          </cell>
          <cell r="AG88" t="str">
            <v>V41</v>
          </cell>
          <cell r="AH88" t="str">
            <v>W41</v>
          </cell>
          <cell r="AI88" t="str">
            <v>W41</v>
          </cell>
          <cell r="AJ88" t="str">
            <v>W41</v>
          </cell>
          <cell r="AK88" t="str">
            <v>ผู้ชนะนัดที่ 41</v>
          </cell>
          <cell r="AL88" t="str">
            <v>G41</v>
          </cell>
          <cell r="AM88" t="str">
            <v>T41</v>
          </cell>
          <cell r="AN88" t="str">
            <v>Переможець 41</v>
          </cell>
          <cell r="AO88" t="str">
            <v>۵۱ جیت</v>
          </cell>
        </row>
        <row r="89">
          <cell r="A89" t="str">
            <v>W43</v>
          </cell>
          <cell r="B89" t="str">
            <v>F43</v>
          </cell>
          <cell r="C89" t="str">
            <v>W43</v>
          </cell>
          <cell r="D89" t="str">
            <v>W43</v>
          </cell>
          <cell r="E89" t="str">
            <v>Q43</v>
          </cell>
          <cell r="F89" t="str">
            <v>W43</v>
          </cell>
          <cell r="G89" t="str">
            <v>G43</v>
          </cell>
          <cell r="H89" t="str">
            <v>43胜者</v>
          </cell>
          <cell r="I89" t="str">
            <v>W43</v>
          </cell>
          <cell r="J89" t="str">
            <v>W43</v>
          </cell>
          <cell r="K89" t="str">
            <v>V43</v>
          </cell>
          <cell r="L89" t="str">
            <v>V43</v>
          </cell>
          <cell r="M89" t="str">
            <v>W43</v>
          </cell>
          <cell r="N89" t="str">
            <v>W43</v>
          </cell>
          <cell r="O89" t="str">
            <v>მ43</v>
          </cell>
          <cell r="P89" t="str">
            <v>W43</v>
          </cell>
          <cell r="Q89" t="str">
            <v>Ν43</v>
          </cell>
          <cell r="R89" t="str">
            <v>W43</v>
          </cell>
          <cell r="S89" t="str">
            <v>GY43</v>
          </cell>
          <cell r="T89" t="str">
            <v>W43</v>
          </cell>
          <cell r="U89" t="str">
            <v>W43</v>
          </cell>
          <cell r="V89" t="str">
            <v>W43</v>
          </cell>
          <cell r="W89" t="str">
            <v>16강전 경기4 승자</v>
          </cell>
          <cell r="X89" t="str">
            <v>L43</v>
          </cell>
          <cell r="Y89" t="str">
            <v>П43</v>
          </cell>
          <cell r="Z89" t="str">
            <v>R43</v>
          </cell>
          <cell r="AA89" t="str">
            <v>V43</v>
          </cell>
          <cell r="AB89" t="str">
            <v>برنده بازی 43</v>
          </cell>
          <cell r="AC89" t="str">
            <v>W43</v>
          </cell>
          <cell r="AD89" t="str">
            <v>W43</v>
          </cell>
          <cell r="AE89" t="str">
            <v>C43</v>
          </cell>
          <cell r="AF89" t="str">
            <v>P43</v>
          </cell>
          <cell r="AG89" t="str">
            <v>V43</v>
          </cell>
          <cell r="AH89" t="str">
            <v>W43</v>
          </cell>
          <cell r="AI89" t="str">
            <v>W43</v>
          </cell>
          <cell r="AJ89" t="str">
            <v>W43</v>
          </cell>
          <cell r="AK89" t="str">
            <v>ผู้ชนะนัดที่ 43</v>
          </cell>
          <cell r="AL89" t="str">
            <v>G43</v>
          </cell>
          <cell r="AM89" t="str">
            <v>T43</v>
          </cell>
          <cell r="AN89" t="str">
            <v>Переможець 43</v>
          </cell>
          <cell r="AO89" t="str">
            <v>۵۲ جیت</v>
          </cell>
        </row>
        <row r="90">
          <cell r="A90" t="str">
            <v>W38</v>
          </cell>
          <cell r="B90" t="str">
            <v>F38</v>
          </cell>
          <cell r="C90" t="str">
            <v>W38</v>
          </cell>
          <cell r="D90" t="str">
            <v>W38</v>
          </cell>
          <cell r="E90" t="str">
            <v>Q38</v>
          </cell>
          <cell r="F90" t="str">
            <v>W38</v>
          </cell>
          <cell r="G90" t="str">
            <v>G38</v>
          </cell>
          <cell r="H90" t="str">
            <v>38胜者</v>
          </cell>
          <cell r="I90" t="str">
            <v>W38</v>
          </cell>
          <cell r="J90" t="str">
            <v>W38</v>
          </cell>
          <cell r="K90" t="str">
            <v>V38</v>
          </cell>
          <cell r="L90" t="str">
            <v>V38</v>
          </cell>
          <cell r="M90" t="str">
            <v>W38</v>
          </cell>
          <cell r="N90" t="str">
            <v>W38</v>
          </cell>
          <cell r="O90" t="str">
            <v>მ38</v>
          </cell>
          <cell r="P90" t="str">
            <v>W38</v>
          </cell>
          <cell r="Q90" t="str">
            <v>Ν38</v>
          </cell>
          <cell r="R90" t="str">
            <v>W38</v>
          </cell>
          <cell r="S90" t="str">
            <v>GY38</v>
          </cell>
          <cell r="T90" t="str">
            <v>W38</v>
          </cell>
          <cell r="U90" t="str">
            <v>W38</v>
          </cell>
          <cell r="V90" t="str">
            <v>W38</v>
          </cell>
          <cell r="W90" t="str">
            <v>16강전 경기5 승자</v>
          </cell>
          <cell r="X90" t="str">
            <v>L38</v>
          </cell>
          <cell r="Y90" t="str">
            <v>П38</v>
          </cell>
          <cell r="Z90" t="str">
            <v>R38</v>
          </cell>
          <cell r="AA90" t="str">
            <v>V38</v>
          </cell>
          <cell r="AB90" t="str">
            <v>برنده بازی 38</v>
          </cell>
          <cell r="AC90" t="str">
            <v>W38</v>
          </cell>
          <cell r="AD90" t="str">
            <v>W38</v>
          </cell>
          <cell r="AE90" t="str">
            <v>C38</v>
          </cell>
          <cell r="AF90" t="str">
            <v>P38</v>
          </cell>
          <cell r="AG90" t="str">
            <v>V38</v>
          </cell>
          <cell r="AH90" t="str">
            <v>W38</v>
          </cell>
          <cell r="AI90" t="str">
            <v>W38</v>
          </cell>
          <cell r="AJ90" t="str">
            <v>W38</v>
          </cell>
          <cell r="AK90" t="str">
            <v>ผู้ชนะนัดที่ 38</v>
          </cell>
          <cell r="AL90" t="str">
            <v>G38</v>
          </cell>
          <cell r="AM90" t="str">
            <v>T38</v>
          </cell>
          <cell r="AN90" t="str">
            <v>Переможець 38</v>
          </cell>
          <cell r="AO90" t="str">
            <v>۵۳ جیت</v>
          </cell>
        </row>
        <row r="91">
          <cell r="A91" t="str">
            <v>W42</v>
          </cell>
          <cell r="B91" t="str">
            <v>F42</v>
          </cell>
          <cell r="C91" t="str">
            <v>W42</v>
          </cell>
          <cell r="D91" t="str">
            <v>W42</v>
          </cell>
          <cell r="E91" t="str">
            <v>Q42</v>
          </cell>
          <cell r="F91" t="str">
            <v>W42</v>
          </cell>
          <cell r="G91" t="str">
            <v>G42</v>
          </cell>
          <cell r="H91" t="str">
            <v>42胜者</v>
          </cell>
          <cell r="I91" t="str">
            <v>W42</v>
          </cell>
          <cell r="J91" t="str">
            <v>W42</v>
          </cell>
          <cell r="K91" t="str">
            <v>V42</v>
          </cell>
          <cell r="L91" t="str">
            <v>V42</v>
          </cell>
          <cell r="M91" t="str">
            <v>W42</v>
          </cell>
          <cell r="N91" t="str">
            <v>W42</v>
          </cell>
          <cell r="O91" t="str">
            <v>მ42</v>
          </cell>
          <cell r="P91" t="str">
            <v>W42</v>
          </cell>
          <cell r="Q91" t="str">
            <v>Ν42</v>
          </cell>
          <cell r="R91" t="str">
            <v>W42</v>
          </cell>
          <cell r="S91" t="str">
            <v>GY42</v>
          </cell>
          <cell r="T91" t="str">
            <v>W42</v>
          </cell>
          <cell r="U91" t="str">
            <v>W42</v>
          </cell>
          <cell r="V91" t="str">
            <v>W42</v>
          </cell>
          <cell r="W91" t="str">
            <v>16강전 경기6 승자</v>
          </cell>
          <cell r="X91" t="str">
            <v>L42</v>
          </cell>
          <cell r="Y91" t="str">
            <v>П42</v>
          </cell>
          <cell r="Z91" t="str">
            <v>R42</v>
          </cell>
          <cell r="AA91" t="str">
            <v>V42</v>
          </cell>
          <cell r="AB91" t="str">
            <v>برنده بازی 42</v>
          </cell>
          <cell r="AC91" t="str">
            <v>W42</v>
          </cell>
          <cell r="AD91" t="str">
            <v>W42</v>
          </cell>
          <cell r="AE91" t="str">
            <v>C42</v>
          </cell>
          <cell r="AF91" t="str">
            <v>P42</v>
          </cell>
          <cell r="AG91" t="str">
            <v>V42</v>
          </cell>
          <cell r="AH91" t="str">
            <v>W42</v>
          </cell>
          <cell r="AI91" t="str">
            <v>W42</v>
          </cell>
          <cell r="AJ91" t="str">
            <v>W42</v>
          </cell>
          <cell r="AK91" t="str">
            <v>ผู้ชนะนัดที่ 42</v>
          </cell>
          <cell r="AL91" t="str">
            <v>G42</v>
          </cell>
          <cell r="AM91" t="str">
            <v>T42</v>
          </cell>
          <cell r="AN91" t="str">
            <v>Переможець 42</v>
          </cell>
          <cell r="AO91" t="str">
            <v>۵۴ جیت</v>
          </cell>
        </row>
        <row r="92">
          <cell r="A92" t="str">
            <v>W40</v>
          </cell>
          <cell r="B92" t="str">
            <v>F40</v>
          </cell>
          <cell r="C92" t="str">
            <v>W40</v>
          </cell>
          <cell r="D92" t="str">
            <v>W40</v>
          </cell>
          <cell r="E92" t="str">
            <v>Q40</v>
          </cell>
          <cell r="F92" t="str">
            <v>W40</v>
          </cell>
          <cell r="G92" t="str">
            <v>G40</v>
          </cell>
          <cell r="H92" t="str">
            <v>40胜者</v>
          </cell>
          <cell r="I92" t="str">
            <v>W40</v>
          </cell>
          <cell r="J92" t="str">
            <v>W40</v>
          </cell>
          <cell r="K92" t="str">
            <v>V40</v>
          </cell>
          <cell r="L92" t="str">
            <v>V40</v>
          </cell>
          <cell r="M92" t="str">
            <v>W40</v>
          </cell>
          <cell r="N92" t="str">
            <v>W40</v>
          </cell>
          <cell r="O92" t="str">
            <v>მ40</v>
          </cell>
          <cell r="P92" t="str">
            <v>W40</v>
          </cell>
          <cell r="Q92" t="str">
            <v>Ν40</v>
          </cell>
          <cell r="R92" t="str">
            <v>W40</v>
          </cell>
          <cell r="S92" t="str">
            <v>GY40</v>
          </cell>
          <cell r="T92" t="str">
            <v>W40</v>
          </cell>
          <cell r="U92" t="str">
            <v>W40</v>
          </cell>
          <cell r="V92" t="str">
            <v>W40</v>
          </cell>
          <cell r="W92" t="str">
            <v>16강전 경기7 승자</v>
          </cell>
          <cell r="X92" t="str">
            <v>L40</v>
          </cell>
          <cell r="Y92" t="str">
            <v>П40</v>
          </cell>
          <cell r="Z92" t="str">
            <v>R40</v>
          </cell>
          <cell r="AA92" t="str">
            <v>V40</v>
          </cell>
          <cell r="AB92" t="str">
            <v>برنده بازی 40</v>
          </cell>
          <cell r="AC92" t="str">
            <v>W40</v>
          </cell>
          <cell r="AD92" t="str">
            <v>W40</v>
          </cell>
          <cell r="AE92" t="str">
            <v>C40</v>
          </cell>
          <cell r="AF92" t="str">
            <v>P40</v>
          </cell>
          <cell r="AG92" t="str">
            <v>V40</v>
          </cell>
          <cell r="AH92" t="str">
            <v>W40</v>
          </cell>
          <cell r="AI92" t="str">
            <v>W40</v>
          </cell>
          <cell r="AJ92" t="str">
            <v>W40</v>
          </cell>
          <cell r="AK92" t="str">
            <v>ผู้ชนะนัดที่ 40</v>
          </cell>
          <cell r="AL92" t="str">
            <v>G40</v>
          </cell>
          <cell r="AM92" t="str">
            <v>T40</v>
          </cell>
          <cell r="AN92" t="str">
            <v>Переможець 40</v>
          </cell>
          <cell r="AO92" t="str">
            <v>۵۵ جیت</v>
          </cell>
        </row>
        <row r="93">
          <cell r="A93" t="str">
            <v>W44</v>
          </cell>
          <cell r="B93" t="str">
            <v>F44</v>
          </cell>
          <cell r="C93" t="str">
            <v>W44</v>
          </cell>
          <cell r="D93" t="str">
            <v>W44</v>
          </cell>
          <cell r="E93" t="str">
            <v>Q44</v>
          </cell>
          <cell r="F93" t="str">
            <v>W44</v>
          </cell>
          <cell r="G93" t="str">
            <v>G44</v>
          </cell>
          <cell r="H93" t="str">
            <v>44胜者</v>
          </cell>
          <cell r="I93" t="str">
            <v>W44</v>
          </cell>
          <cell r="J93" t="str">
            <v>W44</v>
          </cell>
          <cell r="K93" t="str">
            <v>V44</v>
          </cell>
          <cell r="L93" t="str">
            <v>V44</v>
          </cell>
          <cell r="M93" t="str">
            <v>W44</v>
          </cell>
          <cell r="N93" t="str">
            <v>W44</v>
          </cell>
          <cell r="O93" t="str">
            <v>მ44</v>
          </cell>
          <cell r="P93" t="str">
            <v>W44</v>
          </cell>
          <cell r="Q93" t="str">
            <v>Ν44</v>
          </cell>
          <cell r="R93" t="str">
            <v>W44</v>
          </cell>
          <cell r="S93" t="str">
            <v>GY44</v>
          </cell>
          <cell r="T93" t="str">
            <v>W44</v>
          </cell>
          <cell r="U93" t="str">
            <v>W44</v>
          </cell>
          <cell r="V93" t="str">
            <v>W44</v>
          </cell>
          <cell r="W93" t="str">
            <v>16강전 경기8 승자</v>
          </cell>
          <cell r="X93" t="str">
            <v>L44</v>
          </cell>
          <cell r="Y93" t="str">
            <v>П44</v>
          </cell>
          <cell r="Z93" t="str">
            <v>R44</v>
          </cell>
          <cell r="AA93" t="str">
            <v>V44</v>
          </cell>
          <cell r="AB93" t="str">
            <v>برنده بازی 44</v>
          </cell>
          <cell r="AC93" t="str">
            <v>W44</v>
          </cell>
          <cell r="AD93" t="str">
            <v>W44</v>
          </cell>
          <cell r="AE93" t="str">
            <v>C44</v>
          </cell>
          <cell r="AF93" t="str">
            <v>P44</v>
          </cell>
          <cell r="AG93" t="str">
            <v>V44</v>
          </cell>
          <cell r="AH93" t="str">
            <v>W44</v>
          </cell>
          <cell r="AI93" t="str">
            <v>W44</v>
          </cell>
          <cell r="AJ93" t="str">
            <v>W44</v>
          </cell>
          <cell r="AK93" t="str">
            <v>ผู้ชนะนัดที่ 44</v>
          </cell>
          <cell r="AL93" t="str">
            <v>G44</v>
          </cell>
          <cell r="AM93" t="str">
            <v>T44</v>
          </cell>
          <cell r="AN93" t="str">
            <v>Переможець 44</v>
          </cell>
          <cell r="AO93" t="str">
            <v>۵۶ جیت</v>
          </cell>
        </row>
        <row r="94">
          <cell r="A94" t="str">
            <v>W45</v>
          </cell>
          <cell r="B94" t="str">
            <v>F45</v>
          </cell>
          <cell r="C94" t="str">
            <v>W45</v>
          </cell>
          <cell r="D94" t="str">
            <v>W45</v>
          </cell>
          <cell r="E94" t="str">
            <v>Q45</v>
          </cell>
          <cell r="F94" t="str">
            <v>W45</v>
          </cell>
          <cell r="G94" t="str">
            <v>G45</v>
          </cell>
          <cell r="H94" t="str">
            <v>45胜者</v>
          </cell>
          <cell r="I94" t="str">
            <v>W45</v>
          </cell>
          <cell r="J94" t="str">
            <v>W45</v>
          </cell>
          <cell r="K94" t="str">
            <v>V45</v>
          </cell>
          <cell r="L94" t="str">
            <v>V45</v>
          </cell>
          <cell r="M94" t="str">
            <v>W45</v>
          </cell>
          <cell r="N94" t="str">
            <v>W45</v>
          </cell>
          <cell r="O94" t="str">
            <v>მ45</v>
          </cell>
          <cell r="P94" t="str">
            <v>W45</v>
          </cell>
          <cell r="Q94" t="str">
            <v>Ν45</v>
          </cell>
          <cell r="R94" t="str">
            <v>W45</v>
          </cell>
          <cell r="S94" t="str">
            <v>GY45</v>
          </cell>
          <cell r="T94" t="str">
            <v>W45</v>
          </cell>
          <cell r="U94" t="str">
            <v>W45</v>
          </cell>
          <cell r="V94" t="str">
            <v>W45</v>
          </cell>
          <cell r="W94" t="str">
            <v>8강전 경기1 승자</v>
          </cell>
          <cell r="X94" t="str">
            <v>L45</v>
          </cell>
          <cell r="Y94" t="str">
            <v>П45</v>
          </cell>
          <cell r="Z94" t="str">
            <v>R45</v>
          </cell>
          <cell r="AA94" t="str">
            <v>V45</v>
          </cell>
          <cell r="AB94" t="str">
            <v>برنده بازی 45</v>
          </cell>
          <cell r="AC94" t="str">
            <v>W45</v>
          </cell>
          <cell r="AD94" t="str">
            <v>W45</v>
          </cell>
          <cell r="AE94" t="str">
            <v>C45</v>
          </cell>
          <cell r="AF94" t="str">
            <v>P45</v>
          </cell>
          <cell r="AG94" t="str">
            <v>V45</v>
          </cell>
          <cell r="AH94" t="str">
            <v>W45</v>
          </cell>
          <cell r="AI94" t="str">
            <v>W45</v>
          </cell>
          <cell r="AJ94" t="str">
            <v>W45</v>
          </cell>
          <cell r="AK94" t="str">
            <v>ผู้ชนะนัดที่ 45</v>
          </cell>
          <cell r="AL94" t="str">
            <v>G45</v>
          </cell>
          <cell r="AM94" t="str">
            <v>T45</v>
          </cell>
          <cell r="AN94" t="str">
            <v>Переможець 45</v>
          </cell>
          <cell r="AO94" t="str">
            <v>۵۷ جیت</v>
          </cell>
        </row>
        <row r="95">
          <cell r="A95" t="str">
            <v>W46</v>
          </cell>
          <cell r="B95" t="str">
            <v>F46</v>
          </cell>
          <cell r="C95" t="str">
            <v>W46</v>
          </cell>
          <cell r="D95" t="str">
            <v>W46</v>
          </cell>
          <cell r="E95" t="str">
            <v>Q46</v>
          </cell>
          <cell r="F95" t="str">
            <v>W46</v>
          </cell>
          <cell r="G95" t="str">
            <v>G46</v>
          </cell>
          <cell r="H95" t="str">
            <v>46胜者</v>
          </cell>
          <cell r="I95" t="str">
            <v>W46</v>
          </cell>
          <cell r="J95" t="str">
            <v>W46</v>
          </cell>
          <cell r="K95" t="str">
            <v>V46</v>
          </cell>
          <cell r="L95" t="str">
            <v>V46</v>
          </cell>
          <cell r="M95" t="str">
            <v>W46</v>
          </cell>
          <cell r="N95" t="str">
            <v>W46</v>
          </cell>
          <cell r="O95" t="str">
            <v>მ46</v>
          </cell>
          <cell r="P95" t="str">
            <v>W46</v>
          </cell>
          <cell r="Q95" t="str">
            <v>Ν46</v>
          </cell>
          <cell r="R95" t="str">
            <v>W46</v>
          </cell>
          <cell r="S95" t="str">
            <v>GY46</v>
          </cell>
          <cell r="T95" t="str">
            <v>W46</v>
          </cell>
          <cell r="U95" t="str">
            <v>W46</v>
          </cell>
          <cell r="V95" t="str">
            <v>W46</v>
          </cell>
          <cell r="W95" t="str">
            <v>8강전 경기2 승자</v>
          </cell>
          <cell r="X95" t="str">
            <v>L46</v>
          </cell>
          <cell r="Y95" t="str">
            <v>П46</v>
          </cell>
          <cell r="Z95" t="str">
            <v>R46</v>
          </cell>
          <cell r="AA95" t="str">
            <v>V46</v>
          </cell>
          <cell r="AB95" t="str">
            <v>برنده بازی 46</v>
          </cell>
          <cell r="AC95" t="str">
            <v>W46</v>
          </cell>
          <cell r="AD95" t="str">
            <v>W46</v>
          </cell>
          <cell r="AE95" t="str">
            <v>C46</v>
          </cell>
          <cell r="AF95" t="str">
            <v>P46</v>
          </cell>
          <cell r="AG95" t="str">
            <v>V46</v>
          </cell>
          <cell r="AH95" t="str">
            <v>W46</v>
          </cell>
          <cell r="AI95" t="str">
            <v>W46</v>
          </cell>
          <cell r="AJ95" t="str">
            <v>W46</v>
          </cell>
          <cell r="AK95" t="str">
            <v>ผู้ชนะนัดที่ 46</v>
          </cell>
          <cell r="AL95" t="str">
            <v>G46</v>
          </cell>
          <cell r="AM95" t="str">
            <v>T46</v>
          </cell>
          <cell r="AN95" t="str">
            <v>Переможець 46</v>
          </cell>
          <cell r="AO95" t="str">
            <v>۵۸ جیت</v>
          </cell>
        </row>
        <row r="96">
          <cell r="A96" t="str">
            <v>W47</v>
          </cell>
          <cell r="B96" t="str">
            <v>F47</v>
          </cell>
          <cell r="C96" t="str">
            <v>W47</v>
          </cell>
          <cell r="D96" t="str">
            <v>W47</v>
          </cell>
          <cell r="E96" t="str">
            <v>Q47</v>
          </cell>
          <cell r="F96" t="str">
            <v>W47</v>
          </cell>
          <cell r="G96" t="str">
            <v>G47</v>
          </cell>
          <cell r="H96" t="str">
            <v>47胜者</v>
          </cell>
          <cell r="I96" t="str">
            <v>W47</v>
          </cell>
          <cell r="J96" t="str">
            <v>W47</v>
          </cell>
          <cell r="K96" t="str">
            <v>V47</v>
          </cell>
          <cell r="L96" t="str">
            <v>V47</v>
          </cell>
          <cell r="M96" t="str">
            <v>W47</v>
          </cell>
          <cell r="N96" t="str">
            <v>W47</v>
          </cell>
          <cell r="O96" t="str">
            <v>მ47</v>
          </cell>
          <cell r="P96" t="str">
            <v>W47</v>
          </cell>
          <cell r="Q96" t="str">
            <v>Ν47</v>
          </cell>
          <cell r="R96" t="str">
            <v>W47</v>
          </cell>
          <cell r="S96" t="str">
            <v>GY47</v>
          </cell>
          <cell r="T96" t="str">
            <v>W47</v>
          </cell>
          <cell r="U96" t="str">
            <v>W47</v>
          </cell>
          <cell r="V96" t="str">
            <v>W47</v>
          </cell>
          <cell r="W96" t="str">
            <v>8강전 경기3 승자</v>
          </cell>
          <cell r="X96" t="str">
            <v>L47</v>
          </cell>
          <cell r="Y96" t="str">
            <v>П47</v>
          </cell>
          <cell r="Z96" t="str">
            <v>R47</v>
          </cell>
          <cell r="AA96" t="str">
            <v>V47</v>
          </cell>
          <cell r="AB96" t="str">
            <v>برنده بازی 47</v>
          </cell>
          <cell r="AC96" t="str">
            <v>W47</v>
          </cell>
          <cell r="AD96" t="str">
            <v>W47</v>
          </cell>
          <cell r="AE96" t="str">
            <v>C47</v>
          </cell>
          <cell r="AF96" t="str">
            <v>P47</v>
          </cell>
          <cell r="AG96" t="str">
            <v>V47</v>
          </cell>
          <cell r="AH96" t="str">
            <v>W47</v>
          </cell>
          <cell r="AI96" t="str">
            <v>W47</v>
          </cell>
          <cell r="AJ96" t="str">
            <v>W47</v>
          </cell>
          <cell r="AK96" t="str">
            <v>ผู้ชนะนัดที่ 47</v>
          </cell>
          <cell r="AL96" t="str">
            <v>G47</v>
          </cell>
          <cell r="AM96" t="str">
            <v>T47</v>
          </cell>
          <cell r="AN96" t="str">
            <v>Переможець 47</v>
          </cell>
          <cell r="AO96" t="str">
            <v>۵۹ جیت</v>
          </cell>
        </row>
        <row r="97">
          <cell r="A97" t="str">
            <v>W48</v>
          </cell>
          <cell r="B97" t="str">
            <v>F48</v>
          </cell>
          <cell r="C97" t="str">
            <v>W48</v>
          </cell>
          <cell r="D97" t="str">
            <v>W48</v>
          </cell>
          <cell r="E97" t="str">
            <v>Q48</v>
          </cell>
          <cell r="F97" t="str">
            <v>W48</v>
          </cell>
          <cell r="G97" t="str">
            <v>G48</v>
          </cell>
          <cell r="H97" t="str">
            <v>48胜者</v>
          </cell>
          <cell r="I97" t="str">
            <v>W48</v>
          </cell>
          <cell r="J97" t="str">
            <v>W48</v>
          </cell>
          <cell r="K97" t="str">
            <v>V48</v>
          </cell>
          <cell r="L97" t="str">
            <v>V48</v>
          </cell>
          <cell r="M97" t="str">
            <v>W48</v>
          </cell>
          <cell r="N97" t="str">
            <v>W48</v>
          </cell>
          <cell r="O97" t="str">
            <v>მ48</v>
          </cell>
          <cell r="P97" t="str">
            <v>W48</v>
          </cell>
          <cell r="Q97" t="str">
            <v>Ν48</v>
          </cell>
          <cell r="R97" t="str">
            <v>W48</v>
          </cell>
          <cell r="S97" t="str">
            <v>GY48</v>
          </cell>
          <cell r="T97" t="str">
            <v>W48</v>
          </cell>
          <cell r="U97" t="str">
            <v>W48</v>
          </cell>
          <cell r="V97" t="str">
            <v>W48</v>
          </cell>
          <cell r="W97" t="str">
            <v>8강전 경기4 승자</v>
          </cell>
          <cell r="X97" t="str">
            <v>L48</v>
          </cell>
          <cell r="Y97" t="str">
            <v>П48</v>
          </cell>
          <cell r="Z97" t="str">
            <v>R48</v>
          </cell>
          <cell r="AA97" t="str">
            <v>V48</v>
          </cell>
          <cell r="AB97" t="str">
            <v>برنده بازی 48</v>
          </cell>
          <cell r="AC97" t="str">
            <v>W48</v>
          </cell>
          <cell r="AD97" t="str">
            <v>W48</v>
          </cell>
          <cell r="AE97" t="str">
            <v>C48</v>
          </cell>
          <cell r="AF97" t="str">
            <v>P48</v>
          </cell>
          <cell r="AG97" t="str">
            <v>V48</v>
          </cell>
          <cell r="AH97" t="str">
            <v>W48</v>
          </cell>
          <cell r="AI97" t="str">
            <v>W48</v>
          </cell>
          <cell r="AJ97" t="str">
            <v>W48</v>
          </cell>
          <cell r="AK97" t="str">
            <v>ผู้ชนะนัดที่ 48</v>
          </cell>
          <cell r="AL97" t="str">
            <v>G48</v>
          </cell>
          <cell r="AM97" t="str">
            <v>T48</v>
          </cell>
          <cell r="AN97" t="str">
            <v>Переможець 48</v>
          </cell>
          <cell r="AO97" t="str">
            <v>۶۰ جیت</v>
          </cell>
        </row>
        <row r="98">
          <cell r="A98" t="str">
            <v>W49</v>
          </cell>
          <cell r="B98" t="str">
            <v>F49</v>
          </cell>
          <cell r="C98" t="str">
            <v>W49</v>
          </cell>
          <cell r="D98" t="str">
            <v>W49</v>
          </cell>
          <cell r="E98" t="str">
            <v>Q49</v>
          </cell>
          <cell r="F98" t="str">
            <v>W49</v>
          </cell>
          <cell r="G98" t="str">
            <v>G49</v>
          </cell>
          <cell r="H98" t="str">
            <v>49胜者</v>
          </cell>
          <cell r="I98" t="str">
            <v>W49</v>
          </cell>
          <cell r="J98" t="str">
            <v>W49</v>
          </cell>
          <cell r="K98" t="str">
            <v>V49</v>
          </cell>
          <cell r="L98" t="str">
            <v>V49</v>
          </cell>
          <cell r="M98" t="str">
            <v>W49</v>
          </cell>
          <cell r="N98" t="str">
            <v>W49</v>
          </cell>
          <cell r="O98" t="str">
            <v>მ49</v>
          </cell>
          <cell r="P98" t="str">
            <v>W49</v>
          </cell>
          <cell r="Q98" t="str">
            <v>Ν49</v>
          </cell>
          <cell r="R98" t="str">
            <v>W49</v>
          </cell>
          <cell r="S98" t="str">
            <v>GY49</v>
          </cell>
          <cell r="T98" t="str">
            <v>W49</v>
          </cell>
          <cell r="U98" t="str">
            <v>W49</v>
          </cell>
          <cell r="V98" t="str">
            <v>W49</v>
          </cell>
          <cell r="W98" t="str">
            <v>준결승 경기1 승자</v>
          </cell>
          <cell r="X98" t="str">
            <v>L49</v>
          </cell>
          <cell r="Y98" t="str">
            <v>П49</v>
          </cell>
          <cell r="Z98" t="str">
            <v>R49</v>
          </cell>
          <cell r="AA98" t="str">
            <v>V49</v>
          </cell>
          <cell r="AB98" t="str">
            <v>برنده بازی 49</v>
          </cell>
          <cell r="AC98" t="str">
            <v>W49</v>
          </cell>
          <cell r="AD98" t="str">
            <v>W49</v>
          </cell>
          <cell r="AE98" t="str">
            <v>C49</v>
          </cell>
          <cell r="AF98" t="str">
            <v>P49</v>
          </cell>
          <cell r="AG98" t="str">
            <v>V49</v>
          </cell>
          <cell r="AH98" t="str">
            <v>W49</v>
          </cell>
          <cell r="AI98" t="str">
            <v>W49</v>
          </cell>
          <cell r="AJ98" t="str">
            <v>W49</v>
          </cell>
          <cell r="AK98" t="str">
            <v>ผู้ชนะนัดที่ 49</v>
          </cell>
          <cell r="AL98" t="str">
            <v>G49</v>
          </cell>
          <cell r="AM98" t="str">
            <v>T49</v>
          </cell>
          <cell r="AN98" t="str">
            <v>Переможець 49</v>
          </cell>
          <cell r="AO98" t="str">
            <v>۶۱ جیت</v>
          </cell>
        </row>
        <row r="99">
          <cell r="A99" t="str">
            <v>W50</v>
          </cell>
          <cell r="B99" t="str">
            <v>F50</v>
          </cell>
          <cell r="C99" t="str">
            <v>W50</v>
          </cell>
          <cell r="D99" t="str">
            <v>W50</v>
          </cell>
          <cell r="E99" t="str">
            <v>Q50</v>
          </cell>
          <cell r="F99" t="str">
            <v>W50</v>
          </cell>
          <cell r="G99" t="str">
            <v>G50</v>
          </cell>
          <cell r="H99" t="str">
            <v>50胜者</v>
          </cell>
          <cell r="I99" t="str">
            <v>W50</v>
          </cell>
          <cell r="J99" t="str">
            <v>W50</v>
          </cell>
          <cell r="K99" t="str">
            <v>V50</v>
          </cell>
          <cell r="L99" t="str">
            <v>V50</v>
          </cell>
          <cell r="M99" t="str">
            <v>W50</v>
          </cell>
          <cell r="N99" t="str">
            <v>W50</v>
          </cell>
          <cell r="O99" t="str">
            <v>მ50</v>
          </cell>
          <cell r="P99" t="str">
            <v>W50</v>
          </cell>
          <cell r="Q99" t="str">
            <v>Ν50</v>
          </cell>
          <cell r="R99" t="str">
            <v>W50</v>
          </cell>
          <cell r="S99" t="str">
            <v>GY50</v>
          </cell>
          <cell r="T99" t="str">
            <v>W50</v>
          </cell>
          <cell r="U99" t="str">
            <v>W50</v>
          </cell>
          <cell r="V99" t="str">
            <v>W50</v>
          </cell>
          <cell r="W99" t="str">
            <v>준결승 경기2 승자</v>
          </cell>
          <cell r="X99" t="str">
            <v>L50</v>
          </cell>
          <cell r="Y99" t="str">
            <v>П50</v>
          </cell>
          <cell r="Z99" t="str">
            <v>R50</v>
          </cell>
          <cell r="AA99" t="str">
            <v>V50</v>
          </cell>
          <cell r="AB99" t="str">
            <v>برنده بازی 50</v>
          </cell>
          <cell r="AC99" t="str">
            <v>W50</v>
          </cell>
          <cell r="AD99" t="str">
            <v>W50</v>
          </cell>
          <cell r="AE99" t="str">
            <v>C50</v>
          </cell>
          <cell r="AF99" t="str">
            <v>P50</v>
          </cell>
          <cell r="AG99" t="str">
            <v>V50</v>
          </cell>
          <cell r="AH99" t="str">
            <v>W50</v>
          </cell>
          <cell r="AI99" t="str">
            <v>W50</v>
          </cell>
          <cell r="AJ99" t="str">
            <v>W50</v>
          </cell>
          <cell r="AK99" t="str">
            <v>ผู้ชนะนัดที่ 50</v>
          </cell>
          <cell r="AL99" t="str">
            <v>G50</v>
          </cell>
          <cell r="AM99" t="str">
            <v>T50</v>
          </cell>
          <cell r="AN99" t="str">
            <v>Переможець 50</v>
          </cell>
          <cell r="AO99" t="str">
            <v>۶۲ جیت</v>
          </cell>
        </row>
        <row r="100">
          <cell r="A100" t="str">
            <v>L61</v>
          </cell>
          <cell r="B100" t="str">
            <v>H61</v>
          </cell>
          <cell r="C100" t="str">
            <v>L61</v>
          </cell>
          <cell r="D100" t="str">
            <v>L61</v>
          </cell>
          <cell r="E100" t="str">
            <v>M61</v>
          </cell>
          <cell r="F100" t="str">
            <v>L61</v>
          </cell>
          <cell r="G100" t="str">
            <v>P61</v>
          </cell>
          <cell r="H100" t="str">
            <v>61负者</v>
          </cell>
          <cell r="I100" t="str">
            <v>L61</v>
          </cell>
          <cell r="J100" t="str">
            <v>L61</v>
          </cell>
          <cell r="K100" t="str">
            <v>P61</v>
          </cell>
          <cell r="L100" t="str">
            <v>T61</v>
          </cell>
          <cell r="M100" t="str">
            <v>V61</v>
          </cell>
          <cell r="N100" t="str">
            <v>L61</v>
          </cell>
          <cell r="O100" t="str">
            <v>წ61</v>
          </cell>
          <cell r="P100" t="str">
            <v>L61</v>
          </cell>
          <cell r="Q100" t="str">
            <v>Η61</v>
          </cell>
          <cell r="R100" t="str">
            <v>L61</v>
          </cell>
          <cell r="S100" t="str">
            <v>V61</v>
          </cell>
          <cell r="T100" t="str">
            <v>L61</v>
          </cell>
          <cell r="U100" t="str">
            <v>L61</v>
          </cell>
          <cell r="V100" t="str">
            <v>L61</v>
          </cell>
          <cell r="W100" t="str">
            <v>준결승 경기1 패자</v>
          </cell>
          <cell r="X100" t="str">
            <v>P61</v>
          </cell>
          <cell r="Y100" t="str">
            <v>И61</v>
          </cell>
          <cell r="Z100" t="str">
            <v>T61</v>
          </cell>
          <cell r="AA100" t="str">
            <v>T61</v>
          </cell>
          <cell r="AB100" t="str">
            <v>بازنده بازی 61</v>
          </cell>
          <cell r="AC100" t="str">
            <v>L61</v>
          </cell>
          <cell r="AD100" t="str">
            <v>L61</v>
          </cell>
          <cell r="AE100" t="str">
            <v>P61</v>
          </cell>
          <cell r="AF100" t="str">
            <v>I61</v>
          </cell>
          <cell r="AG100" t="str">
            <v>P61</v>
          </cell>
          <cell r="AH100" t="str">
            <v>L61</v>
          </cell>
          <cell r="AI100" t="str">
            <v>L61</v>
          </cell>
          <cell r="AJ100" t="str">
            <v>L61</v>
          </cell>
          <cell r="AK100" t="str">
            <v>ผู้แพ้นัดที่ 61</v>
          </cell>
          <cell r="AL100" t="str">
            <v>M61</v>
          </cell>
          <cell r="AM100" t="str">
            <v>B61</v>
          </cell>
          <cell r="AN100" t="str">
            <v>Переможений 61</v>
          </cell>
          <cell r="AO100" t="str">
            <v>۶۱ ہار</v>
          </cell>
        </row>
        <row r="101">
          <cell r="A101" t="str">
            <v>L62</v>
          </cell>
          <cell r="B101" t="str">
            <v>H62</v>
          </cell>
          <cell r="C101" t="str">
            <v>L62</v>
          </cell>
          <cell r="D101" t="str">
            <v>L62</v>
          </cell>
          <cell r="E101" t="str">
            <v>M62</v>
          </cell>
          <cell r="F101" t="str">
            <v>L62</v>
          </cell>
          <cell r="G101" t="str">
            <v>P62</v>
          </cell>
          <cell r="H101" t="str">
            <v>62负者</v>
          </cell>
          <cell r="I101" t="str">
            <v>L62</v>
          </cell>
          <cell r="J101" t="str">
            <v>L62</v>
          </cell>
          <cell r="K101" t="str">
            <v>P62</v>
          </cell>
          <cell r="L101" t="str">
            <v>T62</v>
          </cell>
          <cell r="M101" t="str">
            <v>V62</v>
          </cell>
          <cell r="N101" t="str">
            <v>L62</v>
          </cell>
          <cell r="O101" t="str">
            <v>წ62</v>
          </cell>
          <cell r="P101" t="str">
            <v>L62</v>
          </cell>
          <cell r="Q101" t="str">
            <v>Η62</v>
          </cell>
          <cell r="R101" t="str">
            <v>L62</v>
          </cell>
          <cell r="S101" t="str">
            <v>V62</v>
          </cell>
          <cell r="T101" t="str">
            <v>L62</v>
          </cell>
          <cell r="U101" t="str">
            <v>L62</v>
          </cell>
          <cell r="V101" t="str">
            <v>L62</v>
          </cell>
          <cell r="W101" t="str">
            <v>준결승 경기2 패자</v>
          </cell>
          <cell r="X101" t="str">
            <v>P62</v>
          </cell>
          <cell r="Y101" t="str">
            <v>И62</v>
          </cell>
          <cell r="Z101" t="str">
            <v>T62</v>
          </cell>
          <cell r="AA101" t="str">
            <v>T62</v>
          </cell>
          <cell r="AB101" t="str">
            <v>بازنده بازی 62</v>
          </cell>
          <cell r="AC101" t="str">
            <v>L62</v>
          </cell>
          <cell r="AD101" t="str">
            <v>L62</v>
          </cell>
          <cell r="AE101" t="str">
            <v>P62</v>
          </cell>
          <cell r="AF101" t="str">
            <v>I62</v>
          </cell>
          <cell r="AG101" t="str">
            <v>P62</v>
          </cell>
          <cell r="AH101" t="str">
            <v>L62</v>
          </cell>
          <cell r="AI101" t="str">
            <v>L62</v>
          </cell>
          <cell r="AJ101" t="str">
            <v>L62</v>
          </cell>
          <cell r="AK101" t="str">
            <v>ผู้แพ้นัดที่ 62</v>
          </cell>
          <cell r="AL101" t="str">
            <v>M62</v>
          </cell>
          <cell r="AM101" t="str">
            <v>B62</v>
          </cell>
          <cell r="AN101" t="str">
            <v>Переможений 62</v>
          </cell>
          <cell r="AO101" t="str">
            <v>۶۲ ہار</v>
          </cell>
        </row>
        <row r="102">
          <cell r="A102" t="str">
            <v>Champion 2021</v>
          </cell>
          <cell r="B102" t="str">
            <v>Champion 2021</v>
          </cell>
          <cell r="C102" t="str">
            <v>بطل 2021</v>
          </cell>
          <cell r="D102" t="str">
            <v>Champion 2021-</v>
          </cell>
          <cell r="E102" t="str">
            <v>Champion 2021</v>
          </cell>
          <cell r="F102" t="str">
            <v>Шампион 2021</v>
          </cell>
          <cell r="G102" t="str">
            <v>Campió 2021</v>
          </cell>
          <cell r="H102" t="str">
            <v>2021年冠军</v>
          </cell>
          <cell r="I102" t="str">
            <v>2021年冠軍</v>
          </cell>
          <cell r="J102" t="str">
            <v>Prvak 2021</v>
          </cell>
          <cell r="K102" t="str">
            <v>Champion 2021</v>
          </cell>
          <cell r="L102" t="str">
            <v>Champion 2021</v>
          </cell>
          <cell r="M102" t="str">
            <v>Champion 2021</v>
          </cell>
          <cell r="N102" t="str">
            <v>Champion 2021</v>
          </cell>
          <cell r="O102" t="str">
            <v>ჩემპიონი 2021</v>
          </cell>
          <cell r="P102" t="str">
            <v>Meister 2021</v>
          </cell>
          <cell r="Q102" t="str">
            <v>Πρωταθλητής 2021</v>
          </cell>
          <cell r="R102" t="str">
            <v>אלוף 2021</v>
          </cell>
          <cell r="S102" t="str">
            <v>Champion 2021</v>
          </cell>
          <cell r="T102" t="str">
            <v>Juara 2021</v>
          </cell>
          <cell r="U102" t="str">
            <v>Meistari 2021</v>
          </cell>
          <cell r="V102" t="str">
            <v>Campione 2021</v>
          </cell>
          <cell r="W102" t="str">
            <v>챔피언 2021</v>
          </cell>
          <cell r="X102" t="str">
            <v>Čempionas 2021</v>
          </cell>
          <cell r="Y102" t="str">
            <v>Шампион 2021</v>
          </cell>
          <cell r="Z102" t="str">
            <v>Champion 2021</v>
          </cell>
          <cell r="AA102" t="str">
            <v>Champion 2021</v>
          </cell>
          <cell r="AB102" t="str">
            <v>قهرمان 2021</v>
          </cell>
          <cell r="AC102" t="str">
            <v>Champion 2021</v>
          </cell>
          <cell r="AD102" t="str">
            <v>Champion 2021</v>
          </cell>
          <cell r="AE102" t="str">
            <v>Campionul 2021</v>
          </cell>
          <cell r="AF102" t="str">
            <v>Цхампион 2021</v>
          </cell>
          <cell r="AG102" t="str">
            <v>Champion 2021</v>
          </cell>
          <cell r="AH102" t="str">
            <v>Champion 2021</v>
          </cell>
          <cell r="AI102" t="str">
            <v>Campeón 2021</v>
          </cell>
          <cell r="AJ102" t="str">
            <v>Champion 2021</v>
          </cell>
          <cell r="AK102" t="str">
            <v>แชมป์ 2021</v>
          </cell>
          <cell r="AL102" t="str">
            <v>Şampiyon 2021</v>
          </cell>
          <cell r="AM102" t="str">
            <v>Champion 2021</v>
          </cell>
          <cell r="AN102" t="str">
            <v>Чемпіон 2021</v>
          </cell>
          <cell r="AO102" t="str">
            <v>چیمپیئن 2021</v>
          </cell>
        </row>
        <row r="103">
          <cell r="A103" t="str">
            <v>Rome</v>
          </cell>
          <cell r="B103" t="str">
            <v>Roma</v>
          </cell>
          <cell r="C103" t="str">
            <v>روما</v>
          </cell>
          <cell r="D103" t="str">
            <v>Հռոմ</v>
          </cell>
          <cell r="E103" t="str">
            <v>Rome</v>
          </cell>
          <cell r="F103" t="str">
            <v>Рим</v>
          </cell>
          <cell r="G103" t="str">
            <v>Roma</v>
          </cell>
          <cell r="H103" t="str">
            <v>罗马</v>
          </cell>
          <cell r="I103" t="str">
            <v>羅馬</v>
          </cell>
          <cell r="J103" t="str">
            <v>Rim</v>
          </cell>
          <cell r="K103" t="str">
            <v>Řím</v>
          </cell>
          <cell r="L103" t="str">
            <v>Rom</v>
          </cell>
          <cell r="M103" t="str">
            <v>Rome</v>
          </cell>
          <cell r="N103" t="str">
            <v>Rome</v>
          </cell>
          <cell r="O103" t="str">
            <v>რომი</v>
          </cell>
          <cell r="P103" t="str">
            <v>Rom</v>
          </cell>
          <cell r="Q103" t="str">
            <v>Ρώμη</v>
          </cell>
          <cell r="R103" t="str">
            <v>רומא</v>
          </cell>
          <cell r="S103" t="str">
            <v>Róma</v>
          </cell>
          <cell r="T103" t="str">
            <v>Roma</v>
          </cell>
          <cell r="U103" t="str">
            <v>Rome</v>
          </cell>
          <cell r="V103" t="str">
            <v>Roma</v>
          </cell>
          <cell r="W103" t="str">
            <v>로마</v>
          </cell>
          <cell r="X103" t="str">
            <v>Roma</v>
          </cell>
          <cell r="Y103" t="str">
            <v>Рим</v>
          </cell>
          <cell r="Z103" t="str">
            <v>Ruma</v>
          </cell>
          <cell r="AA103" t="str">
            <v>Roma</v>
          </cell>
          <cell r="AB103" t="str">
            <v>رم</v>
          </cell>
          <cell r="AC103" t="str">
            <v>Rzym</v>
          </cell>
          <cell r="AD103" t="str">
            <v>Roma</v>
          </cell>
          <cell r="AE103" t="str">
            <v>Roma</v>
          </cell>
          <cell r="AF103" t="str">
            <v>Рим</v>
          </cell>
          <cell r="AG103" t="str">
            <v>Rím</v>
          </cell>
          <cell r="AH103" t="str">
            <v>Rim</v>
          </cell>
          <cell r="AI103" t="str">
            <v>Roma</v>
          </cell>
          <cell r="AJ103" t="str">
            <v>Rom</v>
          </cell>
          <cell r="AK103" t="str">
            <v>กรุงโรม</v>
          </cell>
          <cell r="AL103" t="str">
            <v>Roma</v>
          </cell>
          <cell r="AM103" t="str">
            <v>La Mã</v>
          </cell>
          <cell r="AN103" t="str">
            <v>Рим</v>
          </cell>
          <cell r="AO103" t="str">
            <v>روم</v>
          </cell>
        </row>
        <row r="104">
          <cell r="A104" t="str">
            <v>Baku</v>
          </cell>
          <cell r="B104" t="str">
            <v>Baku</v>
          </cell>
          <cell r="C104" t="str">
            <v>باكو</v>
          </cell>
          <cell r="D104" t="str">
            <v>Baku</v>
          </cell>
          <cell r="E104" t="str">
            <v>Bakı</v>
          </cell>
          <cell r="F104" t="str">
            <v>Баку</v>
          </cell>
          <cell r="G104" t="str">
            <v>Bakú</v>
          </cell>
          <cell r="H104" t="str">
            <v>巴库</v>
          </cell>
          <cell r="I104" t="str">
            <v>巴庫</v>
          </cell>
          <cell r="J104" t="str">
            <v>Baku</v>
          </cell>
          <cell r="K104" t="str">
            <v>Baku</v>
          </cell>
          <cell r="L104" t="str">
            <v>Baku</v>
          </cell>
          <cell r="M104" t="str">
            <v>Baku</v>
          </cell>
          <cell r="N104" t="str">
            <v>Bakou</v>
          </cell>
          <cell r="O104" t="str">
            <v>ბაკო</v>
          </cell>
          <cell r="P104" t="str">
            <v>Baku</v>
          </cell>
          <cell r="Q104" t="str">
            <v>Μπακού</v>
          </cell>
          <cell r="R104" t="str">
            <v>באקו</v>
          </cell>
          <cell r="S104" t="str">
            <v>Baku</v>
          </cell>
          <cell r="T104" t="str">
            <v>Baku</v>
          </cell>
          <cell r="U104" t="str">
            <v>Baku</v>
          </cell>
          <cell r="V104" t="str">
            <v>Baku</v>
          </cell>
          <cell r="W104" t="str">
            <v>바쿠</v>
          </cell>
          <cell r="X104" t="str">
            <v>Baku</v>
          </cell>
          <cell r="Y104" t="str">
            <v>Баку</v>
          </cell>
          <cell r="Z104" t="str">
            <v>Baku</v>
          </cell>
          <cell r="AA104" t="str">
            <v>Baku</v>
          </cell>
          <cell r="AB104" t="str">
            <v>باکو</v>
          </cell>
          <cell r="AC104" t="str">
            <v>Baku</v>
          </cell>
          <cell r="AD104" t="str">
            <v>Baku</v>
          </cell>
          <cell r="AE104" t="str">
            <v>Baku</v>
          </cell>
          <cell r="AF104" t="str">
            <v>Баку</v>
          </cell>
          <cell r="AG104" t="str">
            <v>Baku</v>
          </cell>
          <cell r="AH104" t="str">
            <v>Baku</v>
          </cell>
          <cell r="AI104" t="str">
            <v>Bakú</v>
          </cell>
          <cell r="AJ104" t="str">
            <v>Baku</v>
          </cell>
          <cell r="AK104" t="str">
            <v>บากู</v>
          </cell>
          <cell r="AL104" t="str">
            <v>Bakü</v>
          </cell>
          <cell r="AM104" t="str">
            <v>Baku</v>
          </cell>
          <cell r="AN104" t="str">
            <v>Баку</v>
          </cell>
          <cell r="AO104" t="str">
            <v>باکو</v>
          </cell>
        </row>
        <row r="105">
          <cell r="A105" t="str">
            <v>Copenhagen</v>
          </cell>
          <cell r="B105" t="str">
            <v>Kopenhagen</v>
          </cell>
          <cell r="C105" t="str">
            <v>كوبنهاغن</v>
          </cell>
          <cell r="D105" t="str">
            <v>Կոպենհագեն</v>
          </cell>
          <cell r="E105" t="str">
            <v>Kopenhagen</v>
          </cell>
          <cell r="F105" t="str">
            <v>Копенхаген</v>
          </cell>
          <cell r="G105" t="str">
            <v>Copenhaguen</v>
          </cell>
          <cell r="H105" t="str">
            <v>哥本哈根</v>
          </cell>
          <cell r="I105" t="str">
            <v>哥本哈根</v>
          </cell>
          <cell r="J105" t="str">
            <v>Kopenhagen</v>
          </cell>
          <cell r="K105" t="str">
            <v>Kodaň</v>
          </cell>
          <cell r="L105" t="str">
            <v>København</v>
          </cell>
          <cell r="M105" t="str">
            <v>Kopenhagen</v>
          </cell>
          <cell r="N105" t="str">
            <v>Copenhague</v>
          </cell>
          <cell r="O105" t="str">
            <v>კოპენჰაგე</v>
          </cell>
          <cell r="P105" t="str">
            <v>Kopenhagen</v>
          </cell>
          <cell r="Q105" t="str">
            <v>Κοπεγχάγη</v>
          </cell>
          <cell r="R105" t="str">
            <v>קופנהגן</v>
          </cell>
          <cell r="S105" t="str">
            <v>Koppenhága</v>
          </cell>
          <cell r="T105" t="str">
            <v>Copenhagen</v>
          </cell>
          <cell r="U105" t="str">
            <v>Kaupmannahöfn</v>
          </cell>
          <cell r="V105" t="str">
            <v>Copenhagen</v>
          </cell>
          <cell r="W105" t="str">
            <v>코펜하겐</v>
          </cell>
          <cell r="X105" t="str">
            <v>Kopenhaga</v>
          </cell>
          <cell r="Y105" t="str">
            <v>Копенхаген</v>
          </cell>
          <cell r="Z105" t="str">
            <v>Kopenħagen</v>
          </cell>
          <cell r="AA105" t="str">
            <v>København</v>
          </cell>
          <cell r="AB105" t="str">
            <v>کپنهاگ</v>
          </cell>
          <cell r="AC105" t="str">
            <v>Kopenhaga</v>
          </cell>
          <cell r="AD105" t="str">
            <v>Copenhague</v>
          </cell>
          <cell r="AE105" t="str">
            <v>Copenhaga</v>
          </cell>
          <cell r="AF105" t="str">
            <v>Копенхаген</v>
          </cell>
          <cell r="AG105" t="str">
            <v>Kodaň</v>
          </cell>
          <cell r="AH105" t="str">
            <v>Copenhagen</v>
          </cell>
          <cell r="AI105" t="str">
            <v>Copenhague</v>
          </cell>
          <cell r="AJ105" t="str">
            <v>Köpenhamn</v>
          </cell>
          <cell r="AK105" t="str">
            <v>โคเปนเฮเกน</v>
          </cell>
          <cell r="AL105" t="str">
            <v>Kopenhag</v>
          </cell>
          <cell r="AM105" t="str">
            <v>Copenhagen</v>
          </cell>
          <cell r="AN105" t="str">
            <v>Копенгаген</v>
          </cell>
          <cell r="AO105" t="str">
            <v>کوپن ہیگن</v>
          </cell>
        </row>
        <row r="106">
          <cell r="A106" t="str">
            <v>St Petersburg</v>
          </cell>
          <cell r="B106" t="str">
            <v>Shën Petersburg</v>
          </cell>
          <cell r="C106" t="str">
            <v>سان بطرسبرج</v>
          </cell>
          <cell r="D106" t="str">
            <v>Սանկտ Պետերբուրգում</v>
          </cell>
          <cell r="E106" t="str">
            <v>Sankt-Peterburq</v>
          </cell>
          <cell r="F106" t="str">
            <v>Санкт Петербург</v>
          </cell>
          <cell r="G106" t="str">
            <v>Sant Petersburg</v>
          </cell>
          <cell r="H106" t="str">
            <v>圣彼得堡</v>
          </cell>
          <cell r="I106" t="str">
            <v>聖彼得堡</v>
          </cell>
          <cell r="J106" t="str">
            <v>St. Petersburg</v>
          </cell>
          <cell r="K106" t="str">
            <v>Petrohrad</v>
          </cell>
          <cell r="L106" t="str">
            <v>Sankt Petersborg</v>
          </cell>
          <cell r="M106" t="str">
            <v>St. Petersburg</v>
          </cell>
          <cell r="N106" t="str">
            <v>Saint-Pétersbourg</v>
          </cell>
          <cell r="O106" t="str">
            <v>სენ-პეტერბურგი</v>
          </cell>
          <cell r="P106" t="str">
            <v>St. Petersburg</v>
          </cell>
          <cell r="Q106" t="str">
            <v>Αγία Πετρούπολη</v>
          </cell>
          <cell r="R106" t="str">
            <v>סנט פטרסבורג</v>
          </cell>
          <cell r="S106" t="str">
            <v>Szentpétervár</v>
          </cell>
          <cell r="T106" t="str">
            <v>St Petersburg</v>
          </cell>
          <cell r="U106" t="str">
            <v>Sankti Pétursborg</v>
          </cell>
          <cell r="V106" t="str">
            <v>San Pietroburgo</v>
          </cell>
          <cell r="W106" t="str">
            <v>세인트 피터스 버그</v>
          </cell>
          <cell r="X106" t="str">
            <v>Sankt Peterburgas</v>
          </cell>
          <cell r="Y106" t="str">
            <v>Санкт Петербург</v>
          </cell>
          <cell r="Z106" t="str">
            <v>San Pietruburgu</v>
          </cell>
          <cell r="AA106" t="str">
            <v>St. Petersburg</v>
          </cell>
          <cell r="AB106" t="str">
            <v>سنت پترزبورگ</v>
          </cell>
          <cell r="AC106" t="str">
            <v>Petersburg</v>
          </cell>
          <cell r="AD106" t="str">
            <v>São Petersburgo</v>
          </cell>
          <cell r="AE106" t="str">
            <v>St.Petersburg</v>
          </cell>
          <cell r="AF106" t="str">
            <v>Санкт Петербург</v>
          </cell>
          <cell r="AG106" t="str">
            <v>St. Petersburg</v>
          </cell>
          <cell r="AH106" t="str">
            <v>St. Petersburg</v>
          </cell>
          <cell r="AI106" t="str">
            <v>San Petersburgo</v>
          </cell>
          <cell r="AJ106" t="str">
            <v>St. Petersburg</v>
          </cell>
          <cell r="AK106" t="str">
            <v>เซนต์ปีเตอร์สเบิร์ก</v>
          </cell>
          <cell r="AL106" t="str">
            <v>St Petersburg</v>
          </cell>
          <cell r="AM106" t="str">
            <v>St Petersburg</v>
          </cell>
          <cell r="AN106" t="str">
            <v>Санкт-Петербург</v>
          </cell>
          <cell r="AO106" t="str">
            <v>سینٹ پیٹرز برگ</v>
          </cell>
        </row>
        <row r="107">
          <cell r="A107" t="str">
            <v>London</v>
          </cell>
          <cell r="B107" t="str">
            <v>Londër</v>
          </cell>
          <cell r="C107" t="str">
            <v>لندن</v>
          </cell>
          <cell r="D107" t="str">
            <v>London</v>
          </cell>
          <cell r="E107" t="str">
            <v>London</v>
          </cell>
          <cell r="F107" t="str">
            <v>Лондон</v>
          </cell>
          <cell r="G107" t="str">
            <v>Londres</v>
          </cell>
          <cell r="H107" t="str">
            <v>伦敦</v>
          </cell>
          <cell r="I107" t="str">
            <v>倫敦</v>
          </cell>
          <cell r="J107" t="str">
            <v>London</v>
          </cell>
          <cell r="K107" t="str">
            <v>Londýn</v>
          </cell>
          <cell r="L107" t="str">
            <v>London</v>
          </cell>
          <cell r="M107" t="str">
            <v>Londen</v>
          </cell>
          <cell r="N107" t="str">
            <v>Londres</v>
          </cell>
          <cell r="O107" t="str">
            <v>ლონდრები</v>
          </cell>
          <cell r="P107" t="str">
            <v>London</v>
          </cell>
          <cell r="Q107" t="str">
            <v>Λονδίνο</v>
          </cell>
          <cell r="R107" t="str">
            <v>לונדון</v>
          </cell>
          <cell r="S107" t="str">
            <v>London</v>
          </cell>
          <cell r="T107" t="str">
            <v>London</v>
          </cell>
          <cell r="U107" t="str">
            <v>London</v>
          </cell>
          <cell r="V107" t="str">
            <v>Londra</v>
          </cell>
          <cell r="W107" t="str">
            <v>런던</v>
          </cell>
          <cell r="X107" t="str">
            <v>Londonas</v>
          </cell>
          <cell r="Y107" t="str">
            <v>Лондон</v>
          </cell>
          <cell r="Z107" t="str">
            <v>London</v>
          </cell>
          <cell r="AA107" t="str">
            <v>London</v>
          </cell>
          <cell r="AB107" t="str">
            <v>لندن</v>
          </cell>
          <cell r="AC107" t="str">
            <v>Londyn</v>
          </cell>
          <cell r="AD107" t="str">
            <v>Londres</v>
          </cell>
          <cell r="AE107" t="str">
            <v>Londra</v>
          </cell>
          <cell r="AF107" t="str">
            <v>Лондон</v>
          </cell>
          <cell r="AG107" t="str">
            <v>Londýn</v>
          </cell>
          <cell r="AH107" t="str">
            <v>London</v>
          </cell>
          <cell r="AI107" t="str">
            <v>Londres</v>
          </cell>
          <cell r="AJ107" t="str">
            <v>London</v>
          </cell>
          <cell r="AK107" t="str">
            <v>กรุงลอนดอน</v>
          </cell>
          <cell r="AL107" t="str">
            <v>Londra</v>
          </cell>
          <cell r="AM107" t="str">
            <v>London</v>
          </cell>
          <cell r="AN107" t="str">
            <v>Лондон</v>
          </cell>
          <cell r="AO107" t="str">
            <v>لندن</v>
          </cell>
        </row>
        <row r="108">
          <cell r="A108" t="str">
            <v>Bucharest</v>
          </cell>
          <cell r="B108" t="str">
            <v>Bukuresht</v>
          </cell>
          <cell r="C108" t="str">
            <v>بوخارست</v>
          </cell>
          <cell r="D108" t="str">
            <v>Բուխարեստ</v>
          </cell>
          <cell r="E108" t="str">
            <v>Buxarest</v>
          </cell>
          <cell r="F108" t="str">
            <v>Букурещ</v>
          </cell>
          <cell r="G108" t="str">
            <v>Bucarest</v>
          </cell>
          <cell r="H108" t="str">
            <v>布加勒斯特</v>
          </cell>
          <cell r="I108" t="str">
            <v>布加勒斯特</v>
          </cell>
          <cell r="J108" t="str">
            <v>Bukurešt</v>
          </cell>
          <cell r="K108" t="str">
            <v>Bukurešť</v>
          </cell>
          <cell r="L108" t="str">
            <v>Bukarest</v>
          </cell>
          <cell r="M108" t="str">
            <v>Boekarest</v>
          </cell>
          <cell r="N108" t="str">
            <v>Bucarest</v>
          </cell>
          <cell r="O108" t="str">
            <v>ბუკარესტი</v>
          </cell>
          <cell r="P108" t="str">
            <v>Bukarest</v>
          </cell>
          <cell r="Q108" t="str">
            <v>Βουκουρέστι</v>
          </cell>
          <cell r="R108" t="str">
            <v>בוקרשט</v>
          </cell>
          <cell r="S108" t="str">
            <v>Bukarest</v>
          </cell>
          <cell r="T108" t="str">
            <v>Bucharest</v>
          </cell>
          <cell r="U108" t="str">
            <v>Búkarest</v>
          </cell>
          <cell r="V108" t="str">
            <v>Bucarest</v>
          </cell>
          <cell r="W108" t="str">
            <v>부카레스트</v>
          </cell>
          <cell r="X108" t="str">
            <v>Bukareštas</v>
          </cell>
          <cell r="Y108" t="str">
            <v>Букурешт</v>
          </cell>
          <cell r="Z108" t="str">
            <v>Bukarest</v>
          </cell>
          <cell r="AA108" t="str">
            <v>Bucuresti</v>
          </cell>
          <cell r="AB108" t="str">
            <v>بخارست</v>
          </cell>
          <cell r="AC108" t="str">
            <v>Bukareszt</v>
          </cell>
          <cell r="AD108" t="str">
            <v>Bucareste</v>
          </cell>
          <cell r="AE108" t="str">
            <v>Bucureşti</v>
          </cell>
          <cell r="AF108" t="str">
            <v>Букурешт</v>
          </cell>
          <cell r="AG108" t="str">
            <v>Bukurešť</v>
          </cell>
          <cell r="AH108" t="str">
            <v>Bukarešta</v>
          </cell>
          <cell r="AI108" t="str">
            <v>Bucarest</v>
          </cell>
          <cell r="AJ108" t="str">
            <v>Bukarest</v>
          </cell>
          <cell r="AK108" t="str">
            <v>บูคาเรสต์</v>
          </cell>
          <cell r="AL108" t="str">
            <v>Bükreş</v>
          </cell>
          <cell r="AM108" t="str">
            <v>Bucharest</v>
          </cell>
          <cell r="AN108" t="str">
            <v>Бухарест</v>
          </cell>
          <cell r="AO108" t="str">
            <v>بخارسٹ</v>
          </cell>
        </row>
        <row r="109">
          <cell r="A109" t="str">
            <v>Amsterdam</v>
          </cell>
          <cell r="B109" t="str">
            <v>Amsterdam</v>
          </cell>
          <cell r="C109" t="str">
            <v>أمستردام</v>
          </cell>
          <cell r="D109" t="str">
            <v>Ամստերդամ</v>
          </cell>
          <cell r="E109" t="str">
            <v>Amsterdam</v>
          </cell>
          <cell r="F109" t="str">
            <v>Амстердам</v>
          </cell>
          <cell r="G109" t="str">
            <v>Amsterdam</v>
          </cell>
          <cell r="H109" t="str">
            <v>阿姆斯特丹</v>
          </cell>
          <cell r="I109" t="str">
            <v>阿姆斯特丹</v>
          </cell>
          <cell r="J109" t="str">
            <v>Amsterdam</v>
          </cell>
          <cell r="K109" t="str">
            <v>Amsterodam</v>
          </cell>
          <cell r="L109" t="str">
            <v>Amsterdam</v>
          </cell>
          <cell r="M109" t="str">
            <v>Amsterdam</v>
          </cell>
          <cell r="N109" t="str">
            <v>Amsterdam</v>
          </cell>
          <cell r="O109" t="str">
            <v>ამსტერდამი</v>
          </cell>
          <cell r="P109" t="str">
            <v>Amsterdam</v>
          </cell>
          <cell r="Q109" t="str">
            <v>Άμστερνταμ</v>
          </cell>
          <cell r="R109" t="str">
            <v>אמסטרדם</v>
          </cell>
          <cell r="S109" t="str">
            <v>Amszterdam</v>
          </cell>
          <cell r="T109" t="str">
            <v>Amsterdam</v>
          </cell>
          <cell r="U109" t="str">
            <v>Amsterdam</v>
          </cell>
          <cell r="V109" t="str">
            <v>Amsterdam</v>
          </cell>
          <cell r="W109" t="str">
            <v>암스테르담</v>
          </cell>
          <cell r="X109" t="str">
            <v>Amsterdamas</v>
          </cell>
          <cell r="Y109" t="str">
            <v>Амстердам</v>
          </cell>
          <cell r="Z109" t="str">
            <v>Amsterdam</v>
          </cell>
          <cell r="AA109" t="str">
            <v>Amsterdam</v>
          </cell>
          <cell r="AB109" t="str">
            <v>آمستردام</v>
          </cell>
          <cell r="AC109" t="str">
            <v>Amsterdam</v>
          </cell>
          <cell r="AD109" t="str">
            <v>Amsterdam</v>
          </cell>
          <cell r="AE109" t="str">
            <v>Amsterdam</v>
          </cell>
          <cell r="AF109" t="str">
            <v>Амстердам</v>
          </cell>
          <cell r="AG109" t="str">
            <v>Amsterdam</v>
          </cell>
          <cell r="AH109" t="str">
            <v>Amsterdam</v>
          </cell>
          <cell r="AI109" t="str">
            <v>Ámsterdam</v>
          </cell>
          <cell r="AJ109" t="str">
            <v>Amsterdam</v>
          </cell>
          <cell r="AK109" t="str">
            <v>อัมสเตอร์ดัม</v>
          </cell>
          <cell r="AL109" t="str">
            <v>Amsterdam</v>
          </cell>
          <cell r="AM109" t="str">
            <v>Amsterdam</v>
          </cell>
          <cell r="AN109" t="str">
            <v>Амстердам</v>
          </cell>
          <cell r="AO109" t="str">
            <v>ایمسٹرڈیم</v>
          </cell>
        </row>
        <row r="110">
          <cell r="A110" t="str">
            <v>Glasgow</v>
          </cell>
          <cell r="B110" t="str">
            <v>Glasgow</v>
          </cell>
          <cell r="C110" t="str">
            <v>غلاسكو</v>
          </cell>
          <cell r="D110" t="str">
            <v>Glasgow</v>
          </cell>
          <cell r="E110" t="str">
            <v>Glasgow</v>
          </cell>
          <cell r="F110" t="str">
            <v>Глазгоу</v>
          </cell>
          <cell r="G110" t="str">
            <v>Glasgow</v>
          </cell>
          <cell r="H110" t="str">
            <v>格拉斯哥</v>
          </cell>
          <cell r="I110" t="str">
            <v>格拉斯哥</v>
          </cell>
          <cell r="J110" t="str">
            <v>Glazgov</v>
          </cell>
          <cell r="K110" t="str">
            <v>Glasgow</v>
          </cell>
          <cell r="L110" t="str">
            <v>Glasgow</v>
          </cell>
          <cell r="M110" t="str">
            <v>Glasgow</v>
          </cell>
          <cell r="N110" t="str">
            <v>Glasgow</v>
          </cell>
          <cell r="O110" t="str">
            <v>გლაზგო</v>
          </cell>
          <cell r="P110" t="str">
            <v>Glasgow</v>
          </cell>
          <cell r="Q110" t="str">
            <v>Γλασκώβη</v>
          </cell>
          <cell r="R110" t="str">
            <v>גלזגו</v>
          </cell>
          <cell r="S110" t="str">
            <v>Glasgow</v>
          </cell>
          <cell r="T110" t="str">
            <v>Glasgow</v>
          </cell>
          <cell r="U110" t="str">
            <v>Glasgow</v>
          </cell>
          <cell r="V110" t="str">
            <v>Glasgow</v>
          </cell>
          <cell r="W110" t="str">
            <v>글래스고</v>
          </cell>
          <cell r="X110" t="str">
            <v>Glazgas</v>
          </cell>
          <cell r="Y110" t="str">
            <v>Глазгов</v>
          </cell>
          <cell r="Z110" t="str">
            <v>Glasgow</v>
          </cell>
          <cell r="AA110" t="str">
            <v>Glasgow</v>
          </cell>
          <cell r="AB110" t="str">
            <v>گلاسکو</v>
          </cell>
          <cell r="AC110" t="str">
            <v>Glasgow</v>
          </cell>
          <cell r="AD110" t="str">
            <v>Glasgow</v>
          </cell>
          <cell r="AE110" t="str">
            <v>Glasgow</v>
          </cell>
          <cell r="AF110" t="str">
            <v>Глазгов</v>
          </cell>
          <cell r="AG110" t="str">
            <v>Glasgow</v>
          </cell>
          <cell r="AH110" t="str">
            <v>Glasgow</v>
          </cell>
          <cell r="AI110" t="str">
            <v>Glasgow</v>
          </cell>
          <cell r="AJ110" t="str">
            <v>Glasgow</v>
          </cell>
          <cell r="AK110" t="str">
            <v>กลาสโกว์</v>
          </cell>
          <cell r="AL110" t="str">
            <v>Glasgow</v>
          </cell>
          <cell r="AM110" t="str">
            <v>Glasgow</v>
          </cell>
          <cell r="AN110" t="str">
            <v>Глазго</v>
          </cell>
          <cell r="AO110" t="str">
            <v>گلاسگو</v>
          </cell>
        </row>
        <row r="111">
          <cell r="A111" t="str">
            <v>Dublin</v>
          </cell>
          <cell r="B111" t="str">
            <v>Dublin</v>
          </cell>
          <cell r="C111" t="str">
            <v>دبلن</v>
          </cell>
          <cell r="D111" t="str">
            <v>Dublin</v>
          </cell>
          <cell r="E111" t="str">
            <v>Dublin</v>
          </cell>
          <cell r="F111" t="str">
            <v>Дъблин</v>
          </cell>
          <cell r="G111" t="str">
            <v>Dublín</v>
          </cell>
          <cell r="H111" t="str">
            <v>都柏林</v>
          </cell>
          <cell r="I111" t="str">
            <v>都柏林</v>
          </cell>
          <cell r="J111" t="str">
            <v>Dablin</v>
          </cell>
          <cell r="K111" t="str">
            <v>Dublin</v>
          </cell>
          <cell r="L111" t="str">
            <v>Dublin</v>
          </cell>
          <cell r="M111" t="str">
            <v>Dublin</v>
          </cell>
          <cell r="N111" t="str">
            <v>Dublin</v>
          </cell>
          <cell r="O111" t="str">
            <v>დუბლინი</v>
          </cell>
          <cell r="P111" t="str">
            <v>Dublin</v>
          </cell>
          <cell r="Q111" t="str">
            <v>Δουβλίνο</v>
          </cell>
          <cell r="R111" t="str">
            <v>דבלין</v>
          </cell>
          <cell r="S111" t="str">
            <v>Dublin</v>
          </cell>
          <cell r="T111" t="str">
            <v>Dublin</v>
          </cell>
          <cell r="U111" t="str">
            <v>Dublin</v>
          </cell>
          <cell r="V111" t="str">
            <v>Dublino</v>
          </cell>
          <cell r="W111" t="str">
            <v>더블린</v>
          </cell>
          <cell r="X111" t="str">
            <v>Dublinas</v>
          </cell>
          <cell r="Y111" t="str">
            <v>Даблин</v>
          </cell>
          <cell r="Z111" t="str">
            <v>Dublin</v>
          </cell>
          <cell r="AA111" t="str">
            <v>Dublin</v>
          </cell>
          <cell r="AB111" t="str">
            <v>دوبلین</v>
          </cell>
          <cell r="AC111" t="str">
            <v>Dublin</v>
          </cell>
          <cell r="AD111" t="str">
            <v>Dublin</v>
          </cell>
          <cell r="AE111" t="str">
            <v>Dublin</v>
          </cell>
          <cell r="AF111" t="str">
            <v>Даблин</v>
          </cell>
          <cell r="AG111" t="str">
            <v>Dublin</v>
          </cell>
          <cell r="AH111" t="str">
            <v>Dublin</v>
          </cell>
          <cell r="AI111" t="str">
            <v>Dublín</v>
          </cell>
          <cell r="AJ111" t="str">
            <v>Dublin</v>
          </cell>
          <cell r="AK111" t="str">
            <v>ดับลิน</v>
          </cell>
          <cell r="AL111" t="str">
            <v>Dublin</v>
          </cell>
          <cell r="AM111" t="str">
            <v>Dublin</v>
          </cell>
          <cell r="AN111" t="str">
            <v>Дублін</v>
          </cell>
          <cell r="AO111" t="str">
            <v>ڈبلن</v>
          </cell>
        </row>
        <row r="112">
          <cell r="A112" t="str">
            <v>Bilbao</v>
          </cell>
          <cell r="B112" t="str">
            <v>Bilbao</v>
          </cell>
          <cell r="C112" t="str">
            <v>بلباو</v>
          </cell>
          <cell r="D112" t="str">
            <v>Bilbao</v>
          </cell>
          <cell r="E112" t="str">
            <v>Bilbao</v>
          </cell>
          <cell r="F112" t="str">
            <v>Билбао</v>
          </cell>
          <cell r="G112" t="str">
            <v>Bilbao</v>
          </cell>
          <cell r="H112" t="str">
            <v>毕尔巴鄂</v>
          </cell>
          <cell r="I112" t="str">
            <v>畢爾巴鄂</v>
          </cell>
          <cell r="J112" t="str">
            <v>Bilbao</v>
          </cell>
          <cell r="K112" t="str">
            <v>Bilbao</v>
          </cell>
          <cell r="L112" t="str">
            <v>Bilbao</v>
          </cell>
          <cell r="M112" t="str">
            <v>Bilbao</v>
          </cell>
          <cell r="N112" t="str">
            <v>Bilbao</v>
          </cell>
          <cell r="O112" t="str">
            <v>ბილბაო</v>
          </cell>
          <cell r="P112" t="str">
            <v>Bilbao</v>
          </cell>
          <cell r="Q112" t="str">
            <v>Μπιλμπάο</v>
          </cell>
          <cell r="R112" t="str">
            <v>בילבאו</v>
          </cell>
          <cell r="S112" t="str">
            <v>Bilbao</v>
          </cell>
          <cell r="T112" t="str">
            <v>Bilbao</v>
          </cell>
          <cell r="U112" t="str">
            <v>Bilbao</v>
          </cell>
          <cell r="V112" t="str">
            <v>Bilbao</v>
          </cell>
          <cell r="W112" t="str">
            <v>빌바오</v>
          </cell>
          <cell r="X112" t="str">
            <v>Bilbao</v>
          </cell>
          <cell r="Y112" t="str">
            <v>Билбао</v>
          </cell>
          <cell r="Z112" t="str">
            <v>Bilbao</v>
          </cell>
          <cell r="AA112" t="str">
            <v>Bilbao</v>
          </cell>
          <cell r="AB112" t="str">
            <v>بیلبائو</v>
          </cell>
          <cell r="AC112" t="str">
            <v>Bilbao</v>
          </cell>
          <cell r="AD112" t="str">
            <v>Bilbao</v>
          </cell>
          <cell r="AE112" t="str">
            <v>Bilbao</v>
          </cell>
          <cell r="AF112" t="str">
            <v>Билбао</v>
          </cell>
          <cell r="AG112" t="str">
            <v>Bilbao</v>
          </cell>
          <cell r="AH112" t="str">
            <v>Bilbao</v>
          </cell>
          <cell r="AI112" t="str">
            <v>Bilbao</v>
          </cell>
          <cell r="AJ112" t="str">
            <v>Bilbao</v>
          </cell>
          <cell r="AK112" t="str">
            <v>บิลเบา</v>
          </cell>
          <cell r="AL112" t="str">
            <v>Bilbao</v>
          </cell>
          <cell r="AM112" t="str">
            <v>Bilbao</v>
          </cell>
          <cell r="AN112" t="str">
            <v>Більбао</v>
          </cell>
          <cell r="AO112" t="str">
            <v>بلباؤ</v>
          </cell>
        </row>
        <row r="113">
          <cell r="A113" t="str">
            <v>Budapest</v>
          </cell>
          <cell r="B113" t="str">
            <v>Budapest</v>
          </cell>
          <cell r="C113" t="str">
            <v>بودابست</v>
          </cell>
          <cell r="D113" t="str">
            <v>Budapest</v>
          </cell>
          <cell r="E113" t="str">
            <v>Budapeşt</v>
          </cell>
          <cell r="F113" t="str">
            <v>Будапеща</v>
          </cell>
          <cell r="G113" t="str">
            <v>Budapest</v>
          </cell>
          <cell r="H113" t="str">
            <v>布达佩斯</v>
          </cell>
          <cell r="I113" t="str">
            <v>布達佩斯</v>
          </cell>
          <cell r="J113" t="str">
            <v>Budimpešta</v>
          </cell>
          <cell r="K113" t="str">
            <v>Budapest</v>
          </cell>
          <cell r="L113" t="str">
            <v>Budapest</v>
          </cell>
          <cell r="M113" t="str">
            <v>Boedapest</v>
          </cell>
          <cell r="N113" t="str">
            <v>Budapest</v>
          </cell>
          <cell r="O113" t="str">
            <v>ბუდაპეშტი</v>
          </cell>
          <cell r="P113" t="str">
            <v>Budapest</v>
          </cell>
          <cell r="Q113" t="str">
            <v>Βουδαπέστη</v>
          </cell>
          <cell r="R113" t="str">
            <v>בודפשט</v>
          </cell>
          <cell r="S113" t="str">
            <v>Budapest</v>
          </cell>
          <cell r="T113" t="str">
            <v>Budapest</v>
          </cell>
          <cell r="U113" t="str">
            <v>Búdapest</v>
          </cell>
          <cell r="V113" t="str">
            <v>Budapest</v>
          </cell>
          <cell r="W113" t="str">
            <v>부다페스트</v>
          </cell>
          <cell r="X113" t="str">
            <v>Budapeštas</v>
          </cell>
          <cell r="Y113" t="str">
            <v>Будимпешта</v>
          </cell>
          <cell r="Z113" t="str">
            <v>Budapest</v>
          </cell>
          <cell r="AA113" t="str">
            <v>Budapest</v>
          </cell>
          <cell r="AB113" t="str">
            <v>بوداپست</v>
          </cell>
          <cell r="AC113" t="str">
            <v>Budapeszt</v>
          </cell>
          <cell r="AD113" t="str">
            <v>Budapeste</v>
          </cell>
          <cell r="AE113" t="str">
            <v>Budapesta</v>
          </cell>
          <cell r="AF113" t="str">
            <v>Будимпешта</v>
          </cell>
          <cell r="AG113" t="str">
            <v>Budapest</v>
          </cell>
          <cell r="AH113" t="str">
            <v>Budimpešta</v>
          </cell>
          <cell r="AI113" t="str">
            <v>Budapest</v>
          </cell>
          <cell r="AJ113" t="str">
            <v>Budapest</v>
          </cell>
          <cell r="AK113" t="str">
            <v>บูดาเปสต์</v>
          </cell>
          <cell r="AL113" t="str">
            <v>Budapeşte</v>
          </cell>
          <cell r="AM113" t="str">
            <v>Budapest</v>
          </cell>
          <cell r="AN113" t="str">
            <v>Будапешт</v>
          </cell>
          <cell r="AO113" t="str">
            <v>بوڈاپیسٹ</v>
          </cell>
        </row>
        <row r="114">
          <cell r="A114" t="str">
            <v>Munich</v>
          </cell>
          <cell r="B114" t="str">
            <v>Mynih</v>
          </cell>
          <cell r="C114" t="str">
            <v>ميونيخ</v>
          </cell>
          <cell r="D114" t="str">
            <v>Մյունխենի</v>
          </cell>
          <cell r="E114" t="str">
            <v>Munich</v>
          </cell>
          <cell r="F114" t="str">
            <v>Мюнхен</v>
          </cell>
          <cell r="G114" t="str">
            <v>Munic</v>
          </cell>
          <cell r="H114" t="str">
            <v>慕尼黑</v>
          </cell>
          <cell r="I114" t="str">
            <v>慕尼黑</v>
          </cell>
          <cell r="J114" t="str">
            <v>Minhen</v>
          </cell>
          <cell r="K114" t="str">
            <v>Mnichov</v>
          </cell>
          <cell r="L114" t="str">
            <v>München</v>
          </cell>
          <cell r="M114" t="str">
            <v>München</v>
          </cell>
          <cell r="N114" t="str">
            <v>Munich</v>
          </cell>
          <cell r="O114" t="str">
            <v>მიუნხენი</v>
          </cell>
          <cell r="P114" t="str">
            <v>München</v>
          </cell>
          <cell r="Q114" t="str">
            <v>Μόναχο</v>
          </cell>
          <cell r="R114" t="str">
            <v>מינכן</v>
          </cell>
          <cell r="S114" t="str">
            <v>München</v>
          </cell>
          <cell r="T114" t="str">
            <v>Munich</v>
          </cell>
          <cell r="U114" t="str">
            <v>Munich</v>
          </cell>
          <cell r="V114" t="str">
            <v>Monaco</v>
          </cell>
          <cell r="W114" t="str">
            <v>뮌헨</v>
          </cell>
          <cell r="X114" t="str">
            <v>Miunchenas</v>
          </cell>
          <cell r="Y114" t="str">
            <v>Минхен</v>
          </cell>
          <cell r="Z114" t="str">
            <v>Munich</v>
          </cell>
          <cell r="AA114" t="str">
            <v>München</v>
          </cell>
          <cell r="AB114" t="str">
            <v>مونیخ</v>
          </cell>
          <cell r="AC114" t="str">
            <v>Monachium</v>
          </cell>
          <cell r="AD114" t="str">
            <v>Munique</v>
          </cell>
          <cell r="AE114" t="str">
            <v>Munchen</v>
          </cell>
          <cell r="AF114" t="str">
            <v>Минхен</v>
          </cell>
          <cell r="AG114" t="str">
            <v>Mníchov</v>
          </cell>
          <cell r="AH114" t="str">
            <v>München</v>
          </cell>
          <cell r="AI114" t="str">
            <v>Munich</v>
          </cell>
          <cell r="AJ114" t="str">
            <v>Munich</v>
          </cell>
          <cell r="AK114" t="str">
            <v>มิวนิค</v>
          </cell>
          <cell r="AL114" t="str">
            <v>Münih</v>
          </cell>
          <cell r="AM114" t="str">
            <v>Munich</v>
          </cell>
          <cell r="AN114" t="str">
            <v>Мюнхен</v>
          </cell>
          <cell r="AO114" t="str">
            <v>میونخ</v>
          </cell>
        </row>
        <row r="115">
          <cell r="A115" t="str">
            <v>en</v>
          </cell>
          <cell r="B115" t="str">
            <v>sq</v>
          </cell>
          <cell r="C115" t="str">
            <v>ar</v>
          </cell>
          <cell r="D115" t="str">
            <v>hy</v>
          </cell>
          <cell r="E115" t="str">
            <v>az</v>
          </cell>
          <cell r="F115" t="str">
            <v>bg</v>
          </cell>
          <cell r="G115" t="str">
            <v>ca</v>
          </cell>
          <cell r="H115" t="str">
            <v>zh-CN</v>
          </cell>
          <cell r="I115" t="str">
            <v>zh-TW</v>
          </cell>
          <cell r="J115" t="str">
            <v>hr</v>
          </cell>
          <cell r="K115" t="str">
            <v>cs</v>
          </cell>
          <cell r="L115" t="str">
            <v>da</v>
          </cell>
          <cell r="M115" t="str">
            <v>nl</v>
          </cell>
          <cell r="N115" t="str">
            <v>fr</v>
          </cell>
          <cell r="O115" t="str">
            <v>ka</v>
          </cell>
          <cell r="P115" t="str">
            <v>de</v>
          </cell>
          <cell r="Q115" t="str">
            <v>el</v>
          </cell>
          <cell r="R115" t="str">
            <v>iw</v>
          </cell>
          <cell r="S115" t="str">
            <v>hu</v>
          </cell>
          <cell r="T115" t="str">
            <v>id</v>
          </cell>
          <cell r="U115" t="str">
            <v>is</v>
          </cell>
          <cell r="V115" t="str">
            <v>it</v>
          </cell>
          <cell r="W115" t="str">
            <v>ko</v>
          </cell>
          <cell r="X115" t="str">
            <v>lt</v>
          </cell>
          <cell r="Y115" t="str">
            <v>mk</v>
          </cell>
          <cell r="Z115" t="str">
            <v>mt</v>
          </cell>
          <cell r="AA115" t="str">
            <v>no</v>
          </cell>
          <cell r="AB115" t="str">
            <v>fa</v>
          </cell>
          <cell r="AC115" t="str">
            <v>pl</v>
          </cell>
          <cell r="AD115" t="str">
            <v>pt</v>
          </cell>
          <cell r="AE115" t="str">
            <v>ro</v>
          </cell>
          <cell r="AF115" t="str">
            <v>sr</v>
          </cell>
          <cell r="AG115" t="str">
            <v>sk</v>
          </cell>
          <cell r="AH115" t="str">
            <v>sl</v>
          </cell>
          <cell r="AI115" t="str">
            <v>es</v>
          </cell>
          <cell r="AJ115" t="str">
            <v>sv</v>
          </cell>
          <cell r="AK115" t="str">
            <v>th</v>
          </cell>
          <cell r="AL115" t="str">
            <v>tr</v>
          </cell>
          <cell r="AM115" t="str">
            <v>vi</v>
          </cell>
          <cell r="AN115" t="str">
            <v>uk</v>
          </cell>
          <cell r="AO115" t="str">
            <v>ur</v>
          </cell>
        </row>
      </sheetData>
      <sheetData sheetId="1">
        <row r="13">
          <cell r="G13">
            <v>27</v>
          </cell>
        </row>
        <row r="14">
          <cell r="G14">
            <v>0.54166666666666663</v>
          </cell>
        </row>
        <row r="15">
          <cell r="B15" t="str">
            <v>Tyskland</v>
          </cell>
          <cell r="C15">
            <v>4</v>
          </cell>
        </row>
        <row r="16">
          <cell r="B16" t="str">
            <v>Portugal</v>
          </cell>
          <cell r="C16">
            <v>13</v>
          </cell>
        </row>
        <row r="17">
          <cell r="B17" t="str">
            <v>Belgia</v>
          </cell>
          <cell r="C17">
            <v>1</v>
          </cell>
        </row>
        <row r="18">
          <cell r="B18" t="str">
            <v>Spania</v>
          </cell>
          <cell r="C18">
            <v>5</v>
          </cell>
        </row>
        <row r="19">
          <cell r="B19" t="str">
            <v>Frankrike</v>
          </cell>
          <cell r="C19">
            <v>7</v>
          </cell>
        </row>
        <row r="20">
          <cell r="B20" t="str">
            <v>England</v>
          </cell>
          <cell r="C20">
            <v>3</v>
          </cell>
        </row>
        <row r="21">
          <cell r="B21" t="str">
            <v>Sveits</v>
          </cell>
          <cell r="C21">
            <v>9</v>
          </cell>
        </row>
        <row r="22">
          <cell r="B22" t="str">
            <v>Italia</v>
          </cell>
          <cell r="C22">
            <v>2</v>
          </cell>
        </row>
        <row r="23">
          <cell r="B23" t="str">
            <v>Polen</v>
          </cell>
          <cell r="C23">
            <v>8</v>
          </cell>
        </row>
        <row r="24">
          <cell r="B24" t="str">
            <v>Kroatia</v>
          </cell>
          <cell r="C24">
            <v>10</v>
          </cell>
        </row>
        <row r="25">
          <cell r="B25" t="str">
            <v>Nederland</v>
          </cell>
          <cell r="C25">
            <v>11</v>
          </cell>
        </row>
        <row r="26">
          <cell r="B26" t="str">
            <v>Østerrike</v>
          </cell>
          <cell r="C26">
            <v>16</v>
          </cell>
        </row>
        <row r="27">
          <cell r="B27" t="str">
            <v>Wales</v>
          </cell>
          <cell r="C27">
            <v>19</v>
          </cell>
        </row>
        <row r="28">
          <cell r="B28" t="str">
            <v>Russland</v>
          </cell>
          <cell r="C28">
            <v>12</v>
          </cell>
        </row>
        <row r="29">
          <cell r="B29" t="str">
            <v>Slovakia</v>
          </cell>
          <cell r="C29">
            <v>22</v>
          </cell>
        </row>
        <row r="30">
          <cell r="B30" t="str">
            <v>Sverige</v>
          </cell>
          <cell r="C30">
            <v>17</v>
          </cell>
        </row>
        <row r="31">
          <cell r="B31" t="str">
            <v>Ukraina</v>
          </cell>
          <cell r="C31">
            <v>6</v>
          </cell>
        </row>
        <row r="32">
          <cell r="B32" t="str">
            <v>Danmark</v>
          </cell>
          <cell r="C32">
            <v>5</v>
          </cell>
        </row>
        <row r="33">
          <cell r="B33" t="str">
            <v>Tsjekkia</v>
          </cell>
          <cell r="C33">
            <v>18</v>
          </cell>
        </row>
        <row r="34">
          <cell r="B34" t="str">
            <v>Tyrkia</v>
          </cell>
          <cell r="C34">
            <v>14</v>
          </cell>
        </row>
        <row r="35">
          <cell r="B35" t="str">
            <v>Ungarn</v>
          </cell>
          <cell r="C35">
            <v>31</v>
          </cell>
        </row>
        <row r="36">
          <cell r="B36" t="str">
            <v>Skottland</v>
          </cell>
          <cell r="C36">
            <v>29</v>
          </cell>
        </row>
        <row r="37">
          <cell r="B37" t="str">
            <v>Finland</v>
          </cell>
          <cell r="C37">
            <v>20</v>
          </cell>
        </row>
        <row r="38">
          <cell r="B38" t="str">
            <v>Nord-Makedonia</v>
          </cell>
          <cell r="C38">
            <v>30</v>
          </cell>
        </row>
      </sheetData>
      <sheetData sheetId="2"/>
      <sheetData sheetId="3">
        <row r="50">
          <cell r="BB50" t="str">
            <v>ABCD</v>
          </cell>
        </row>
        <row r="53">
          <cell r="BD53" t="str">
            <v>ABCD</v>
          </cell>
          <cell r="BE53" t="str">
            <v>3A</v>
          </cell>
          <cell r="BF53" t="str">
            <v>3D</v>
          </cell>
          <cell r="BG53" t="str">
            <v>3B</v>
          </cell>
          <cell r="BH53" t="str">
            <v>3C</v>
          </cell>
        </row>
        <row r="54">
          <cell r="BD54" t="str">
            <v>ABCE</v>
          </cell>
          <cell r="BE54" t="str">
            <v>3A</v>
          </cell>
          <cell r="BF54" t="str">
            <v>3E</v>
          </cell>
          <cell r="BG54" t="str">
            <v>3B</v>
          </cell>
          <cell r="BH54" t="str">
            <v>3C</v>
          </cell>
        </row>
        <row r="55">
          <cell r="BD55" t="str">
            <v>ABCF</v>
          </cell>
          <cell r="BE55" t="str">
            <v>3A</v>
          </cell>
          <cell r="BF55" t="str">
            <v>3F</v>
          </cell>
          <cell r="BG55" t="str">
            <v>3B</v>
          </cell>
          <cell r="BH55" t="str">
            <v>3C</v>
          </cell>
        </row>
        <row r="56">
          <cell r="BD56" t="str">
            <v>ABDE</v>
          </cell>
          <cell r="BE56" t="str">
            <v>3D</v>
          </cell>
          <cell r="BF56" t="str">
            <v>3E</v>
          </cell>
          <cell r="BG56" t="str">
            <v>3A</v>
          </cell>
          <cell r="BH56" t="str">
            <v>3B</v>
          </cell>
        </row>
        <row r="57">
          <cell r="BD57" t="str">
            <v>ABDF</v>
          </cell>
          <cell r="BE57" t="str">
            <v>3D</v>
          </cell>
          <cell r="BF57" t="str">
            <v>3F</v>
          </cell>
          <cell r="BG57" t="str">
            <v>3A</v>
          </cell>
          <cell r="BH57" t="str">
            <v>3B</v>
          </cell>
        </row>
        <row r="58">
          <cell r="BD58" t="str">
            <v>ABEF</v>
          </cell>
          <cell r="BE58" t="str">
            <v>3E</v>
          </cell>
          <cell r="BF58" t="str">
            <v>3F</v>
          </cell>
          <cell r="BG58" t="str">
            <v>3B</v>
          </cell>
          <cell r="BH58" t="str">
            <v>3A</v>
          </cell>
        </row>
        <row r="59">
          <cell r="BD59" t="str">
            <v>ACDE</v>
          </cell>
          <cell r="BE59" t="str">
            <v>3E</v>
          </cell>
          <cell r="BF59" t="str">
            <v>3D</v>
          </cell>
          <cell r="BG59" t="str">
            <v>3C</v>
          </cell>
          <cell r="BH59" t="str">
            <v>3A</v>
          </cell>
        </row>
        <row r="60">
          <cell r="BD60" t="str">
            <v>ACDF</v>
          </cell>
          <cell r="BE60" t="str">
            <v>3F</v>
          </cell>
          <cell r="BF60" t="str">
            <v>3D</v>
          </cell>
          <cell r="BG60" t="str">
            <v>3C</v>
          </cell>
          <cell r="BH60" t="str">
            <v>3A</v>
          </cell>
        </row>
        <row r="61">
          <cell r="BD61" t="str">
            <v>ACEF</v>
          </cell>
          <cell r="BE61" t="str">
            <v>3E</v>
          </cell>
          <cell r="BF61" t="str">
            <v>3F</v>
          </cell>
          <cell r="BG61" t="str">
            <v>3C</v>
          </cell>
          <cell r="BH61" t="str">
            <v>3A</v>
          </cell>
        </row>
        <row r="62">
          <cell r="BD62" t="str">
            <v>ADEF</v>
          </cell>
          <cell r="BE62" t="str">
            <v>3E</v>
          </cell>
          <cell r="BF62" t="str">
            <v>3F</v>
          </cell>
          <cell r="BG62" t="str">
            <v>3D</v>
          </cell>
          <cell r="BH62" t="str">
            <v>3A</v>
          </cell>
        </row>
        <row r="63">
          <cell r="BD63" t="str">
            <v>BCDE</v>
          </cell>
          <cell r="BE63" t="str">
            <v>3E</v>
          </cell>
          <cell r="BF63" t="str">
            <v>3D</v>
          </cell>
          <cell r="BG63" t="str">
            <v>3B</v>
          </cell>
          <cell r="BH63" t="str">
            <v>3C</v>
          </cell>
        </row>
        <row r="64">
          <cell r="BD64" t="str">
            <v>BCDF</v>
          </cell>
          <cell r="BE64" t="str">
            <v>3F</v>
          </cell>
          <cell r="BF64" t="str">
            <v>3D</v>
          </cell>
          <cell r="BG64" t="str">
            <v>3C</v>
          </cell>
          <cell r="BH64" t="str">
            <v>3B</v>
          </cell>
        </row>
        <row r="65">
          <cell r="BD65" t="str">
            <v>BCEF</v>
          </cell>
          <cell r="BE65" t="str">
            <v>3F</v>
          </cell>
          <cell r="BF65" t="str">
            <v>3E</v>
          </cell>
          <cell r="BG65" t="str">
            <v>3C</v>
          </cell>
          <cell r="BH65" t="str">
            <v>3B</v>
          </cell>
        </row>
        <row r="66">
          <cell r="BD66" t="str">
            <v>BDEF</v>
          </cell>
          <cell r="BE66" t="str">
            <v>3F</v>
          </cell>
          <cell r="BF66" t="str">
            <v>3E</v>
          </cell>
          <cell r="BG66" t="str">
            <v>3D</v>
          </cell>
          <cell r="BH66" t="str">
            <v>3B</v>
          </cell>
        </row>
        <row r="67">
          <cell r="BD67" t="str">
            <v>CDEF</v>
          </cell>
          <cell r="BE67" t="str">
            <v>3F</v>
          </cell>
          <cell r="BF67" t="str">
            <v>3E</v>
          </cell>
          <cell r="BG67" t="str">
            <v>3D</v>
          </cell>
          <cell r="BH67" t="str">
            <v>3C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"/>
      <sheetName val="Settings"/>
      <sheetName val="INPUT-&gt;"/>
      <sheetName val="2022 World Cup"/>
      <sheetName val="OUTPUT-&gt;"/>
      <sheetName val="MASTER"/>
      <sheetName val="Resultater"/>
    </sheetNames>
    <sheetDataSet>
      <sheetData sheetId="0" refreshError="1"/>
      <sheetData sheetId="1">
        <row r="15">
          <cell r="I15" t="str">
            <v>Argentina</v>
          </cell>
        </row>
        <row r="17">
          <cell r="I17" t="str">
            <v>Argentina</v>
          </cell>
        </row>
        <row r="18">
          <cell r="I18" t="str">
            <v>Australia</v>
          </cell>
        </row>
        <row r="19">
          <cell r="I19" t="str">
            <v>Belgium</v>
          </cell>
        </row>
        <row r="20">
          <cell r="I20" t="str">
            <v>Brazil</v>
          </cell>
        </row>
        <row r="21">
          <cell r="I21" t="str">
            <v>Cameroon</v>
          </cell>
        </row>
        <row r="22">
          <cell r="I22" t="str">
            <v>Canada</v>
          </cell>
        </row>
        <row r="23">
          <cell r="I23" t="str">
            <v>Costa Rica</v>
          </cell>
        </row>
        <row r="24">
          <cell r="I24" t="str">
            <v>Croatia</v>
          </cell>
        </row>
        <row r="25">
          <cell r="I25" t="str">
            <v>Denmark</v>
          </cell>
        </row>
        <row r="26">
          <cell r="I26" t="str">
            <v>Ecuador</v>
          </cell>
        </row>
        <row r="27">
          <cell r="I27" t="str">
            <v>England</v>
          </cell>
        </row>
        <row r="28">
          <cell r="I28" t="str">
            <v>France</v>
          </cell>
        </row>
        <row r="29">
          <cell r="I29" t="str">
            <v>Germany</v>
          </cell>
        </row>
        <row r="30">
          <cell r="I30" t="str">
            <v>Ghana</v>
          </cell>
        </row>
        <row r="31">
          <cell r="I31" t="str">
            <v>Iran</v>
          </cell>
        </row>
        <row r="32">
          <cell r="I32" t="str">
            <v>Japan</v>
          </cell>
        </row>
        <row r="33">
          <cell r="I33" t="str">
            <v>Korea Republic</v>
          </cell>
        </row>
        <row r="34">
          <cell r="I34" t="str">
            <v>Mexico</v>
          </cell>
        </row>
        <row r="35">
          <cell r="I35" t="str">
            <v>Morocco</v>
          </cell>
        </row>
        <row r="36">
          <cell r="I36" t="str">
            <v>Netherlands</v>
          </cell>
        </row>
        <row r="37">
          <cell r="I37" t="str">
            <v>Poland</v>
          </cell>
        </row>
        <row r="38">
          <cell r="I38" t="str">
            <v>Portugal</v>
          </cell>
        </row>
        <row r="39">
          <cell r="I39" t="str">
            <v>Qatar</v>
          </cell>
        </row>
        <row r="40">
          <cell r="I40" t="str">
            <v>Saudi Arabia</v>
          </cell>
        </row>
        <row r="41">
          <cell r="I41" t="str">
            <v>Senegal</v>
          </cell>
        </row>
        <row r="42">
          <cell r="I42" t="str">
            <v>Serbia</v>
          </cell>
        </row>
        <row r="43">
          <cell r="I43" t="str">
            <v>Spain</v>
          </cell>
        </row>
        <row r="44">
          <cell r="I44" t="str">
            <v>Switzerland</v>
          </cell>
        </row>
        <row r="45">
          <cell r="I45" t="str">
            <v>Tunisia</v>
          </cell>
        </row>
        <row r="46">
          <cell r="I46" t="str">
            <v>United States</v>
          </cell>
        </row>
        <row r="47">
          <cell r="I47" t="str">
            <v>Uruguay</v>
          </cell>
        </row>
        <row r="48">
          <cell r="I48" t="str">
            <v>Wales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"/>
      <sheetName val="Settings"/>
      <sheetName val="INPUT-&gt;"/>
      <sheetName val="2022 World Cup"/>
      <sheetName val="OUTPUT-&gt;"/>
      <sheetName val="Resultater"/>
    </sheetNames>
    <sheetDataSet>
      <sheetData sheetId="0"/>
      <sheetData sheetId="1">
        <row r="15">
          <cell r="I15" t="str">
            <v>Argentina</v>
          </cell>
        </row>
        <row r="17">
          <cell r="I17" t="str">
            <v>Argentina</v>
          </cell>
        </row>
        <row r="18">
          <cell r="I18" t="str">
            <v>Australia</v>
          </cell>
        </row>
        <row r="19">
          <cell r="I19" t="str">
            <v>Belgium</v>
          </cell>
        </row>
        <row r="20">
          <cell r="I20" t="str">
            <v>Brazil</v>
          </cell>
        </row>
        <row r="21">
          <cell r="I21" t="str">
            <v>Cameroon</v>
          </cell>
        </row>
        <row r="22">
          <cell r="I22" t="str">
            <v>Canada</v>
          </cell>
        </row>
        <row r="23">
          <cell r="I23" t="str">
            <v>Costa Rica</v>
          </cell>
        </row>
        <row r="24">
          <cell r="I24" t="str">
            <v>Croatia</v>
          </cell>
        </row>
        <row r="25">
          <cell r="I25" t="str">
            <v>Denmark</v>
          </cell>
        </row>
        <row r="26">
          <cell r="I26" t="str">
            <v>Ecuador</v>
          </cell>
        </row>
        <row r="27">
          <cell r="I27" t="str">
            <v>England</v>
          </cell>
        </row>
        <row r="28">
          <cell r="I28" t="str">
            <v>France</v>
          </cell>
        </row>
        <row r="29">
          <cell r="I29" t="str">
            <v>Germany</v>
          </cell>
        </row>
        <row r="30">
          <cell r="I30" t="str">
            <v>Ghana</v>
          </cell>
        </row>
        <row r="31">
          <cell r="I31" t="str">
            <v>Iran</v>
          </cell>
        </row>
        <row r="32">
          <cell r="I32" t="str">
            <v>Japan</v>
          </cell>
        </row>
        <row r="33">
          <cell r="I33" t="str">
            <v>Korea Republic</v>
          </cell>
        </row>
        <row r="34">
          <cell r="I34" t="str">
            <v>Mexico</v>
          </cell>
        </row>
        <row r="35">
          <cell r="I35" t="str">
            <v>Morocco</v>
          </cell>
        </row>
        <row r="36">
          <cell r="I36" t="str">
            <v>Netherlands</v>
          </cell>
        </row>
        <row r="37">
          <cell r="I37" t="str">
            <v>Poland</v>
          </cell>
        </row>
        <row r="38">
          <cell r="I38" t="str">
            <v>Portugal</v>
          </cell>
        </row>
        <row r="39">
          <cell r="I39" t="str">
            <v>Qatar</v>
          </cell>
        </row>
        <row r="40">
          <cell r="I40" t="str">
            <v>Saudi Arabia</v>
          </cell>
        </row>
        <row r="41">
          <cell r="I41" t="str">
            <v>Senegal</v>
          </cell>
        </row>
        <row r="42">
          <cell r="I42" t="str">
            <v>Serbia</v>
          </cell>
        </row>
        <row r="43">
          <cell r="I43" t="str">
            <v>Spain</v>
          </cell>
        </row>
        <row r="44">
          <cell r="I44" t="str">
            <v>Switzerland</v>
          </cell>
        </row>
        <row r="45">
          <cell r="I45" t="str">
            <v>Tunisia</v>
          </cell>
        </row>
        <row r="46">
          <cell r="I46" t="str">
            <v>United States</v>
          </cell>
        </row>
        <row r="47">
          <cell r="I47" t="str">
            <v>Uruguay</v>
          </cell>
        </row>
        <row r="48">
          <cell r="I48" t="str">
            <v>Wales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8" sqref="C8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27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2395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28</v>
      </c>
      <c r="H15" s="118"/>
      <c r="I15" s="118" t="str">
        <f>IFERROR(VLOOKUP(C12,T,lang,FALSE),"")</f>
        <v>Norge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Frankrike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Spania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Brasil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Nederland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Marokko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Belgia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Tyskland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Kroatia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USA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Sveits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Tyrkia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Østerrike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Sør-Korea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Algerie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Norge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Elfenbenskysten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Sverige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Tsjekkia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Skottland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Kongo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Usbekistan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Irak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Sør-Afrika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Saudi-Arabia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Bosnia-Hercegovina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Kapp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3357-3D94-4914-8583-2A51C17BAA88}">
  <sheetPr>
    <tabColor rgb="FFFFFF00"/>
  </sheetPr>
  <dimension ref="A1"/>
  <sheetViews>
    <sheetView workbookViewId="0">
      <selection activeCell="E33" sqref="E3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opLeftCell="A3" zoomScaleNormal="100" workbookViewId="0">
      <selection activeCell="G12" sqref="G12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211" t="str" cm="1">
        <f t="array" ref="A1">INDEX(T,2,lang)</f>
        <v>Verdensmesterskapet i fotball 2026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212" t="str">
        <f>"Language: " &amp; Settings!C4</f>
        <v>Language: Norwegian</v>
      </c>
      <c r="P3" s="212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213" t="str" cm="1">
        <f t="array" ref="A5">INDEX(T,3,lang)</f>
        <v>Gruppespill</v>
      </c>
      <c r="B5" s="214"/>
      <c r="C5" s="214"/>
      <c r="D5" s="214"/>
      <c r="E5" s="214"/>
      <c r="F5" s="214"/>
      <c r="G5" s="214"/>
      <c r="H5" s="215"/>
      <c r="J5" s="219" t="s">
        <v>3166</v>
      </c>
      <c r="K5" s="220"/>
      <c r="L5" s="220"/>
      <c r="M5" s="220"/>
      <c r="N5" s="220"/>
      <c r="O5" s="220"/>
      <c r="P5" s="221"/>
    </row>
    <row r="6" spans="1:95" ht="15" customHeight="1" x14ac:dyDescent="0.25">
      <c r="A6" s="216"/>
      <c r="B6" s="217"/>
      <c r="C6" s="217"/>
      <c r="D6" s="217"/>
      <c r="E6" s="217"/>
      <c r="F6" s="217"/>
      <c r="G6" s="217"/>
      <c r="H6" s="218"/>
      <c r="J6" s="222"/>
      <c r="K6" s="223"/>
      <c r="L6" s="223"/>
      <c r="M6" s="223"/>
      <c r="N6" s="223"/>
      <c r="O6" s="223"/>
      <c r="P6" s="224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205" t="s">
        <v>3179</v>
      </c>
      <c r="BL6" s="206"/>
      <c r="BM6" s="206"/>
      <c r="BN6" s="206"/>
      <c r="BO6" s="207"/>
      <c r="BR6" s="205" t="str" cm="1">
        <f t="array" ref="BR6">INDEX(T,4,lang)</f>
        <v>8-dels finale</v>
      </c>
      <c r="BS6" s="206"/>
      <c r="BT6" s="206"/>
      <c r="BU6" s="206"/>
      <c r="BV6" s="207"/>
      <c r="BY6" s="205" t="str" cm="1">
        <f t="array" ref="BY6">INDEX(T,5,lang)</f>
        <v>Kvartfinale</v>
      </c>
      <c r="BZ6" s="206"/>
      <c r="CA6" s="206"/>
      <c r="CB6" s="206"/>
      <c r="CC6" s="207"/>
      <c r="CF6" s="205" t="str" cm="1">
        <f t="array" ref="CF6">INDEX(T,6,lang)</f>
        <v>Semifinale</v>
      </c>
      <c r="CG6" s="206"/>
      <c r="CH6" s="206"/>
      <c r="CI6" s="206"/>
      <c r="CJ6" s="207"/>
    </row>
    <row r="7" spans="1:95" ht="15" customHeight="1" x14ac:dyDescent="0.25">
      <c r="A7" s="11">
        <v>1</v>
      </c>
      <c r="B7" s="12" t="str" cm="1">
        <f t="array" ref="B7">INDEX(T,18+INT(MOD(R7-1,7)),lang)</f>
        <v>Tors</v>
      </c>
      <c r="C7" s="13" t="str" cm="1">
        <f t="array" ref="C7">INDEX(T,24+MONTH(R7),lang) &amp; " " &amp; DAY(R7) &amp; ", " &amp; YEAR(R7)</f>
        <v>Jun 11, 2026</v>
      </c>
      <c r="D7" s="119">
        <f>TIME(HOUR(R7),MINUTE(R7),0)</f>
        <v>0.79166666666666663</v>
      </c>
      <c r="E7" s="77" t="str">
        <f>AE8</f>
        <v>Mexico</v>
      </c>
      <c r="F7" s="14">
        <v>3</v>
      </c>
      <c r="G7" s="15">
        <v>0</v>
      </c>
      <c r="H7" s="79" t="str">
        <f>AE9</f>
        <v>Sør-Afrika</v>
      </c>
      <c r="R7" s="123">
        <f>DATE(2026,6,11)+TIME(8,0,0)+gmt_delta</f>
        <v>46184.791666666672</v>
      </c>
      <c r="S7" s="127" t="str">
        <f t="shared" ref="S7:S46" si="0">IF(OR(F7="",G7=""),"",IF(F7&gt;G7,E7&amp;"_win",IF(F7&lt;G7,E7&amp;"_lose",E7&amp;"_draw")))</f>
        <v>Mexico_win</v>
      </c>
      <c r="T7" s="127" t="str">
        <f t="shared" ref="T7:T46" si="1">IF(S7="","",IF(F7&lt;G7,H7&amp;"_win",IF(F7&gt;G7,H7&amp;"_lose",H7&amp;"_draw")))</f>
        <v>Sør-Afrika_lose</v>
      </c>
      <c r="U7" s="123">
        <f>IF(S7="",0,IF(VLOOKUP(E7,$AE$8:$AN$77,10,FALSE)=VLOOKUP(H7,$AE$8:$AN$77,10,FALSE),1,0))</f>
        <v>0</v>
      </c>
      <c r="V7" s="123">
        <f t="shared" ref="V7:V46" si="2">U7*F7</f>
        <v>0</v>
      </c>
      <c r="W7" s="123">
        <f t="shared" ref="W7:W46" si="3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4">IF(OR(E7=my_team,H7=my_team),1,IF(INT(MATCH(E7,$AE$8:$AE$78,0)/6)=$AA$6,1,0))</f>
        <v>0</v>
      </c>
      <c r="AB7" s="123">
        <f t="shared" ref="AB7:AB46" si="5">IF(OR(F7="",G7=""),"",IF(F7&gt;G7,1,IF(F7&lt;G7,-1,0)))</f>
        <v>1</v>
      </c>
      <c r="AY7" s="126"/>
      <c r="BK7" s="208"/>
      <c r="BL7" s="209"/>
      <c r="BM7" s="209"/>
      <c r="BN7" s="209"/>
      <c r="BO7" s="210"/>
      <c r="BR7" s="208"/>
      <c r="BS7" s="209"/>
      <c r="BT7" s="209"/>
      <c r="BU7" s="209"/>
      <c r="BV7" s="210"/>
      <c r="BY7" s="208"/>
      <c r="BZ7" s="209"/>
      <c r="CA7" s="209"/>
      <c r="CB7" s="209"/>
      <c r="CC7" s="210"/>
      <c r="CF7" s="208"/>
      <c r="CG7" s="209"/>
      <c r="CH7" s="209"/>
      <c r="CI7" s="209"/>
      <c r="CJ7" s="210"/>
    </row>
    <row r="8" spans="1:95" x14ac:dyDescent="0.25">
      <c r="A8" s="16">
        <v>2</v>
      </c>
      <c r="B8" s="17" t="str" cm="1">
        <f t="array" ref="B8">INDEX(T,18+INT(MOD(R8-1,7)),lang)</f>
        <v>Fre</v>
      </c>
      <c r="C8" s="18" t="str" cm="1">
        <f t="array" ref="C8">INDEX(T,24+MONTH(R8),lang) &amp; " " &amp; DAY(R8) &amp; ", " &amp; YEAR(R8)</f>
        <v>Jun 12, 2026</v>
      </c>
      <c r="D8" s="120">
        <f t="shared" ref="D8:D71" si="6">TIME(HOUR(R8),MINUTE(R8),0)</f>
        <v>8.3333333333333329E-2</v>
      </c>
      <c r="E8" s="78" t="str">
        <f>AE10</f>
        <v>Sør-Korea</v>
      </c>
      <c r="F8" s="19">
        <v>2</v>
      </c>
      <c r="G8" s="20">
        <v>1</v>
      </c>
      <c r="H8" s="80" t="str">
        <f>AE11</f>
        <v>Tsjekkia</v>
      </c>
      <c r="J8" s="38" t="str" cm="1">
        <f t="array" ref="J8">INDEX(T,9,lang) &amp; " " &amp; "A"</f>
        <v>Gruppe A</v>
      </c>
      <c r="K8" s="94" t="str" cm="1">
        <f t="array" ref="K8">INDEX(T,10,lang)</f>
        <v>S</v>
      </c>
      <c r="L8" s="94" t="str" cm="1">
        <f t="array" ref="L8">INDEX(T,11,lang)</f>
        <v>V</v>
      </c>
      <c r="M8" s="94" t="str" cm="1">
        <f t="array" ref="M8">INDEX(T,12,lang)</f>
        <v>T</v>
      </c>
      <c r="N8" s="94" t="str" cm="1">
        <f t="array" ref="N8">INDEX(T,13,lang)</f>
        <v>U</v>
      </c>
      <c r="O8" s="94" t="str" cm="1">
        <f t="array" ref="O8">INDEX(T,14,lang)</f>
        <v>Mål</v>
      </c>
      <c r="P8" s="95" t="str" cm="1">
        <f t="array" ref="P8">INDEX(T,15,lang)</f>
        <v>P</v>
      </c>
      <c r="R8" s="123">
        <f>DATE(2026,6,11)+TIME(15,0,0)+gmt_delta</f>
        <v>46185.083333333336</v>
      </c>
      <c r="S8" s="127" t="str">
        <f t="shared" si="0"/>
        <v>Sør-Korea_win</v>
      </c>
      <c r="T8" s="127" t="str">
        <f t="shared" si="1"/>
        <v>Tsjekkia_lose</v>
      </c>
      <c r="U8" s="123">
        <f t="shared" ref="U8:U71" si="7">IF(S8="",0,IF(VLOOKUP(E8,$AE$8:$AN$77,10,FALSE)=VLOOKUP(H8,$AE$8:$AN$77,10,FALSE),1,0))</f>
        <v>0</v>
      </c>
      <c r="V8" s="123">
        <f t="shared" si="2"/>
        <v>0</v>
      </c>
      <c r="W8" s="123">
        <f t="shared" si="3"/>
        <v>0</v>
      </c>
      <c r="X8" s="123">
        <f t="shared" ref="X8:X71" si="8">IF(S8="",0,IF(VLOOKUP(E8,$AE$8:$AO$77,11,FALSE)=VLOOKUP(H8,$AE$8:$AO$77,11,FALSE),1,0))</f>
        <v>0</v>
      </c>
      <c r="Y8" s="123">
        <f t="shared" ref="Y8:Y71" si="9">X8*F8</f>
        <v>0</v>
      </c>
      <c r="Z8" s="123">
        <f t="shared" ref="Z8:Z71" si="10">X8*G8</f>
        <v>0</v>
      </c>
      <c r="AA8" s="123">
        <f t="shared" si="4"/>
        <v>0</v>
      </c>
      <c r="AB8" s="123">
        <f t="shared" si="5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0</v>
      </c>
      <c r="AL8" s="123">
        <f>AI8-AJ8</f>
        <v>3</v>
      </c>
      <c r="AM8" s="123">
        <f>AL8-AL12</f>
        <v>6</v>
      </c>
      <c r="AN8" s="123">
        <f>AF8*3+AG8</f>
        <v>3</v>
      </c>
      <c r="AO8" s="123">
        <f>AN8/AN12*10+BA8</f>
        <v>7.5</v>
      </c>
      <c r="AP8" s="123">
        <f>AO8*10000000+BI8*100+AM8/AM12*10+AI8/AI12*1++IF(AQ8=0,ROW(),AQ8)/2000000</f>
        <v>75000009.322269082</v>
      </c>
      <c r="AQ8" s="126">
        <f>VLOOKUP(AE8,db_fifarank,2,FALSE)</f>
        <v>1681.03</v>
      </c>
      <c r="AR8" s="125">
        <f>AP8/AP12</f>
        <v>0.99999998666666845</v>
      </c>
      <c r="AS8" s="125" t="str">
        <f>IF(SUM(AF8:AH11)=12,J9,"1A")</f>
        <v>1A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Fre</v>
      </c>
      <c r="C9" s="18" t="str" cm="1">
        <f t="array" ref="C9">INDEX(T,24+MONTH(R9),lang) &amp; " " &amp; DAY(R9) &amp; ", " &amp; YEAR(R9)</f>
        <v>Jun 12, 2026</v>
      </c>
      <c r="D9" s="120">
        <f t="shared" si="6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Bosnia-Hercegovina</v>
      </c>
      <c r="J9" s="30" t="str">
        <f>VLOOKUP(1,AD8:AN11,2,FALSE)</f>
        <v>Mexico</v>
      </c>
      <c r="K9" s="31">
        <f>L9+M9+N9</f>
        <v>1</v>
      </c>
      <c r="L9" s="31">
        <f>VLOOKUP(1,AD8:AN11,3,FALSE)</f>
        <v>1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3 - 0</v>
      </c>
      <c r="P9" s="32">
        <f>L9*3+M9</f>
        <v>3</v>
      </c>
      <c r="R9" s="123">
        <f>DATE(2026,6,12)+TIME(8,0,0)+gmt_delta</f>
        <v>46185.791666666672</v>
      </c>
      <c r="S9" s="127" t="str">
        <f t="shared" si="0"/>
        <v>Canada_draw</v>
      </c>
      <c r="T9" s="127" t="str">
        <f t="shared" si="1"/>
        <v>Bosnia-Hercegovina_draw</v>
      </c>
      <c r="U9" s="123">
        <f t="shared" si="7"/>
        <v>1</v>
      </c>
      <c r="V9" s="123">
        <f t="shared" si="2"/>
        <v>1</v>
      </c>
      <c r="W9" s="123">
        <f t="shared" si="3"/>
        <v>1</v>
      </c>
      <c r="X9" s="123">
        <f t="shared" si="8"/>
        <v>1</v>
      </c>
      <c r="Y9" s="123">
        <f t="shared" si="9"/>
        <v>1</v>
      </c>
      <c r="Z9" s="123">
        <f t="shared" si="10"/>
        <v>1</v>
      </c>
      <c r="AA9" s="123">
        <f t="shared" si="4"/>
        <v>0</v>
      </c>
      <c r="AB9" s="123">
        <f t="shared" si="5"/>
        <v>0</v>
      </c>
      <c r="AD9" s="123">
        <f>COUNTIF(AR8:AR11,CONCATENATE("&gt;=",AR9))</f>
        <v>4</v>
      </c>
      <c r="AE9" s="124" t="str">
        <f>VLOOKUP("South Africa",T,lang,FALSE)</f>
        <v>Sør-Afrika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0</v>
      </c>
      <c r="AJ9" s="123">
        <f>SUMIF($E$7:$E$78,$AE9,$G$7:$G$78) + SUMIF($H$7:$H$78,$AE9,$F$7:$F$78)</f>
        <v>3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9.5315320215061553E-12</v>
      </c>
      <c r="AS9" s="125" t="str">
        <f>IF(SUM(AF8:AH11)=12,J10,"2A")</f>
        <v>2A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Lør</v>
      </c>
      <c r="C10" s="18" t="str" cm="1">
        <f t="array" ref="C10">INDEX(T,24+MONTH(R10),lang) &amp; " " &amp; DAY(R10) &amp; ", " &amp; YEAR(R10)</f>
        <v>Jun 13, 2026</v>
      </c>
      <c r="D10" s="120">
        <f t="shared" si="6"/>
        <v>4.1666666666666664E-2</v>
      </c>
      <c r="E10" s="78" t="str">
        <f>AE26</f>
        <v>USA</v>
      </c>
      <c r="F10" s="19">
        <v>4</v>
      </c>
      <c r="G10" s="20">
        <v>1</v>
      </c>
      <c r="H10" s="80" t="str">
        <f>AE27</f>
        <v>Paraguay</v>
      </c>
      <c r="J10" s="33" t="str">
        <f>VLOOKUP(2,AD8:AN11,2,FALSE)</f>
        <v>Sør-Korea</v>
      </c>
      <c r="K10" s="23">
        <f>L10+M10+N10</f>
        <v>1</v>
      </c>
      <c r="L10" s="23">
        <f>VLOOKUP(2,AD8:AN11,3,FALSE)</f>
        <v>1</v>
      </c>
      <c r="M10" s="23">
        <f>VLOOKUP(2,AD8:AN11,4,FALSE)</f>
        <v>0</v>
      </c>
      <c r="N10" s="23">
        <f>VLOOKUP(2,AD8:AN11,5,FALSE)</f>
        <v>0</v>
      </c>
      <c r="O10" s="23" t="str">
        <f>VLOOKUP(2,AD8:AN11,6,FALSE) &amp; " - " &amp; VLOOKUP(2,AD8:AN11,7,FALSE)</f>
        <v>2 - 1</v>
      </c>
      <c r="P10" s="34">
        <f>L10*3+M10</f>
        <v>3</v>
      </c>
      <c r="R10" s="123">
        <f>DATE(2026,6,12)+TIME(14,0,0)+gmt_delta</f>
        <v>46186.041666666672</v>
      </c>
      <c r="S10" s="127" t="str">
        <f t="shared" si="0"/>
        <v>USA_win</v>
      </c>
      <c r="T10" s="127" t="str">
        <f t="shared" si="1"/>
        <v>Paraguay_lose</v>
      </c>
      <c r="U10" s="123">
        <f t="shared" si="7"/>
        <v>0</v>
      </c>
      <c r="V10" s="123">
        <f t="shared" si="2"/>
        <v>0</v>
      </c>
      <c r="W10" s="123">
        <f t="shared" si="3"/>
        <v>0</v>
      </c>
      <c r="X10" s="123">
        <f t="shared" si="8"/>
        <v>0</v>
      </c>
      <c r="Y10" s="123">
        <f t="shared" si="9"/>
        <v>0</v>
      </c>
      <c r="Z10" s="123">
        <f t="shared" si="10"/>
        <v>0</v>
      </c>
      <c r="AA10" s="123">
        <f t="shared" si="4"/>
        <v>0</v>
      </c>
      <c r="AB10" s="123">
        <f t="shared" si="5"/>
        <v>1</v>
      </c>
      <c r="AD10" s="123">
        <f>COUNTIF(AR8:AR11,CONCATENATE("&gt;=",AR10))</f>
        <v>2</v>
      </c>
      <c r="AE10" s="124" t="str">
        <f>VLOOKUP("Korea Republic",T,lang,FALSE)</f>
        <v>Sør-Korea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0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1</v>
      </c>
      <c r="AL10" s="123">
        <f>AI10-AJ10</f>
        <v>1</v>
      </c>
      <c r="AM10" s="123">
        <f>AL10-AL12</f>
        <v>4</v>
      </c>
      <c r="AN10" s="123">
        <f>AF10*3+AG10</f>
        <v>3</v>
      </c>
      <c r="AO10" s="123">
        <f>AN10/AN12*10+BA10</f>
        <v>7.5</v>
      </c>
      <c r="AP10" s="123">
        <f>AO10*10000000+BI10*100+AM10/AM12*10+AI10/AI12*1++IF(AQ10=0,ROW(),AQ10)/2000000</f>
        <v>75000006.215080053</v>
      </c>
      <c r="AQ10" s="126">
        <f>VLOOKUP(AE10,db_fifarank,2,FALSE)</f>
        <v>1588.66</v>
      </c>
      <c r="AR10" s="125">
        <f>AP10/AP12</f>
        <v>0.99999994523748714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203">
        <v>74</v>
      </c>
      <c r="BL10" s="24" t="str">
        <f>AS32</f>
        <v>1E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Søn</v>
      </c>
      <c r="C11" s="18" t="str" cm="1">
        <f t="array" ref="C11">INDEX(T,24+MONTH(R11),lang) &amp; " " &amp; DAY(R11) &amp; ", " &amp; YEAR(R11)</f>
        <v>Jun 14, 2026</v>
      </c>
      <c r="D11" s="120">
        <f t="shared" si="6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Skottland</v>
      </c>
      <c r="J11" s="33" t="str">
        <f>VLOOKUP(3,AD8:AN11,2,FALSE)</f>
        <v>Tsjekkia</v>
      </c>
      <c r="K11" s="23">
        <f>L11+M11+N11</f>
        <v>1</v>
      </c>
      <c r="L11" s="23">
        <f>VLOOKUP(3,AD8:AN11,3,FALSE)</f>
        <v>0</v>
      </c>
      <c r="M11" s="23">
        <f>VLOOKUP(3,AD8:AN11,4,FALSE)</f>
        <v>0</v>
      </c>
      <c r="N11" s="23">
        <f>VLOOKUP(3,AD8:AN11,5,FALSE)</f>
        <v>1</v>
      </c>
      <c r="O11" s="23" t="str">
        <f>VLOOKUP(3,AD8:AN11,6,FALSE) &amp; " - " &amp; VLOOKUP(3,AD8:AN11,7,FALSE)</f>
        <v>1 - 2</v>
      </c>
      <c r="P11" s="34">
        <f>L11*3+M11</f>
        <v>0</v>
      </c>
      <c r="R11" s="123">
        <f>DATE(2026,6,13)+TIME(14,0,0)+gmt_delta</f>
        <v>46187.041666666672</v>
      </c>
      <c r="S11" s="127" t="str">
        <f t="shared" si="0"/>
        <v>Haiti_lose</v>
      </c>
      <c r="T11" s="127" t="str">
        <f t="shared" si="1"/>
        <v>Skottland_win</v>
      </c>
      <c r="U11" s="123">
        <f t="shared" si="7"/>
        <v>0</v>
      </c>
      <c r="V11" s="123">
        <f t="shared" si="2"/>
        <v>0</v>
      </c>
      <c r="W11" s="123">
        <f t="shared" si="3"/>
        <v>0</v>
      </c>
      <c r="X11" s="123">
        <f t="shared" si="8"/>
        <v>0</v>
      </c>
      <c r="Y11" s="123">
        <f t="shared" si="9"/>
        <v>0</v>
      </c>
      <c r="Z11" s="123">
        <f t="shared" si="10"/>
        <v>0</v>
      </c>
      <c r="AA11" s="123">
        <f t="shared" si="4"/>
        <v>0</v>
      </c>
      <c r="AB11" s="123">
        <f t="shared" si="5"/>
        <v>-1</v>
      </c>
      <c r="AD11" s="123">
        <f>COUNTIF(AR8:AR11,CONCATENATE("&gt;=",AR11))</f>
        <v>3</v>
      </c>
      <c r="AE11" s="124" t="str">
        <f>VLOOKUP("Czech Republic",T,lang,FALSE)</f>
        <v>Tsjekkia</v>
      </c>
      <c r="AF11" s="123">
        <f>COUNTIF($S$7:$T$78,"=" &amp; AE11 &amp; "_win")</f>
        <v>0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2</v>
      </c>
      <c r="AL11" s="123">
        <f>AI11-AJ11</f>
        <v>-1</v>
      </c>
      <c r="AM11" s="123">
        <f>AL11-AL12</f>
        <v>2</v>
      </c>
      <c r="AN11" s="123">
        <f>AF11*3+AG11</f>
        <v>0</v>
      </c>
      <c r="AO11" s="123">
        <f>AN11/AN12*10+BA11</f>
        <v>0</v>
      </c>
      <c r="AP11" s="123">
        <f>AO11*10000000+BI11*100+AM11/AM12*10+AI11/AI12*1++IF(AQ11=0,ROW(),AQ11)/2000000</f>
        <v>3.1078935471428566</v>
      </c>
      <c r="AQ11" s="126">
        <f>VLOOKUP(AE11,db_fifarank,2,FALSE)</f>
        <v>1501.38</v>
      </c>
      <c r="AR11" s="125">
        <f>AP11/AP12</f>
        <v>4.1438574925369811E-8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204"/>
      <c r="BL11" s="26" t="str">
        <f>IF(group_round_completed,VLOOKUP('3rd places'!G3,AK80:AS91,9,FALSE),"3rd Group A/B/C/D/F")</f>
        <v>3rd Group A/B/C/D/F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Søn</v>
      </c>
      <c r="C12" s="18" t="str" cm="1">
        <f t="array" ref="C12">INDEX(T,24+MONTH(R12),lang) &amp; " " &amp; DAY(R12) &amp; ", " &amp; YEAR(R12)</f>
        <v>Jun 14, 2026</v>
      </c>
      <c r="D12" s="120">
        <f t="shared" si="6"/>
        <v>0.16666666666666666</v>
      </c>
      <c r="E12" s="78" t="str">
        <f>AE28</f>
        <v>Australia</v>
      </c>
      <c r="F12" s="19">
        <v>2</v>
      </c>
      <c r="G12" s="20">
        <v>0</v>
      </c>
      <c r="H12" s="80" t="str">
        <f>AE29</f>
        <v>Tyrkia</v>
      </c>
      <c r="J12" s="35" t="str">
        <f>VLOOKUP(4,AD8:AN11,2,FALSE)</f>
        <v>Sør-Afrika</v>
      </c>
      <c r="K12" s="36">
        <f>L12+M12+N12</f>
        <v>1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1</v>
      </c>
      <c r="O12" s="36" t="str">
        <f>VLOOKUP(4,AD8:AN11,6,FALSE) &amp; " - " &amp; VLOOKUP(4,AD8:AN11,7,FALSE)</f>
        <v>0 - 3</v>
      </c>
      <c r="P12" s="37">
        <f>L12*3+M12</f>
        <v>0</v>
      </c>
      <c r="R12" s="123">
        <f>DATE(2026,6,13)+TIME(17,0,0)+gmt_delta</f>
        <v>46187.166666666672</v>
      </c>
      <c r="S12" s="127" t="str">
        <f t="shared" si="0"/>
        <v>Australia_win</v>
      </c>
      <c r="T12" s="127" t="str">
        <f t="shared" si="1"/>
        <v>Tyrkia_lose</v>
      </c>
      <c r="U12" s="123">
        <f t="shared" si="7"/>
        <v>0</v>
      </c>
      <c r="V12" s="123">
        <f t="shared" si="2"/>
        <v>0</v>
      </c>
      <c r="W12" s="123">
        <f t="shared" si="3"/>
        <v>0</v>
      </c>
      <c r="X12" s="123">
        <f t="shared" si="8"/>
        <v>0</v>
      </c>
      <c r="Y12" s="123">
        <f t="shared" si="9"/>
        <v>0</v>
      </c>
      <c r="Z12" s="123">
        <f t="shared" si="10"/>
        <v>0</v>
      </c>
      <c r="AA12" s="123">
        <f t="shared" si="4"/>
        <v>0</v>
      </c>
      <c r="AB12" s="123">
        <f t="shared" si="5"/>
        <v>1</v>
      </c>
      <c r="AF12" s="123">
        <f>MAX(AF8:AF11)-MIN(AF8:AF11)+1</f>
        <v>2</v>
      </c>
      <c r="AG12" s="123">
        <f>MAX(AG8:AG11)-MIN(AG8:AG11)+1</f>
        <v>1</v>
      </c>
      <c r="AH12" s="123">
        <f>MAX(AH8:AH11)-MIN(AH8:AH11)+1</f>
        <v>2</v>
      </c>
      <c r="AI12" s="123">
        <f>MAX(AI8:AI11)+1</f>
        <v>4</v>
      </c>
      <c r="AL12" s="123">
        <f>MIN(AL8:AL11)</f>
        <v>-3</v>
      </c>
      <c r="AM12" s="123">
        <f>MAX(AM8:AM11)+1</f>
        <v>7</v>
      </c>
      <c r="AN12" s="123">
        <f>MAX(AN8:AN11)+1</f>
        <v>4</v>
      </c>
      <c r="AO12" s="123">
        <f>MAX(AO8:AO11)+1</f>
        <v>8.5</v>
      </c>
      <c r="AP12" s="123">
        <f>MAX(AP8:AP11)+1</f>
        <v>75000010.322269082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203">
        <v>89</v>
      </c>
      <c r="BS12" s="24" t="str">
        <f>IF(BP10&gt;BP11,BL10,IF(BP10&lt;BP11,BL11,""))</f>
        <v>1E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Lør</v>
      </c>
      <c r="C13" s="18" t="str" cm="1">
        <f t="array" ref="C13">INDEX(T,24+MONTH(R13),lang) &amp; " " &amp; DAY(R13) &amp; ", " &amp; YEAR(R13)</f>
        <v>Jun 13, 2026</v>
      </c>
      <c r="D13" s="120">
        <f t="shared" si="6"/>
        <v>0.91666666666666663</v>
      </c>
      <c r="E13" s="78" t="str">
        <f>AE20</f>
        <v>Brasil</v>
      </c>
      <c r="F13" s="19">
        <v>1</v>
      </c>
      <c r="G13" s="20">
        <v>1</v>
      </c>
      <c r="H13" s="80" t="str">
        <f>AE21</f>
        <v>Marokko</v>
      </c>
      <c r="R13" s="123">
        <f>DATE(2026,6,13)+TIME(11,0,0)+gmt_delta</f>
        <v>46186.916666666672</v>
      </c>
      <c r="S13" s="127" t="str">
        <f t="shared" si="0"/>
        <v>Brasil_draw</v>
      </c>
      <c r="T13" s="127" t="str">
        <f t="shared" si="1"/>
        <v>Marokko_draw</v>
      </c>
      <c r="U13" s="123">
        <f t="shared" si="7"/>
        <v>1</v>
      </c>
      <c r="V13" s="123">
        <f t="shared" si="2"/>
        <v>1</v>
      </c>
      <c r="W13" s="123">
        <f t="shared" si="3"/>
        <v>1</v>
      </c>
      <c r="X13" s="123">
        <f t="shared" si="8"/>
        <v>1</v>
      </c>
      <c r="Y13" s="123">
        <f t="shared" si="9"/>
        <v>1</v>
      </c>
      <c r="Z13" s="123">
        <f t="shared" si="10"/>
        <v>1</v>
      </c>
      <c r="AA13" s="123">
        <f t="shared" si="4"/>
        <v>0</v>
      </c>
      <c r="AB13" s="123">
        <f t="shared" si="5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204"/>
      <c r="BS13" s="26" t="str">
        <f>IF(BP14&gt;BP15,BL14,IF(BP14&lt;BP15,BL15,""))</f>
        <v>1I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Lør</v>
      </c>
      <c r="C14" s="18" t="str" cm="1">
        <f t="array" ref="C14">INDEX(T,24+MONTH(R14),lang) &amp; " " &amp; DAY(R14) &amp; ", " &amp; YEAR(R14)</f>
        <v>Jun 13, 2026</v>
      </c>
      <c r="D14" s="120">
        <f t="shared" si="6"/>
        <v>0.79166666666666663</v>
      </c>
      <c r="E14" s="78" t="str">
        <f>AE16</f>
        <v>Qatar</v>
      </c>
      <c r="F14" s="19">
        <v>1</v>
      </c>
      <c r="G14" s="20">
        <v>1</v>
      </c>
      <c r="H14" s="80" t="str">
        <f>AE17</f>
        <v>Sveits</v>
      </c>
      <c r="J14" s="38" t="str" cm="1">
        <f t="array" ref="J14">INDEX(T,9,lang) &amp; " " &amp; "B"</f>
        <v>Gruppe B</v>
      </c>
      <c r="K14" s="94" t="str" cm="1">
        <f t="array" ref="K14">INDEX(T,10,lang)</f>
        <v>S</v>
      </c>
      <c r="L14" s="94" t="str" cm="1">
        <f t="array" ref="L14">INDEX(T,11,lang)</f>
        <v>V</v>
      </c>
      <c r="M14" s="94" t="str" cm="1">
        <f t="array" ref="M14">INDEX(T,12,lang)</f>
        <v>T</v>
      </c>
      <c r="N14" s="94" t="str" cm="1">
        <f t="array" ref="N14">INDEX(T,13,lang)</f>
        <v>U</v>
      </c>
      <c r="O14" s="94" t="str" cm="1">
        <f t="array" ref="O14">INDEX(T,14,lang)</f>
        <v>Mål</v>
      </c>
      <c r="P14" s="95" t="str" cm="1">
        <f t="array" ref="P14">INDEX(T,15,lang)</f>
        <v>P</v>
      </c>
      <c r="R14" s="123">
        <f>DATE(2026,6,13)+TIME(8,0,0)+gmt_delta</f>
        <v>46186.791666666672</v>
      </c>
      <c r="S14" s="127" t="str">
        <f t="shared" si="0"/>
        <v>Qatar_draw</v>
      </c>
      <c r="T14" s="127" t="str">
        <f t="shared" si="1"/>
        <v>Sveits_draw</v>
      </c>
      <c r="U14" s="123">
        <f t="shared" si="7"/>
        <v>1</v>
      </c>
      <c r="V14" s="123">
        <f t="shared" si="2"/>
        <v>1</v>
      </c>
      <c r="W14" s="123">
        <f t="shared" si="3"/>
        <v>1</v>
      </c>
      <c r="X14" s="123">
        <f t="shared" si="8"/>
        <v>1</v>
      </c>
      <c r="Y14" s="123">
        <f t="shared" si="9"/>
        <v>1</v>
      </c>
      <c r="Z14" s="123">
        <f t="shared" si="10"/>
        <v>1</v>
      </c>
      <c r="AA14" s="123">
        <f t="shared" si="4"/>
        <v>0</v>
      </c>
      <c r="AB14" s="123">
        <f t="shared" si="5"/>
        <v>0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1</v>
      </c>
      <c r="AL14" s="123">
        <f>AI14-AJ14</f>
        <v>0</v>
      </c>
      <c r="AM14" s="123">
        <f>AL14-AL18</f>
        <v>0</v>
      </c>
      <c r="AN14" s="123">
        <f>AF14*3+AG14</f>
        <v>1</v>
      </c>
      <c r="AO14" s="123">
        <f>AN14/AN18*10+BA14</f>
        <v>5.9901960784313726</v>
      </c>
      <c r="AP14" s="123">
        <f>AO14*10000000+BI14*100+AM14/AM18*10+AI14/AI18*1++IF(AQ14=0,ROW(),AQ14)/2000000</f>
        <v>59902060.304699808</v>
      </c>
      <c r="AQ14" s="126">
        <f>VLOOKUP(AE14,db_fifarank,2,FALSE)</f>
        <v>1556.48</v>
      </c>
      <c r="AR14" s="125">
        <f>AP14/AP18</f>
        <v>0.99999998330530815</v>
      </c>
      <c r="AS14" s="125" t="str">
        <f>IF(SUM(AF14:AH17)=12,J15,"1B")</f>
        <v>1B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101</v>
      </c>
      <c r="BA14" s="126">
        <f>AZ14/AZ18</f>
        <v>0.99019607843137258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101</v>
      </c>
      <c r="BI14" s="126">
        <f>BH14/BH18</f>
        <v>0.99019607843137258</v>
      </c>
      <c r="BK14" s="203">
        <v>77</v>
      </c>
      <c r="BL14" s="24" t="str">
        <f>AS56</f>
        <v>1I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Søn</v>
      </c>
      <c r="C15" s="18" t="str" cm="1">
        <f t="array" ref="C15">INDEX(T,24+MONTH(R15),lang) &amp; " " &amp; DAY(R15) &amp; ", " &amp; YEAR(R15)</f>
        <v>Jun 14, 2026</v>
      </c>
      <c r="D15" s="120">
        <f t="shared" si="6"/>
        <v>0.95833333333333337</v>
      </c>
      <c r="E15" s="78" t="str">
        <f>AE34</f>
        <v>Elfenbenskysten</v>
      </c>
      <c r="F15" s="19"/>
      <c r="G15" s="20"/>
      <c r="H15" s="80" t="str">
        <f>AE35</f>
        <v>Ecuador</v>
      </c>
      <c r="J15" s="30" t="str">
        <f>VLOOKUP(1,AD14:AN17,2,FALSE)</f>
        <v>Sveits</v>
      </c>
      <c r="K15" s="31">
        <f>L15+M15+N15</f>
        <v>1</v>
      </c>
      <c r="L15" s="31">
        <f>VLOOKUP(1,AD14:AN17,3,FALSE)</f>
        <v>0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1 - 1</v>
      </c>
      <c r="P15" s="32">
        <f>L15*3+M15</f>
        <v>1</v>
      </c>
      <c r="R15" s="123">
        <f>DATE(2026,6,14)+TIME(12,0,0)+gmt_delta</f>
        <v>46187.958333333336</v>
      </c>
      <c r="S15" s="127" t="str">
        <f t="shared" si="0"/>
        <v/>
      </c>
      <c r="T15" s="127" t="str">
        <f t="shared" si="1"/>
        <v/>
      </c>
      <c r="U15" s="123">
        <f t="shared" si="7"/>
        <v>0</v>
      </c>
      <c r="V15" s="123">
        <f t="shared" si="2"/>
        <v>0</v>
      </c>
      <c r="W15" s="123">
        <f t="shared" si="3"/>
        <v>0</v>
      </c>
      <c r="X15" s="123">
        <f t="shared" si="8"/>
        <v>0</v>
      </c>
      <c r="Y15" s="123">
        <f t="shared" si="9"/>
        <v>0</v>
      </c>
      <c r="Z15" s="123">
        <f t="shared" si="10"/>
        <v>0</v>
      </c>
      <c r="AA15" s="123">
        <f t="shared" si="4"/>
        <v>0</v>
      </c>
      <c r="AB15" s="123" t="str">
        <f t="shared" si="5"/>
        <v/>
      </c>
      <c r="AD15" s="123">
        <f>COUNTIF(AR14:AR17,CONCATENATE("&gt;=",AR15))</f>
        <v>4</v>
      </c>
      <c r="AE15" s="124" t="str">
        <f>VLOOKUP("Bosnia and Herzegovina",T,lang,FALSE)</f>
        <v>Bosnia-Hercegovina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1</v>
      </c>
      <c r="AL15" s="123">
        <f>AI15-AJ15</f>
        <v>0</v>
      </c>
      <c r="AM15" s="123">
        <f>AL15-AL18</f>
        <v>0</v>
      </c>
      <c r="AN15" s="123">
        <f>AF15*3+AG15</f>
        <v>1</v>
      </c>
      <c r="AO15" s="123">
        <f>AN15/AN18*10+BA15</f>
        <v>5.9901960784313726</v>
      </c>
      <c r="AP15" s="123">
        <f>AO15*10000000+BI15*100+AM15/AM18*10+AI15/AI18*1++IF(AQ15=0,ROW(),AQ15)/2000000</f>
        <v>59902060.304614484</v>
      </c>
      <c r="AQ15" s="126">
        <f>VLOOKUP(AE15,db_fifarank,2,FALSE)</f>
        <v>1385.84</v>
      </c>
      <c r="AR15" s="125">
        <f>AP15/AP18</f>
        <v>0.99999998330388373</v>
      </c>
      <c r="AS15" s="125" t="str">
        <f>IF(SUM(AF14:AH17)=12,J16,"2B")</f>
        <v>2B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101</v>
      </c>
      <c r="BA15" s="126">
        <f>AZ15/AZ18</f>
        <v>0.99019607843137258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101</v>
      </c>
      <c r="BI15" s="126">
        <f>BH15/BH18</f>
        <v>0.99019607843137258</v>
      </c>
      <c r="BK15" s="204"/>
      <c r="BL15" s="26" t="str">
        <f>IF(group_round_completed,VLOOKUP('3rd places'!I3,AK80:AS91,9,FALSE),"3rd Group C/D/F/G/H")</f>
        <v>3rd Group C/D/F/G/H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Søn</v>
      </c>
      <c r="C16" s="18" t="str" cm="1">
        <f t="array" ref="C16">INDEX(T,24+MONTH(R16),lang) &amp; " " &amp; DAY(R16) &amp; ", " &amp; YEAR(R16)</f>
        <v>Jun 14, 2026</v>
      </c>
      <c r="D16" s="120">
        <f t="shared" si="6"/>
        <v>0.70833333333333337</v>
      </c>
      <c r="E16" s="78" t="str">
        <f>AE32</f>
        <v>Tyskland</v>
      </c>
      <c r="F16" s="19"/>
      <c r="G16" s="20"/>
      <c r="H16" s="80" t="str">
        <f>AE33</f>
        <v>Curaçao</v>
      </c>
      <c r="J16" s="33" t="str">
        <f>VLOOKUP(2,AD14:AN17,2,FALSE)</f>
        <v>Canada</v>
      </c>
      <c r="K16" s="23">
        <f>L16+M16+N16</f>
        <v>1</v>
      </c>
      <c r="L16" s="23">
        <f>VLOOKUP(2,AD14:AN17,3,FALSE)</f>
        <v>0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1 - 1</v>
      </c>
      <c r="P16" s="34">
        <f>L16*3+M16</f>
        <v>1</v>
      </c>
      <c r="R16" s="123">
        <f>DATE(2026,6,14)+TIME(6,0,0)+gmt_delta</f>
        <v>46187.708333333336</v>
      </c>
      <c r="S16" s="127" t="str">
        <f t="shared" si="0"/>
        <v/>
      </c>
      <c r="T16" s="127" t="str">
        <f t="shared" si="1"/>
        <v/>
      </c>
      <c r="U16" s="123">
        <f t="shared" si="7"/>
        <v>0</v>
      </c>
      <c r="V16" s="123">
        <f t="shared" si="2"/>
        <v>0</v>
      </c>
      <c r="W16" s="123">
        <f t="shared" si="3"/>
        <v>0</v>
      </c>
      <c r="X16" s="123">
        <f t="shared" si="8"/>
        <v>0</v>
      </c>
      <c r="Y16" s="123">
        <f t="shared" si="9"/>
        <v>0</v>
      </c>
      <c r="Z16" s="123">
        <f t="shared" si="10"/>
        <v>0</v>
      </c>
      <c r="AA16" s="123">
        <f t="shared" si="4"/>
        <v>0</v>
      </c>
      <c r="AB16" s="123" t="str">
        <f t="shared" si="5"/>
        <v/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0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1</v>
      </c>
      <c r="AL16" s="123">
        <f>AI16-AJ16</f>
        <v>0</v>
      </c>
      <c r="AM16" s="123">
        <f>AL16-AL18</f>
        <v>0</v>
      </c>
      <c r="AN16" s="123">
        <f>AF16*3+AG16</f>
        <v>1</v>
      </c>
      <c r="AO16" s="123">
        <f>AN16/AN18*10+BA16</f>
        <v>5.9901960784313726</v>
      </c>
      <c r="AP16" s="123">
        <f>AO16*10000000+BI16*100+AM16/AM18*10+AI16/AI18*1++IF(AQ16=0,ROW(),AQ16)/2000000</f>
        <v>59902060.304649048</v>
      </c>
      <c r="AQ16" s="126">
        <f>VLOOKUP(AE16,db_fifarank,2,FALSE)</f>
        <v>1454.96</v>
      </c>
      <c r="AR16" s="125">
        <f>AP16/AP18</f>
        <v>0.99999998330446072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101</v>
      </c>
      <c r="BA16" s="126">
        <f>AZ16/AZ18</f>
        <v>0.99019607843137258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101</v>
      </c>
      <c r="BI16" s="126">
        <f>BH16/BH18</f>
        <v>0.99019607843137258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203">
        <v>97</v>
      </c>
      <c r="BZ16" s="24" t="str">
        <f>IF(BW12&gt;BW13,BS12,IF(BW12&lt;BW13,BS13,""))</f>
        <v>1I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Søn</v>
      </c>
      <c r="C17" s="18" t="str" cm="1">
        <f t="array" ref="C17">INDEX(T,24+MONTH(R17),lang) &amp; " " &amp; DAY(R17) &amp; ", " &amp; YEAR(R17)</f>
        <v>Jun 14, 2026</v>
      </c>
      <c r="D17" s="120">
        <f t="shared" si="6"/>
        <v>0.83333333333333337</v>
      </c>
      <c r="E17" s="78" t="str">
        <f>AE38</f>
        <v>Nederland</v>
      </c>
      <c r="F17" s="19"/>
      <c r="G17" s="20"/>
      <c r="H17" s="80" t="str">
        <f>AE39</f>
        <v>Japan</v>
      </c>
      <c r="J17" s="33" t="str">
        <f>VLOOKUP(3,AD14:AN17,2,FALSE)</f>
        <v>Qatar</v>
      </c>
      <c r="K17" s="23">
        <f>L17+M17+N17</f>
        <v>1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0</v>
      </c>
      <c r="O17" s="23" t="str">
        <f>VLOOKUP(3,AD14:AN17,6,FALSE) &amp; " - " &amp; VLOOKUP(3,AD14:AN17,7,FALSE)</f>
        <v>1 - 1</v>
      </c>
      <c r="P17" s="34">
        <f>L17*3+M17</f>
        <v>1</v>
      </c>
      <c r="R17" s="123">
        <f>DATE(2026,6,14)+TIME(9,0,0)+gmt_delta</f>
        <v>46187.833333333336</v>
      </c>
      <c r="S17" s="127" t="str">
        <f t="shared" si="0"/>
        <v/>
      </c>
      <c r="T17" s="127" t="str">
        <f t="shared" si="1"/>
        <v/>
      </c>
      <c r="U17" s="123">
        <f t="shared" si="7"/>
        <v>0</v>
      </c>
      <c r="V17" s="123">
        <f t="shared" si="2"/>
        <v>0</v>
      </c>
      <c r="W17" s="123">
        <f t="shared" si="3"/>
        <v>0</v>
      </c>
      <c r="X17" s="123">
        <f t="shared" si="8"/>
        <v>0</v>
      </c>
      <c r="Y17" s="123">
        <f t="shared" si="9"/>
        <v>0</v>
      </c>
      <c r="Z17" s="123">
        <f t="shared" si="10"/>
        <v>0</v>
      </c>
      <c r="AA17" s="123">
        <f t="shared" si="4"/>
        <v>0</v>
      </c>
      <c r="AB17" s="123" t="str">
        <f t="shared" si="5"/>
        <v/>
      </c>
      <c r="AD17" s="123">
        <f>COUNTIF(AR14:AR17,CONCATENATE("&gt;=",AR17))</f>
        <v>1</v>
      </c>
      <c r="AE17" s="124" t="str">
        <f>VLOOKUP("Switzerland",T,lang,FALSE)</f>
        <v>Sveits</v>
      </c>
      <c r="AF17" s="123">
        <f>COUNTIF($S$7:$T$78,"=" &amp; AE17 &amp; "_win")</f>
        <v>0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1</v>
      </c>
      <c r="AJ17" s="123">
        <f>SUMIF($E$7:$E$78,$AE17,$G$7:$G$78) + SUMIF($H$7:$H$78,$AE17,$F$7:$F$78)</f>
        <v>1</v>
      </c>
      <c r="AL17" s="123">
        <f>AI17-AJ17</f>
        <v>0</v>
      </c>
      <c r="AM17" s="123">
        <f>AL17-AL18</f>
        <v>0</v>
      </c>
      <c r="AN17" s="123">
        <f>AF17*3+AG17</f>
        <v>1</v>
      </c>
      <c r="AO17" s="123">
        <f>AN17/AN18*10+BA17</f>
        <v>5.9901960784313726</v>
      </c>
      <c r="AP17" s="123">
        <f>AO17*10000000+BI17*100+AM17/AM18*10+AI17/AI18*1++IF(AQ17=0,ROW(),AQ17)/2000000</f>
        <v>59902060.304746263</v>
      </c>
      <c r="AQ17" s="126">
        <f>VLOOKUP(AE17,db_fifarank,2,FALSE)</f>
        <v>1649.4</v>
      </c>
      <c r="AR17" s="125">
        <f>AP17/AP18</f>
        <v>0.99999998330608364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101</v>
      </c>
      <c r="BA17" s="126">
        <f>AZ17/AZ18</f>
        <v>0.99019607843137258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101</v>
      </c>
      <c r="BI17" s="126">
        <f>BH17/BH18</f>
        <v>0.99019607843137258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204"/>
      <c r="BZ17" s="26" t="str">
        <f>IF(BW20&gt;BW21,BS20,IF(BW20&lt;BW21,BS21,""))</f>
        <v>2C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Man</v>
      </c>
      <c r="C18" s="18" t="str" cm="1">
        <f t="array" ref="C18">INDEX(T,24+MONTH(R18),lang) &amp; " " &amp; DAY(R18) &amp; ", " &amp; YEAR(R18)</f>
        <v>Jun 15, 2026</v>
      </c>
      <c r="D18" s="120">
        <f t="shared" si="6"/>
        <v>8.3333333333333329E-2</v>
      </c>
      <c r="E18" s="78" t="str">
        <f>AE40</f>
        <v>Sverige</v>
      </c>
      <c r="F18" s="19"/>
      <c r="G18" s="20"/>
      <c r="H18" s="80" t="str">
        <f>AE41</f>
        <v>Tunisia</v>
      </c>
      <c r="J18" s="35" t="str">
        <f>VLOOKUP(4,AD14:AN17,2,FALSE)</f>
        <v>Bosnia-Hercegovina</v>
      </c>
      <c r="K18" s="36">
        <f>L18+M18+N18</f>
        <v>1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0</v>
      </c>
      <c r="O18" s="36" t="str">
        <f>VLOOKUP(4,AD14:AN17,6,FALSE) &amp; " - " &amp; VLOOKUP(4,AD14:AN17,7,FALSE)</f>
        <v>1 - 1</v>
      </c>
      <c r="P18" s="37">
        <f>L18*3+M18</f>
        <v>1</v>
      </c>
      <c r="R18" s="123">
        <f>DATE(2026,6,14)+TIME(15,0,0)+gmt_delta</f>
        <v>46188.083333333336</v>
      </c>
      <c r="S18" s="127" t="str">
        <f t="shared" si="0"/>
        <v/>
      </c>
      <c r="T18" s="127" t="str">
        <f t="shared" si="1"/>
        <v/>
      </c>
      <c r="U18" s="123">
        <f t="shared" si="7"/>
        <v>0</v>
      </c>
      <c r="V18" s="123">
        <f t="shared" si="2"/>
        <v>0</v>
      </c>
      <c r="W18" s="123">
        <f t="shared" si="3"/>
        <v>0</v>
      </c>
      <c r="X18" s="123">
        <f t="shared" si="8"/>
        <v>0</v>
      </c>
      <c r="Y18" s="123">
        <f t="shared" si="9"/>
        <v>0</v>
      </c>
      <c r="Z18" s="123">
        <f t="shared" si="10"/>
        <v>0</v>
      </c>
      <c r="AA18" s="123">
        <f t="shared" si="4"/>
        <v>0</v>
      </c>
      <c r="AB18" s="123" t="str">
        <f t="shared" si="5"/>
        <v/>
      </c>
      <c r="AF18" s="123">
        <f>MAX(AF14:AF17)-MIN(AF14:AF17)+1</f>
        <v>1</v>
      </c>
      <c r="AG18" s="123">
        <f>MAX(AG14:AG17)-MIN(AG14:AG17)+1</f>
        <v>1</v>
      </c>
      <c r="AH18" s="123">
        <f>MAX(AH14:AH17)-MIN(AH14:AH17)+1</f>
        <v>1</v>
      </c>
      <c r="AI18" s="123">
        <f>MAX(AI14:AI17)+1</f>
        <v>2</v>
      </c>
      <c r="AL18" s="123">
        <f>MIN(AL14:AL17)</f>
        <v>0</v>
      </c>
      <c r="AM18" s="123">
        <f>MAX(AM14:AM17)+1</f>
        <v>1</v>
      </c>
      <c r="AN18" s="123">
        <f>MAX(AN14:AN17)+1</f>
        <v>2</v>
      </c>
      <c r="AO18" s="123">
        <f>MAX(AO14:AO17)+1</f>
        <v>6.9901960784313726</v>
      </c>
      <c r="AP18" s="123">
        <f>MAX(AP14:AP17)+1</f>
        <v>59902061.304746263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102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102</v>
      </c>
      <c r="BK18" s="203">
        <v>73</v>
      </c>
      <c r="BL18" s="24" t="str">
        <f>AS9</f>
        <v>2A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Man</v>
      </c>
      <c r="C19" s="18" t="str" cm="1">
        <f t="array" ref="C19">INDEX(T,24+MONTH(R19),lang) &amp; " " &amp; DAY(R19) &amp; ", " &amp; YEAR(R19)</f>
        <v>Jun 15, 2026</v>
      </c>
      <c r="D19" s="120">
        <f t="shared" si="6"/>
        <v>0.91666666666666663</v>
      </c>
      <c r="E19" s="78" t="str">
        <f>AE52</f>
        <v>Saudi-Arabia</v>
      </c>
      <c r="F19" s="19"/>
      <c r="G19" s="20"/>
      <c r="H19" s="80" t="str">
        <f>AE53</f>
        <v>Uruguay</v>
      </c>
      <c r="R19" s="123">
        <f>DATE(2026,6,15)+TIME(11,0,0)+gmt_delta</f>
        <v>46188.916666666672</v>
      </c>
      <c r="S19" s="127" t="str">
        <f t="shared" si="0"/>
        <v/>
      </c>
      <c r="T19" s="127" t="str">
        <f t="shared" si="1"/>
        <v/>
      </c>
      <c r="U19" s="123">
        <f t="shared" si="7"/>
        <v>0</v>
      </c>
      <c r="V19" s="123">
        <f t="shared" si="2"/>
        <v>0</v>
      </c>
      <c r="W19" s="123">
        <f t="shared" si="3"/>
        <v>0</v>
      </c>
      <c r="X19" s="123">
        <f t="shared" si="8"/>
        <v>0</v>
      </c>
      <c r="Y19" s="123">
        <f t="shared" si="9"/>
        <v>0</v>
      </c>
      <c r="Z19" s="123">
        <f t="shared" si="10"/>
        <v>0</v>
      </c>
      <c r="AA19" s="123">
        <f t="shared" si="4"/>
        <v>0</v>
      </c>
      <c r="AB19" s="123" t="str">
        <f t="shared" si="5"/>
        <v/>
      </c>
      <c r="BK19" s="204"/>
      <c r="BL19" s="26" t="str">
        <f>AS15</f>
        <v>2B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Man</v>
      </c>
      <c r="C20" s="18" t="str" cm="1">
        <f t="array" ref="C20">INDEX(T,24+MONTH(R20),lang) &amp; " " &amp; DAY(R20) &amp; ", " &amp; YEAR(R20)</f>
        <v>Jun 15, 2026</v>
      </c>
      <c r="D20" s="120">
        <f t="shared" si="6"/>
        <v>0.66666666666666663</v>
      </c>
      <c r="E20" s="78" t="str">
        <f>AE50</f>
        <v>Spania</v>
      </c>
      <c r="F20" s="19"/>
      <c r="G20" s="20"/>
      <c r="H20" s="80" t="str">
        <f>AE51</f>
        <v>Kapp Verde</v>
      </c>
      <c r="J20" s="38" t="str" cm="1">
        <f t="array" ref="J20">INDEX(T,9,lang) &amp; " " &amp; "C"</f>
        <v>Gruppe C</v>
      </c>
      <c r="K20" s="94" t="str" cm="1">
        <f t="array" ref="K20">INDEX(T,10,lang)</f>
        <v>S</v>
      </c>
      <c r="L20" s="94" t="str" cm="1">
        <f t="array" ref="L20">INDEX(T,11,lang)</f>
        <v>V</v>
      </c>
      <c r="M20" s="94" t="str" cm="1">
        <f t="array" ref="M20">INDEX(T,12,lang)</f>
        <v>T</v>
      </c>
      <c r="N20" s="94" t="str" cm="1">
        <f t="array" ref="N20">INDEX(T,13,lang)</f>
        <v>U</v>
      </c>
      <c r="O20" s="94" t="str" cm="1">
        <f t="array" ref="O20">INDEX(T,14,lang)</f>
        <v>Mål</v>
      </c>
      <c r="P20" s="95" t="str" cm="1">
        <f t="array" ref="P20">INDEX(T,15,lang)</f>
        <v>P</v>
      </c>
      <c r="R20" s="123">
        <f>DATE(2026,6,15)+TIME(5,0,0)+gmt_delta</f>
        <v>46188.666666666672</v>
      </c>
      <c r="S20" s="127" t="str">
        <f t="shared" si="0"/>
        <v/>
      </c>
      <c r="T20" s="127" t="str">
        <f t="shared" si="1"/>
        <v/>
      </c>
      <c r="U20" s="123">
        <f t="shared" si="7"/>
        <v>0</v>
      </c>
      <c r="V20" s="123">
        <f t="shared" si="2"/>
        <v>0</v>
      </c>
      <c r="W20" s="123">
        <f t="shared" si="3"/>
        <v>0</v>
      </c>
      <c r="X20" s="123">
        <f t="shared" si="8"/>
        <v>0</v>
      </c>
      <c r="Y20" s="123">
        <f t="shared" si="9"/>
        <v>0</v>
      </c>
      <c r="Z20" s="123">
        <f t="shared" si="10"/>
        <v>0</v>
      </c>
      <c r="AA20" s="123">
        <f t="shared" si="4"/>
        <v>0</v>
      </c>
      <c r="AB20" s="123" t="str">
        <f t="shared" si="5"/>
        <v/>
      </c>
      <c r="AD20" s="123">
        <f>COUNTIF(AR20:AR23,CONCATENATE("&gt;=",AR20))</f>
        <v>2</v>
      </c>
      <c r="AE20" s="124" t="str">
        <f>VLOOKUP("Brazil",T,lang,FALSE)</f>
        <v>Brasil</v>
      </c>
      <c r="AF20" s="123">
        <f>COUNTIF($S$7:$T$78,"=" &amp; AE20 &amp; "_win")</f>
        <v>0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</v>
      </c>
      <c r="AJ20" s="123">
        <f>SUMIF($E$7:$E$78,$AE20,$G$7:$G$78) + SUMIF($H$7:$H$78,$AE20,$F$7:$F$78)</f>
        <v>1</v>
      </c>
      <c r="AL20" s="123">
        <f>AI20-AJ20</f>
        <v>0</v>
      </c>
      <c r="AM20" s="123">
        <f>AL20-AL24</f>
        <v>1</v>
      </c>
      <c r="AN20" s="123">
        <f>AF20*3+AG20</f>
        <v>1</v>
      </c>
      <c r="AO20" s="123">
        <f>AN20/AN24*10+BA20</f>
        <v>3.4805825242718447</v>
      </c>
      <c r="AP20" s="123">
        <f>AO20*10000000+BI20*100+AM20/AM24*10+AI20/AI24*1++IF(AQ20=0,ROW(),AQ20)/2000000</f>
        <v>34805927.13518478</v>
      </c>
      <c r="AQ20" s="126">
        <f>VLOOKUP(AE20,db_fifarank,2,FALSE)</f>
        <v>1761.16</v>
      </c>
      <c r="AR20" s="125">
        <f>AP20/AP24</f>
        <v>0.46407897793145042</v>
      </c>
      <c r="AS20" s="125" t="str">
        <f>IF(SUM(AF20:AH23)=12,J21,"1C")</f>
        <v>1C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203">
        <v>90</v>
      </c>
      <c r="BS20" s="24" t="str">
        <f>IF(BP18&gt;BP19,BL18,IF(BP18&lt;BP19,BL19,""))</f>
        <v>2B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Tirs</v>
      </c>
      <c r="C21" s="18" t="str" cm="1">
        <f t="array" ref="C21">INDEX(T,24+MONTH(R21),lang) &amp; " " &amp; DAY(R21) &amp; ", " &amp; YEAR(R21)</f>
        <v>Jun 16, 2026</v>
      </c>
      <c r="D21" s="120">
        <f t="shared" si="6"/>
        <v>4.1666666666666664E-2</v>
      </c>
      <c r="E21" s="78" t="str">
        <f>AE46</f>
        <v>Iran</v>
      </c>
      <c r="F21" s="19"/>
      <c r="G21" s="20"/>
      <c r="H21" s="80" t="str">
        <f>AE47</f>
        <v>New Zealand</v>
      </c>
      <c r="J21" s="30" t="str">
        <f>VLOOKUP(1,AD20:AN23,2,FALSE)</f>
        <v>Skottland</v>
      </c>
      <c r="K21" s="31">
        <f>L21+M21+N21</f>
        <v>1</v>
      </c>
      <c r="L21" s="31">
        <f>VLOOKUP(1,AD20:AN23,3,FALSE)</f>
        <v>1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1 - 0</v>
      </c>
      <c r="P21" s="32">
        <f>L21*3+M21</f>
        <v>3</v>
      </c>
      <c r="R21" s="123">
        <f>DATE(2026,6,15)+TIME(14,0,0)+gmt_delta</f>
        <v>46189.041666666672</v>
      </c>
      <c r="S21" s="127" t="str">
        <f t="shared" si="0"/>
        <v/>
      </c>
      <c r="T21" s="127" t="str">
        <f t="shared" si="1"/>
        <v/>
      </c>
      <c r="U21" s="123">
        <f t="shared" si="7"/>
        <v>0</v>
      </c>
      <c r="V21" s="123">
        <f t="shared" si="2"/>
        <v>0</v>
      </c>
      <c r="W21" s="123">
        <f t="shared" si="3"/>
        <v>0</v>
      </c>
      <c r="X21" s="123">
        <f t="shared" si="8"/>
        <v>0</v>
      </c>
      <c r="Y21" s="123">
        <f t="shared" si="9"/>
        <v>0</v>
      </c>
      <c r="Z21" s="123">
        <f t="shared" si="10"/>
        <v>0</v>
      </c>
      <c r="AA21" s="123">
        <f t="shared" si="4"/>
        <v>0</v>
      </c>
      <c r="AB21" s="123" t="str">
        <f t="shared" si="5"/>
        <v/>
      </c>
      <c r="AD21" s="123">
        <f>COUNTIF(AR20:AR23,CONCATENATE("&gt;=",AR21))</f>
        <v>3</v>
      </c>
      <c r="AE21" s="124" t="str">
        <f>VLOOKUP("Morocco",T,lang,FALSE)</f>
        <v>Marokko</v>
      </c>
      <c r="AF21" s="123">
        <f>COUNTIF($S$7:$T$78,"=" &amp; AE21 &amp; "_win")</f>
        <v>0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1</v>
      </c>
      <c r="AJ21" s="123">
        <f>SUMIF($E$7:$E$78,$AE21,$G$7:$G$78) + SUMIF($H$7:$H$78,$AE21,$F$7:$F$78)</f>
        <v>1</v>
      </c>
      <c r="AL21" s="123">
        <f>AI21-AJ21</f>
        <v>0</v>
      </c>
      <c r="AM21" s="123">
        <f>AL21-AL24</f>
        <v>1</v>
      </c>
      <c r="AN21" s="123">
        <f>AF21*3+AG21</f>
        <v>1</v>
      </c>
      <c r="AO21" s="123">
        <f>AN21/AN24*10+BA21</f>
        <v>3.4805825242718447</v>
      </c>
      <c r="AP21" s="123">
        <f>AO21*10000000+BI21*100+AM21/AM24*10+AI21/AI24*1++IF(AQ21=0,ROW(),AQ21)/2000000</f>
        <v>34805927.135182135</v>
      </c>
      <c r="AQ21" s="126">
        <f>VLOOKUP(AE21,db_fifarank,2,FALSE)</f>
        <v>1755.87</v>
      </c>
      <c r="AR21" s="125">
        <f>AP21/AP24</f>
        <v>0.46407897793141517</v>
      </c>
      <c r="AS21" s="125" t="str">
        <f>IF(SUM(AF20:AH23)=12,J22,"2C")</f>
        <v>2C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204"/>
      <c r="BS21" s="26" t="str">
        <f>IF(BP22&gt;BP23,BL22,IF(BP22&lt;BP23,BL23,""))</f>
        <v>2C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Man</v>
      </c>
      <c r="C22" s="18" t="str" cm="1">
        <f t="array" ref="C22">INDEX(T,24+MONTH(R22),lang) &amp; " " &amp; DAY(R22) &amp; ", " &amp; YEAR(R22)</f>
        <v>Jun 15, 2026</v>
      </c>
      <c r="D22" s="120">
        <f t="shared" si="6"/>
        <v>0.79166666666666663</v>
      </c>
      <c r="E22" s="78" t="str">
        <f>AE44</f>
        <v>Belgia</v>
      </c>
      <c r="F22" s="19"/>
      <c r="G22" s="20"/>
      <c r="H22" s="80" t="str">
        <f>AE45</f>
        <v>Egypt</v>
      </c>
      <c r="J22" s="33" t="str">
        <f>VLOOKUP(2,AD20:AN23,2,FALSE)</f>
        <v>Brasil</v>
      </c>
      <c r="K22" s="23">
        <f>L22+M22+N22</f>
        <v>1</v>
      </c>
      <c r="L22" s="23">
        <f>VLOOKUP(2,AD20:AN23,3,FALSE)</f>
        <v>0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1 - 1</v>
      </c>
      <c r="P22" s="34">
        <f>L22*3+M22</f>
        <v>1</v>
      </c>
      <c r="R22" s="123">
        <f>DATE(2026,6,15)+TIME(8,0,0)+gmt_delta</f>
        <v>46188.791666666672</v>
      </c>
      <c r="S22" s="127" t="str">
        <f t="shared" si="0"/>
        <v/>
      </c>
      <c r="T22" s="127" t="str">
        <f t="shared" si="1"/>
        <v/>
      </c>
      <c r="U22" s="123">
        <f t="shared" si="7"/>
        <v>0</v>
      </c>
      <c r="V22" s="123">
        <f t="shared" si="2"/>
        <v>0</v>
      </c>
      <c r="W22" s="123">
        <f t="shared" si="3"/>
        <v>0</v>
      </c>
      <c r="X22" s="123">
        <f t="shared" si="8"/>
        <v>0</v>
      </c>
      <c r="Y22" s="123">
        <f t="shared" si="9"/>
        <v>0</v>
      </c>
      <c r="Z22" s="123">
        <f t="shared" si="10"/>
        <v>0</v>
      </c>
      <c r="AA22" s="123">
        <f t="shared" si="4"/>
        <v>0</v>
      </c>
      <c r="AB22" s="123" t="str">
        <f t="shared" si="5"/>
        <v/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1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</v>
      </c>
      <c r="AL22" s="123">
        <f>AI22-AJ22</f>
        <v>-1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8.6113990622283044E-12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203">
        <v>75</v>
      </c>
      <c r="BL22" s="24" t="str">
        <f>AS38</f>
        <v>1F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Tirs</v>
      </c>
      <c r="C23" s="18" t="str" cm="1">
        <f t="array" ref="C23">INDEX(T,24+MONTH(R23),lang) &amp; " " &amp; DAY(R23) &amp; ", " &amp; YEAR(R23)</f>
        <v>Jun 16, 2026</v>
      </c>
      <c r="D23" s="120">
        <f t="shared" si="6"/>
        <v>0.79166666666666663</v>
      </c>
      <c r="E23" s="78" t="str">
        <f>AE56</f>
        <v>Frankrike</v>
      </c>
      <c r="F23" s="19"/>
      <c r="G23" s="20"/>
      <c r="H23" s="80" t="str">
        <f>AE57</f>
        <v>Senegal</v>
      </c>
      <c r="J23" s="33" t="str">
        <f>VLOOKUP(3,AD20:AN23,2,FALSE)</f>
        <v>Marokko</v>
      </c>
      <c r="K23" s="23">
        <f>L23+M23+N23</f>
        <v>1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0</v>
      </c>
      <c r="O23" s="23" t="str">
        <f>VLOOKUP(3,AD20:AN23,6,FALSE) &amp; " - " &amp; VLOOKUP(3,AD20:AN23,7,FALSE)</f>
        <v>1 - 1</v>
      </c>
      <c r="P23" s="34">
        <f>L23*3+M23</f>
        <v>1</v>
      </c>
      <c r="R23" s="123">
        <f>DATE(2026,6,16)+TIME(8,0,0)+gmt_delta</f>
        <v>46189.791666666672</v>
      </c>
      <c r="S23" s="127" t="str">
        <f t="shared" si="0"/>
        <v/>
      </c>
      <c r="T23" s="127" t="str">
        <f t="shared" si="1"/>
        <v/>
      </c>
      <c r="U23" s="123">
        <f t="shared" si="7"/>
        <v>0</v>
      </c>
      <c r="V23" s="123">
        <f t="shared" si="2"/>
        <v>0</v>
      </c>
      <c r="W23" s="123">
        <f t="shared" si="3"/>
        <v>0</v>
      </c>
      <c r="X23" s="123">
        <f t="shared" si="8"/>
        <v>0</v>
      </c>
      <c r="Y23" s="123">
        <f t="shared" si="9"/>
        <v>0</v>
      </c>
      <c r="Z23" s="123">
        <f t="shared" si="10"/>
        <v>0</v>
      </c>
      <c r="AA23" s="123">
        <f t="shared" si="4"/>
        <v>0</v>
      </c>
      <c r="AB23" s="123" t="str">
        <f t="shared" si="5"/>
        <v/>
      </c>
      <c r="AD23" s="123">
        <f>COUNTIF(AR20:AR23,CONCATENATE("&gt;=",AR23))</f>
        <v>1</v>
      </c>
      <c r="AE23" s="124" t="str">
        <f>VLOOKUP("Scotland",T,lang,FALSE)</f>
        <v>Skottland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0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0</v>
      </c>
      <c r="AL23" s="123">
        <f>AI23-AJ23</f>
        <v>1</v>
      </c>
      <c r="AM23" s="123">
        <f>AL23-AL24</f>
        <v>2</v>
      </c>
      <c r="AN23" s="123">
        <f>AF23*3+AG23</f>
        <v>3</v>
      </c>
      <c r="AO23" s="123">
        <f>AN23/AN24*10+BA23</f>
        <v>7.5</v>
      </c>
      <c r="AP23" s="123">
        <f>AO23*10000000+BI23*100+AM23/AM24*10+AI23/AI24*1++IF(AQ23=0,ROW(),AQ23)/2000000</f>
        <v>75000007.167415842</v>
      </c>
      <c r="AQ23" s="126">
        <f>VLOOKUP(AE23,db_fifarank,2,FALSE)</f>
        <v>1498.35</v>
      </c>
      <c r="AR23" s="125">
        <f>AP23/AP24</f>
        <v>0.99999998666666812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204"/>
      <c r="BL23" s="26" t="str">
        <f>AS21</f>
        <v>2C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203">
        <v>101</v>
      </c>
      <c r="CG23" s="24" t="str">
        <f>IF(CD16&gt;CD17,BZ16,IF(CD16&lt;CD17,BZ17,""))</f>
        <v>1I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Tirs</v>
      </c>
      <c r="C24" s="18" t="str" cm="1">
        <f t="array" ref="C24">INDEX(T,24+MONTH(R24),lang) &amp; " " &amp; DAY(R24) &amp; ", " &amp; YEAR(R24)</f>
        <v>Jun 16, 2026</v>
      </c>
      <c r="D24" s="120">
        <f t="shared" si="6"/>
        <v>0.91666666666666663</v>
      </c>
      <c r="E24" s="78" t="str">
        <f>AE58</f>
        <v>Irak</v>
      </c>
      <c r="F24" s="19"/>
      <c r="G24" s="20"/>
      <c r="H24" s="80" t="str">
        <f>AE59</f>
        <v>Norge</v>
      </c>
      <c r="J24" s="35" t="str">
        <f>VLOOKUP(4,AD20:AN23,2,FALSE)</f>
        <v>Haiti</v>
      </c>
      <c r="K24" s="36">
        <f>L24+M24+N24</f>
        <v>1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1</v>
      </c>
      <c r="O24" s="36" t="str">
        <f>VLOOKUP(4,AD20:AN23,6,FALSE) &amp; " - " &amp; VLOOKUP(4,AD20:AN23,7,FALSE)</f>
        <v>0 - 1</v>
      </c>
      <c r="P24" s="37">
        <f>L24*3+M24</f>
        <v>0</v>
      </c>
      <c r="R24" s="123">
        <f>DATE(2026,6,16)+TIME(11,0,0)+gmt_delta</f>
        <v>46189.916666666672</v>
      </c>
      <c r="S24" s="127" t="str">
        <f t="shared" si="0"/>
        <v/>
      </c>
      <c r="T24" s="127" t="str">
        <f t="shared" si="1"/>
        <v/>
      </c>
      <c r="U24" s="123">
        <f t="shared" si="7"/>
        <v>0</v>
      </c>
      <c r="V24" s="123">
        <f t="shared" si="2"/>
        <v>0</v>
      </c>
      <c r="W24" s="123">
        <f t="shared" si="3"/>
        <v>0</v>
      </c>
      <c r="X24" s="123">
        <f t="shared" si="8"/>
        <v>0</v>
      </c>
      <c r="Y24" s="123">
        <f t="shared" si="9"/>
        <v>0</v>
      </c>
      <c r="Z24" s="123">
        <f t="shared" si="10"/>
        <v>0</v>
      </c>
      <c r="AA24" s="123">
        <f t="shared" si="4"/>
        <v>1</v>
      </c>
      <c r="AB24" s="123" t="str">
        <f t="shared" si="5"/>
        <v/>
      </c>
      <c r="AF24" s="123">
        <f>MAX(AF20:AF23)-MIN(AF20:AF23)+1</f>
        <v>2</v>
      </c>
      <c r="AG24" s="123">
        <f>MAX(AG20:AG23)-MIN(AG20:AG23)+1</f>
        <v>2</v>
      </c>
      <c r="AH24" s="123">
        <f>MAX(AH20:AH23)-MIN(AH20:AH23)+1</f>
        <v>2</v>
      </c>
      <c r="AI24" s="123">
        <f>MAX(AI20:AI23)+1</f>
        <v>2</v>
      </c>
      <c r="AL24" s="123">
        <f>MIN(AL20:AL23)</f>
        <v>-1</v>
      </c>
      <c r="AM24" s="123">
        <f>MAX(AM20:AM23)+1</f>
        <v>3</v>
      </c>
      <c r="AN24" s="123">
        <f>MAX(AN20:AN23)+1</f>
        <v>4</v>
      </c>
      <c r="AO24" s="123">
        <f>MAX(AO20:AO23)+1</f>
        <v>8.5</v>
      </c>
      <c r="AP24" s="123">
        <f>MAX(AP20:AP23)+1</f>
        <v>75000008.167415842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204"/>
      <c r="CG24" s="26" t="str">
        <f>IF(CD32&gt;CD33,BZ32,IF(CD32&lt;CD33,BZ33,""))</f>
        <v>1H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Ons</v>
      </c>
      <c r="C25" s="18" t="str" cm="1">
        <f t="array" ref="C25">INDEX(T,24+MONTH(R25),lang) &amp; " " &amp; DAY(R25) &amp; ", " &amp; YEAR(R25)</f>
        <v>Jun 17, 2026</v>
      </c>
      <c r="D25" s="120">
        <f t="shared" si="6"/>
        <v>4.1666666666666664E-2</v>
      </c>
      <c r="E25" s="78" t="str">
        <f>AE62</f>
        <v>Argentina</v>
      </c>
      <c r="F25" s="19"/>
      <c r="G25" s="20"/>
      <c r="H25" s="80" t="str">
        <f>AE63</f>
        <v>Algerie</v>
      </c>
      <c r="R25" s="123">
        <f>DATE(2026,6,16)+TIME(14,0,0)+gmt_delta</f>
        <v>46190.041666666672</v>
      </c>
      <c r="S25" s="127" t="str">
        <f t="shared" si="0"/>
        <v/>
      </c>
      <c r="T25" s="127" t="str">
        <f t="shared" si="1"/>
        <v/>
      </c>
      <c r="U25" s="123">
        <f t="shared" si="7"/>
        <v>0</v>
      </c>
      <c r="V25" s="123">
        <f t="shared" si="2"/>
        <v>0</v>
      </c>
      <c r="W25" s="123">
        <f t="shared" si="3"/>
        <v>0</v>
      </c>
      <c r="X25" s="123">
        <f t="shared" si="8"/>
        <v>0</v>
      </c>
      <c r="Y25" s="123">
        <f t="shared" si="9"/>
        <v>0</v>
      </c>
      <c r="Z25" s="123">
        <f t="shared" si="10"/>
        <v>0</v>
      </c>
      <c r="AA25" s="123">
        <f t="shared" si="4"/>
        <v>0</v>
      </c>
      <c r="AB25" s="123" t="str">
        <f t="shared" si="5"/>
        <v/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Ons</v>
      </c>
      <c r="C26" s="18" t="str" cm="1">
        <f t="array" ref="C26">INDEX(T,24+MONTH(R26),lang) &amp; " " &amp; DAY(R26) &amp; ", " &amp; YEAR(R26)</f>
        <v>Jun 17, 2026</v>
      </c>
      <c r="D26" s="120">
        <f t="shared" si="6"/>
        <v>0.16666666666666666</v>
      </c>
      <c r="E26" s="78" t="str">
        <f>AE64</f>
        <v>Østerrike</v>
      </c>
      <c r="F26" s="19"/>
      <c r="G26" s="20"/>
      <c r="H26" s="80" t="str">
        <f>AE65</f>
        <v>Jordan</v>
      </c>
      <c r="J26" s="38" t="str" cm="1">
        <f t="array" ref="J26">INDEX(T,9,lang) &amp; " " &amp; "D"</f>
        <v>Gruppe D</v>
      </c>
      <c r="K26" s="94" t="str" cm="1">
        <f t="array" ref="K26">INDEX(T,10,lang)</f>
        <v>S</v>
      </c>
      <c r="L26" s="94" t="str" cm="1">
        <f t="array" ref="L26">INDEX(T,11,lang)</f>
        <v>V</v>
      </c>
      <c r="M26" s="94" t="str" cm="1">
        <f t="array" ref="M26">INDEX(T,12,lang)</f>
        <v>T</v>
      </c>
      <c r="N26" s="94" t="str" cm="1">
        <f t="array" ref="N26">INDEX(T,13,lang)</f>
        <v>U</v>
      </c>
      <c r="O26" s="94" t="str" cm="1">
        <f t="array" ref="O26">INDEX(T,14,lang)</f>
        <v>Mål</v>
      </c>
      <c r="P26" s="95" t="str" cm="1">
        <f t="array" ref="P26">INDEX(T,15,lang)</f>
        <v>P</v>
      </c>
      <c r="R26" s="123">
        <f>DATE(2026,6,16)+TIME(17,0,0)+gmt_delta</f>
        <v>46190.166666666672</v>
      </c>
      <c r="S26" s="127" t="str">
        <f t="shared" si="0"/>
        <v/>
      </c>
      <c r="T26" s="127" t="str">
        <f t="shared" si="1"/>
        <v/>
      </c>
      <c r="U26" s="123">
        <f t="shared" si="7"/>
        <v>0</v>
      </c>
      <c r="V26" s="123">
        <f t="shared" si="2"/>
        <v>0</v>
      </c>
      <c r="W26" s="123">
        <f t="shared" si="3"/>
        <v>0</v>
      </c>
      <c r="X26" s="123">
        <f t="shared" si="8"/>
        <v>0</v>
      </c>
      <c r="Y26" s="123">
        <f t="shared" si="9"/>
        <v>0</v>
      </c>
      <c r="Z26" s="123">
        <f t="shared" si="10"/>
        <v>0</v>
      </c>
      <c r="AA26" s="123">
        <f t="shared" si="4"/>
        <v>0</v>
      </c>
      <c r="AB26" s="123" t="str">
        <f t="shared" si="5"/>
        <v/>
      </c>
      <c r="AD26" s="123">
        <f>COUNTIF(AR26:AR29,CONCATENATE("&gt;=",AR26))</f>
        <v>1</v>
      </c>
      <c r="AE26" s="124" t="str">
        <f>VLOOKUP("United States",T,lang,FALSE)</f>
        <v>USA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1</v>
      </c>
      <c r="AL26" s="123">
        <f>AI26-AJ26</f>
        <v>3</v>
      </c>
      <c r="AM26" s="123">
        <f>AL26-AL30</f>
        <v>6</v>
      </c>
      <c r="AN26" s="123">
        <f>AF26*3+AG26</f>
        <v>3</v>
      </c>
      <c r="AO26" s="123">
        <f>AN26/AN30*10+BA26</f>
        <v>7.5</v>
      </c>
      <c r="AP26" s="123">
        <f>AO26*10000000+BI26*100+AM26/AM30*10+AI26/AI30*1++IF(AQ26=0,ROW(),AQ26)/2000000</f>
        <v>75000009.37226513</v>
      </c>
      <c r="AQ26" s="126">
        <f>VLOOKUP(AE26,db_fifarank,2,FALSE)</f>
        <v>1673.13</v>
      </c>
      <c r="AR26" s="125">
        <f>AP26/AP30</f>
        <v>0.99999998666666856</v>
      </c>
      <c r="AS26" s="125" t="str">
        <f>IF(SUM(AF26:AH29)=12,J27,"1D")</f>
        <v>1D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203">
        <v>83</v>
      </c>
      <c r="BL26" s="24" t="str">
        <f>AS69</f>
        <v>2K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Ons</v>
      </c>
      <c r="C27" s="18" t="str" cm="1">
        <f t="array" ref="C27">INDEX(T,24+MONTH(R27),lang) &amp; " " &amp; DAY(R27) &amp; ", " &amp; YEAR(R27)</f>
        <v>Jun 17, 2026</v>
      </c>
      <c r="D27" s="120">
        <f t="shared" si="6"/>
        <v>0.95833333333333337</v>
      </c>
      <c r="E27" s="78" t="str">
        <f>AE76</f>
        <v>Ghana</v>
      </c>
      <c r="F27" s="19"/>
      <c r="G27" s="20"/>
      <c r="H27" s="80" t="str">
        <f>AE77</f>
        <v>Panama</v>
      </c>
      <c r="J27" s="30" t="str">
        <f>VLOOKUP(1,AD26:AN29,2,FALSE)</f>
        <v>USA</v>
      </c>
      <c r="K27" s="31">
        <f>L27+M27+N27</f>
        <v>1</v>
      </c>
      <c r="L27" s="31">
        <f>VLOOKUP(1,AD26:AN29,3,FALSE)</f>
        <v>1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3</v>
      </c>
      <c r="R27" s="123">
        <f>DATE(2026,6,17)+TIME(12,0,0)+gmt_delta</f>
        <v>46190.958333333336</v>
      </c>
      <c r="S27" s="127" t="str">
        <f t="shared" si="0"/>
        <v/>
      </c>
      <c r="T27" s="127" t="str">
        <f t="shared" si="1"/>
        <v/>
      </c>
      <c r="U27" s="123">
        <f t="shared" si="7"/>
        <v>0</v>
      </c>
      <c r="V27" s="123">
        <f t="shared" si="2"/>
        <v>0</v>
      </c>
      <c r="W27" s="123">
        <f t="shared" si="3"/>
        <v>0</v>
      </c>
      <c r="X27" s="123">
        <f t="shared" si="8"/>
        <v>0</v>
      </c>
      <c r="Y27" s="123">
        <f t="shared" si="9"/>
        <v>0</v>
      </c>
      <c r="Z27" s="123">
        <f t="shared" si="10"/>
        <v>0</v>
      </c>
      <c r="AA27" s="123">
        <f t="shared" si="4"/>
        <v>0</v>
      </c>
      <c r="AB27" s="123" t="str">
        <f t="shared" si="5"/>
        <v/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0.20075175000000001</v>
      </c>
      <c r="AQ27" s="126">
        <f>VLOOKUP(AE27,db_fifarank,2,FALSE)</f>
        <v>1503.5</v>
      </c>
      <c r="AR27" s="125">
        <f>AP27/AP30</f>
        <v>2.6766896298222066E-9</v>
      </c>
      <c r="AS27" s="125" t="str">
        <f>IF(SUM(AF26:AH29)=12,J28,"2D")</f>
        <v>2D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204"/>
      <c r="BL27" s="26" t="str">
        <f>AS75</f>
        <v>2L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Ons</v>
      </c>
      <c r="C28" s="18" t="str" cm="1">
        <f t="array" ref="C28">INDEX(T,24+MONTH(R28),lang) &amp; " " &amp; DAY(R28) &amp; ", " &amp; YEAR(R28)</f>
        <v>Jun 17, 2026</v>
      </c>
      <c r="D28" s="120">
        <f t="shared" si="6"/>
        <v>0.83333333333333337</v>
      </c>
      <c r="E28" s="78" t="str">
        <f>AE74</f>
        <v>England</v>
      </c>
      <c r="F28" s="19"/>
      <c r="G28" s="20"/>
      <c r="H28" s="80" t="str">
        <f>AE75</f>
        <v>Kroatia</v>
      </c>
      <c r="J28" s="33" t="str">
        <f>VLOOKUP(2,AD26:AN29,2,FALSE)</f>
        <v>Australia</v>
      </c>
      <c r="K28" s="23">
        <f>L28+M28+N28</f>
        <v>1</v>
      </c>
      <c r="L28" s="23">
        <f>VLOOKUP(2,AD26:AN29,3,FALSE)</f>
        <v>1</v>
      </c>
      <c r="M28" s="23">
        <f>VLOOKUP(2,AD26:AN29,4,FALSE)</f>
        <v>0</v>
      </c>
      <c r="N28" s="23">
        <f>VLOOKUP(2,AD26:AN29,5,FALSE)</f>
        <v>0</v>
      </c>
      <c r="O28" s="23" t="str">
        <f>VLOOKUP(2,AD26:AN29,6,FALSE) &amp; " - " &amp; VLOOKUP(2,AD26:AN29,7,FALSE)</f>
        <v>2 - 0</v>
      </c>
      <c r="P28" s="34">
        <f>L28*3+M28</f>
        <v>3</v>
      </c>
      <c r="R28" s="123">
        <f>DATE(2026,6,17)+TIME(9,0,0)+gmt_delta</f>
        <v>46190.833333333336</v>
      </c>
      <c r="S28" s="127" t="str">
        <f t="shared" si="0"/>
        <v/>
      </c>
      <c r="T28" s="127" t="str">
        <f t="shared" si="1"/>
        <v/>
      </c>
      <c r="U28" s="123">
        <f t="shared" si="7"/>
        <v>0</v>
      </c>
      <c r="V28" s="123">
        <f t="shared" si="2"/>
        <v>0</v>
      </c>
      <c r="W28" s="123">
        <f t="shared" si="3"/>
        <v>0</v>
      </c>
      <c r="X28" s="123">
        <f t="shared" si="8"/>
        <v>0</v>
      </c>
      <c r="Y28" s="123">
        <f t="shared" si="9"/>
        <v>0</v>
      </c>
      <c r="Z28" s="123">
        <f t="shared" si="10"/>
        <v>0</v>
      </c>
      <c r="AA28" s="123">
        <f t="shared" si="4"/>
        <v>0</v>
      </c>
      <c r="AB28" s="123" t="str">
        <f t="shared" si="5"/>
        <v/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0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0</v>
      </c>
      <c r="AL28" s="123">
        <f>AI28-AJ28</f>
        <v>2</v>
      </c>
      <c r="AM28" s="123">
        <f>AL28-AL30</f>
        <v>5</v>
      </c>
      <c r="AN28" s="123">
        <f>AF28*3+AG28</f>
        <v>3</v>
      </c>
      <c r="AO28" s="123">
        <f>AN28/AN30*10+BA28</f>
        <v>7.5</v>
      </c>
      <c r="AP28" s="123">
        <f>AO28*10000000+BI28*100+AM28/AM30*10+AI28/AI30*1++IF(AQ28=0,ROW(),AQ28)/2000000</f>
        <v>75000007.543647483</v>
      </c>
      <c r="AQ28" s="126">
        <f>VLOOKUP(AE28,db_fifarank,2,FALSE)</f>
        <v>1580.67</v>
      </c>
      <c r="AR28" s="125">
        <f>AP28/AP30</f>
        <v>0.99999996228510324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203">
        <v>93</v>
      </c>
      <c r="BS28" s="24" t="str">
        <f>IF(BP26&gt;BP27,BL26,IF(BP26&lt;BP27,BL27,""))</f>
        <v>2K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Ons</v>
      </c>
      <c r="C29" s="18" t="str" cm="1">
        <f t="array" ref="C29">INDEX(T,24+MONTH(R29),lang) &amp; " " &amp; DAY(R29) &amp; ", " &amp; YEAR(R29)</f>
        <v>Jun 17, 2026</v>
      </c>
      <c r="D29" s="120">
        <f t="shared" si="6"/>
        <v>0.70833333333333337</v>
      </c>
      <c r="E29" s="78" t="str">
        <f>AE68</f>
        <v>Portugal</v>
      </c>
      <c r="F29" s="19"/>
      <c r="G29" s="20"/>
      <c r="H29" s="80" t="str">
        <f>AE69</f>
        <v>DR Kongo</v>
      </c>
      <c r="J29" s="33" t="str">
        <f>VLOOKUP(3,AD26:AN29,2,FALSE)</f>
        <v>Tyrkia</v>
      </c>
      <c r="K29" s="23">
        <f>L29+M29+N29</f>
        <v>1</v>
      </c>
      <c r="L29" s="23">
        <f>VLOOKUP(3,AD26:AN29,3,FALSE)</f>
        <v>0</v>
      </c>
      <c r="M29" s="23">
        <f>VLOOKUP(3,AD26:AN29,4,FALSE)</f>
        <v>0</v>
      </c>
      <c r="N29" s="23">
        <f>VLOOKUP(3,AD26:AN29,5,FALSE)</f>
        <v>1</v>
      </c>
      <c r="O29" s="23" t="str">
        <f>VLOOKUP(3,AD26:AN29,6,FALSE) &amp; " - " &amp; VLOOKUP(3,AD26:AN29,7,FALSE)</f>
        <v>0 - 2</v>
      </c>
      <c r="P29" s="34">
        <f>L29*3+M29</f>
        <v>0</v>
      </c>
      <c r="R29" s="123">
        <f>DATE(2026,6,17)+TIME(6,0,0)+gmt_delta</f>
        <v>46190.708333333336</v>
      </c>
      <c r="S29" s="127" t="str">
        <f t="shared" si="0"/>
        <v/>
      </c>
      <c r="T29" s="127" t="str">
        <f t="shared" si="1"/>
        <v/>
      </c>
      <c r="U29" s="123">
        <f t="shared" si="7"/>
        <v>0</v>
      </c>
      <c r="V29" s="123">
        <f t="shared" si="2"/>
        <v>0</v>
      </c>
      <c r="W29" s="123">
        <f t="shared" si="3"/>
        <v>0</v>
      </c>
      <c r="X29" s="123">
        <f t="shared" si="8"/>
        <v>0</v>
      </c>
      <c r="Y29" s="123">
        <f t="shared" si="9"/>
        <v>0</v>
      </c>
      <c r="Z29" s="123">
        <f t="shared" si="10"/>
        <v>0</v>
      </c>
      <c r="AA29" s="123">
        <f t="shared" si="4"/>
        <v>0</v>
      </c>
      <c r="AB29" s="123" t="str">
        <f t="shared" si="5"/>
        <v/>
      </c>
      <c r="AD29" s="123">
        <f>COUNTIF(AR26:AR29,CONCATENATE("&gt;=",AR29))</f>
        <v>3</v>
      </c>
      <c r="AE29" s="124" t="str">
        <f>VLOOKUP("Turkey",T,lang,FALSE)</f>
        <v>Tyrkia</v>
      </c>
      <c r="AF29" s="123">
        <f>COUNTIF($S$7:$T$78,"=" &amp; AE29 &amp; "_win")</f>
        <v>0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0</v>
      </c>
      <c r="AJ29" s="123">
        <f>SUMIF($E$7:$E$78,$AE29,$G$7:$G$78) + SUMIF($H$7:$H$78,$AE29,$F$7:$F$78)</f>
        <v>2</v>
      </c>
      <c r="AL29" s="123">
        <f>AI29-AJ29</f>
        <v>-2</v>
      </c>
      <c r="AM29" s="123">
        <f>AL29-AL30</f>
        <v>1</v>
      </c>
      <c r="AN29" s="123">
        <f>AF29*3+AG29</f>
        <v>0</v>
      </c>
      <c r="AO29" s="123">
        <f>AN29/AN30*10+BA29</f>
        <v>0</v>
      </c>
      <c r="AP29" s="123">
        <f>AO29*10000000+BI29*100+AM29/AM30*10+AI29/AI30*1++IF(AQ29=0,ROW(),AQ29)/2000000</f>
        <v>1.4293709485714283</v>
      </c>
      <c r="AQ29" s="126">
        <f>VLOOKUP(AE29,db_fifarank,2,FALSE)</f>
        <v>1599.04</v>
      </c>
      <c r="AR29" s="125">
        <f>AP29/AP30</f>
        <v>1.9058276678585728E-8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204"/>
      <c r="BS29" s="26" t="str">
        <f>IF(BP30&gt;BP31,BL30,IF(BP30&lt;BP31,BL31,""))</f>
        <v>1H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Tors</v>
      </c>
      <c r="C30" s="18" t="str" cm="1">
        <f t="array" ref="C30">INDEX(T,24+MONTH(R30),lang) &amp; " " &amp; DAY(R30) &amp; ", " &amp; YEAR(R30)</f>
        <v>Jun 18, 2026</v>
      </c>
      <c r="D30" s="120">
        <f t="shared" si="6"/>
        <v>8.3333333333333329E-2</v>
      </c>
      <c r="E30" s="78" t="str">
        <f>AE70</f>
        <v>Usbekistan</v>
      </c>
      <c r="F30" s="19"/>
      <c r="G30" s="20"/>
      <c r="H30" s="80" t="str">
        <f>AE71</f>
        <v>Colombia</v>
      </c>
      <c r="J30" s="35" t="str">
        <f>VLOOKUP(4,AD26:AN29,2,FALSE)</f>
        <v>Paraguay</v>
      </c>
      <c r="K30" s="36">
        <f>L30+M30+N30</f>
        <v>1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1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0"/>
        <v/>
      </c>
      <c r="T30" s="127" t="str">
        <f t="shared" si="1"/>
        <v/>
      </c>
      <c r="U30" s="123">
        <f t="shared" si="7"/>
        <v>0</v>
      </c>
      <c r="V30" s="123">
        <f t="shared" si="2"/>
        <v>0</v>
      </c>
      <c r="W30" s="123">
        <f t="shared" si="3"/>
        <v>0</v>
      </c>
      <c r="X30" s="123">
        <f t="shared" si="8"/>
        <v>0</v>
      </c>
      <c r="Y30" s="123">
        <f t="shared" si="9"/>
        <v>0</v>
      </c>
      <c r="Z30" s="123">
        <f t="shared" si="10"/>
        <v>0</v>
      </c>
      <c r="AA30" s="123">
        <f t="shared" si="4"/>
        <v>0</v>
      </c>
      <c r="AB30" s="123" t="str">
        <f t="shared" si="5"/>
        <v/>
      </c>
      <c r="AF30" s="123">
        <f>MAX(AF26:AF29)-MIN(AF26:AF29)+1</f>
        <v>2</v>
      </c>
      <c r="AG30" s="123">
        <f>MAX(AG26:AG29)-MIN(AG26:AG29)+1</f>
        <v>1</v>
      </c>
      <c r="AH30" s="123">
        <f>MAX(AH26:AH29)-MIN(AH26:AH29)+1</f>
        <v>2</v>
      </c>
      <c r="AI30" s="123">
        <f>MAX(AI26:AI29)+1</f>
        <v>5</v>
      </c>
      <c r="AL30" s="123">
        <f>MIN(AL26:AL29)</f>
        <v>-3</v>
      </c>
      <c r="AM30" s="123">
        <f>MAX(AM26:AM29)+1</f>
        <v>7</v>
      </c>
      <c r="AN30" s="123">
        <f>MAX(AN26:AN29)+1</f>
        <v>4</v>
      </c>
      <c r="AO30" s="123">
        <f>MAX(AO26:AO29)+1</f>
        <v>8.5</v>
      </c>
      <c r="AP30" s="123">
        <f>MAX(AP26:AP29)+1</f>
        <v>75000010.37226513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203">
        <v>84</v>
      </c>
      <c r="BL30" s="24" t="str">
        <f>AS50</f>
        <v>1H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Tors</v>
      </c>
      <c r="C31" s="18" t="str" cm="1">
        <f t="array" ref="C31">INDEX(T,24+MONTH(R31),lang) &amp; " " &amp; DAY(R31) &amp; ", " &amp; YEAR(R31)</f>
        <v>Jun 18, 2026</v>
      </c>
      <c r="D31" s="120">
        <f t="shared" si="6"/>
        <v>0.66666666666666663</v>
      </c>
      <c r="E31" s="78" t="str">
        <f>AE11</f>
        <v>Tsjekkia</v>
      </c>
      <c r="F31" s="19"/>
      <c r="G31" s="20"/>
      <c r="H31" s="80" t="str">
        <f>AE9</f>
        <v>Sør-Afrika</v>
      </c>
      <c r="R31" s="123">
        <f>DATE(2026,6,18)+TIME(5,0,0)+gmt_delta</f>
        <v>46191.666666666672</v>
      </c>
      <c r="S31" s="127" t="str">
        <f t="shared" si="0"/>
        <v/>
      </c>
      <c r="T31" s="127" t="str">
        <f t="shared" si="1"/>
        <v/>
      </c>
      <c r="U31" s="123">
        <f t="shared" si="7"/>
        <v>0</v>
      </c>
      <c r="V31" s="123">
        <f t="shared" si="2"/>
        <v>0</v>
      </c>
      <c r="W31" s="123">
        <f t="shared" si="3"/>
        <v>0</v>
      </c>
      <c r="X31" s="123">
        <f t="shared" si="8"/>
        <v>0</v>
      </c>
      <c r="Y31" s="123">
        <f t="shared" si="9"/>
        <v>0</v>
      </c>
      <c r="Z31" s="123">
        <f t="shared" si="10"/>
        <v>0</v>
      </c>
      <c r="AA31" s="123">
        <f t="shared" si="4"/>
        <v>0</v>
      </c>
      <c r="AB31" s="123" t="str">
        <f t="shared" si="5"/>
        <v/>
      </c>
      <c r="BK31" s="204"/>
      <c r="BL31" s="26" t="str">
        <f>AS63</f>
        <v>2J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Tors</v>
      </c>
      <c r="C32" s="18" t="str" cm="1">
        <f t="array" ref="C32">INDEX(T,24+MONTH(R32),lang) &amp; " " &amp; DAY(R32) &amp; ", " &amp; YEAR(R32)</f>
        <v>Jun 18, 2026</v>
      </c>
      <c r="D32" s="120">
        <f t="shared" si="6"/>
        <v>0.79166666666666663</v>
      </c>
      <c r="E32" s="78" t="str">
        <f>AE17</f>
        <v>Sveits</v>
      </c>
      <c r="F32" s="19"/>
      <c r="G32" s="20"/>
      <c r="H32" s="80" t="str">
        <f>AE15</f>
        <v>Bosnia-Hercegovina</v>
      </c>
      <c r="J32" s="38" t="str" cm="1">
        <f t="array" ref="J32">INDEX(T,9,lang) &amp; " " &amp; "E"</f>
        <v>Gruppe E</v>
      </c>
      <c r="K32" s="94" t="str" cm="1">
        <f t="array" ref="K32">INDEX(T,10,lang)</f>
        <v>S</v>
      </c>
      <c r="L32" s="94" t="str" cm="1">
        <f t="array" ref="L32">INDEX(T,11,lang)</f>
        <v>V</v>
      </c>
      <c r="M32" s="94" t="str" cm="1">
        <f t="array" ref="M32">INDEX(T,12,lang)</f>
        <v>T</v>
      </c>
      <c r="N32" s="94" t="str" cm="1">
        <f t="array" ref="N32">INDEX(T,13,lang)</f>
        <v>U</v>
      </c>
      <c r="O32" s="94" t="str" cm="1">
        <f t="array" ref="O32">INDEX(T,14,lang)</f>
        <v>Mål</v>
      </c>
      <c r="P32" s="95" t="str" cm="1">
        <f t="array" ref="P32">INDEX(T,15,lang)</f>
        <v>P</v>
      </c>
      <c r="R32" s="123">
        <f>DATE(2026,6,18)+TIME(8,0,0)+gmt_delta</f>
        <v>46191.791666666672</v>
      </c>
      <c r="S32" s="127" t="str">
        <f t="shared" si="0"/>
        <v/>
      </c>
      <c r="T32" s="127" t="str">
        <f t="shared" si="1"/>
        <v/>
      </c>
      <c r="U32" s="123">
        <f t="shared" si="7"/>
        <v>0</v>
      </c>
      <c r="V32" s="123">
        <f t="shared" si="2"/>
        <v>0</v>
      </c>
      <c r="W32" s="123">
        <f t="shared" si="3"/>
        <v>0</v>
      </c>
      <c r="X32" s="123">
        <f t="shared" si="8"/>
        <v>0</v>
      </c>
      <c r="Y32" s="123">
        <f t="shared" si="9"/>
        <v>0</v>
      </c>
      <c r="Z32" s="123">
        <f t="shared" si="10"/>
        <v>0</v>
      </c>
      <c r="AA32" s="123">
        <f t="shared" si="4"/>
        <v>0</v>
      </c>
      <c r="AB32" s="123" t="str">
        <f t="shared" si="5"/>
        <v/>
      </c>
      <c r="AD32" s="123">
        <f>COUNTIF(AR32:AR35,CONCATENATE("&gt;=",AR32))</f>
        <v>1</v>
      </c>
      <c r="AE32" s="124" t="str">
        <f>VLOOKUP("Germany",T,lang,FALSE)</f>
        <v>Tyskland</v>
      </c>
      <c r="AF32" s="123">
        <f>COUNTIF($S$7:$T$78,"=" &amp; AE32 &amp; "_win")</f>
        <v>0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0</v>
      </c>
      <c r="AJ32" s="123">
        <f>SUMIF($E$7:$E$78,$AE32,$G$7:$G$78) + SUMIF($H$7:$H$78,$AE32,$F$7:$F$78)</f>
        <v>0</v>
      </c>
      <c r="AL32" s="123">
        <f>AI32-AJ32</f>
        <v>0</v>
      </c>
      <c r="AM32" s="123">
        <f>AL32-AL36</f>
        <v>0</v>
      </c>
      <c r="AN32" s="123">
        <f>AF32*3+AG32</f>
        <v>0</v>
      </c>
      <c r="AO32" s="123">
        <f>AN32/AN36*10+BA32</f>
        <v>0</v>
      </c>
      <c r="AP32" s="123">
        <f>AO32*10000000+BI32*100+AM32/AM36*10+AI32/AI36*1++IF(AQ32=0,ROW(),AQ32)/2000000</f>
        <v>8.6518499999999998E-4</v>
      </c>
      <c r="AQ32" s="126">
        <f>VLOOKUP(AE32,db_fifarank,2,FALSE)</f>
        <v>1730.37</v>
      </c>
      <c r="AR32" s="125">
        <f>AP32/AP36</f>
        <v>8.6443710198591821E-4</v>
      </c>
      <c r="AS32" s="125" t="str">
        <f>IF(SUM(AF32:AH35)=12,J33,"1E")</f>
        <v>1E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203">
        <v>98</v>
      </c>
      <c r="BZ32" s="24" t="str">
        <f>IF(BW28&gt;BW29,BS28,IF(BW28&lt;BW29,BS29,""))</f>
        <v>1H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Tors</v>
      </c>
      <c r="C33" s="18" t="str" cm="1">
        <f t="array" ref="C33">INDEX(T,24+MONTH(R33),lang) &amp; " " &amp; DAY(R33) &amp; ", " &amp; YEAR(R33)</f>
        <v>Jun 18, 2026</v>
      </c>
      <c r="D33" s="120">
        <f t="shared" si="6"/>
        <v>0.91666666666666663</v>
      </c>
      <c r="E33" s="78" t="str">
        <f>AE14</f>
        <v>Canada</v>
      </c>
      <c r="F33" s="19"/>
      <c r="G33" s="20"/>
      <c r="H33" s="80" t="str">
        <f>AE16</f>
        <v>Qatar</v>
      </c>
      <c r="J33" s="30" t="str">
        <f>VLOOKUP(1,AD32:AN35,2,FALSE)</f>
        <v>Tyskland</v>
      </c>
      <c r="K33" s="31">
        <f>L33+M33+N33</f>
        <v>0</v>
      </c>
      <c r="L33" s="31">
        <f>VLOOKUP(1,AD32:AN35,3,FALSE)</f>
        <v>0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0 - 0</v>
      </c>
      <c r="P33" s="32">
        <f>L33*3+M33</f>
        <v>0</v>
      </c>
      <c r="R33" s="123">
        <f>DATE(2026,6,18)+TIME(11,0,0)+gmt_delta</f>
        <v>46191.916666666672</v>
      </c>
      <c r="S33" s="127" t="str">
        <f t="shared" si="0"/>
        <v/>
      </c>
      <c r="T33" s="127" t="str">
        <f t="shared" si="1"/>
        <v/>
      </c>
      <c r="U33" s="123">
        <f t="shared" si="7"/>
        <v>0</v>
      </c>
      <c r="V33" s="123">
        <f t="shared" si="2"/>
        <v>0</v>
      </c>
      <c r="W33" s="123">
        <f t="shared" si="3"/>
        <v>0</v>
      </c>
      <c r="X33" s="123">
        <f t="shared" si="8"/>
        <v>0</v>
      </c>
      <c r="Y33" s="123">
        <f t="shared" si="9"/>
        <v>0</v>
      </c>
      <c r="Z33" s="123">
        <f t="shared" si="10"/>
        <v>0</v>
      </c>
      <c r="AA33" s="123">
        <f t="shared" si="4"/>
        <v>0</v>
      </c>
      <c r="AB33" s="123" t="str">
        <f t="shared" si="5"/>
        <v/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0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0</v>
      </c>
      <c r="AL33" s="123">
        <f>AI33-AJ33</f>
        <v>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6.4676542825295696E-4</v>
      </c>
      <c r="AS33" s="125" t="str">
        <f>IF(SUM(AF32:AH35)=12,J34,"2E")</f>
        <v>2E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204"/>
      <c r="BZ33" s="26" t="str">
        <f>IF(BW36&gt;BW37,BS36,IF(BW36&lt;BW37,BS37,""))</f>
        <v>1D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205" t="str" cm="1">
        <f t="array" ref="CM33">INDEX(T,8,lang)</f>
        <v>Finale</v>
      </c>
      <c r="CN33" s="206"/>
      <c r="CO33" s="206"/>
      <c r="CP33" s="206"/>
      <c r="CQ33" s="207"/>
    </row>
    <row r="34" spans="1:96" x14ac:dyDescent="0.25">
      <c r="A34" s="16">
        <v>28</v>
      </c>
      <c r="B34" s="17" t="str" cm="1">
        <f t="array" ref="B34">INDEX(T,18+INT(MOD(R34-1,7)),lang)</f>
        <v>Fre</v>
      </c>
      <c r="C34" s="18" t="str" cm="1">
        <f t="array" ref="C34">INDEX(T,24+MONTH(R34),lang) &amp; " " &amp; DAY(R34) &amp; ", " &amp; YEAR(R34)</f>
        <v>Jun 19, 2026</v>
      </c>
      <c r="D34" s="120">
        <f t="shared" si="6"/>
        <v>4.1666666666666664E-2</v>
      </c>
      <c r="E34" s="78" t="str">
        <f>AE8</f>
        <v>Mexico</v>
      </c>
      <c r="F34" s="19"/>
      <c r="G34" s="20"/>
      <c r="H34" s="80" t="str">
        <f>AE10</f>
        <v>Sør-Korea</v>
      </c>
      <c r="J34" s="33" t="str">
        <f>VLOOKUP(2,AD32:AN35,2,FALSE)</f>
        <v>Ecuador</v>
      </c>
      <c r="K34" s="23">
        <f>L34+M34+N34</f>
        <v>0</v>
      </c>
      <c r="L34" s="23">
        <f>VLOOKUP(2,AD32:AN35,3,FALSE)</f>
        <v>0</v>
      </c>
      <c r="M34" s="23">
        <f>VLOOKUP(2,AD32:AN35,4,FALSE)</f>
        <v>0</v>
      </c>
      <c r="N34" s="23">
        <f>VLOOKUP(2,AD32:AN35,5,FALSE)</f>
        <v>0</v>
      </c>
      <c r="O34" s="23" t="str">
        <f>VLOOKUP(2,AD32:AN35,6,FALSE) &amp; " - " &amp; VLOOKUP(2,AD32:AN35,7,FALSE)</f>
        <v>0 - 0</v>
      </c>
      <c r="P34" s="34">
        <f>L34*3+M34</f>
        <v>0</v>
      </c>
      <c r="R34" s="123">
        <f>DATE(2026,6,18)+TIME(14,0,0)+gmt_delta</f>
        <v>46192.041666666672</v>
      </c>
      <c r="S34" s="127" t="str">
        <f t="shared" si="0"/>
        <v/>
      </c>
      <c r="T34" s="127" t="str">
        <f t="shared" si="1"/>
        <v/>
      </c>
      <c r="U34" s="123">
        <f t="shared" si="7"/>
        <v>0</v>
      </c>
      <c r="V34" s="123">
        <f t="shared" si="2"/>
        <v>0</v>
      </c>
      <c r="W34" s="123">
        <f t="shared" si="3"/>
        <v>0</v>
      </c>
      <c r="X34" s="123">
        <f t="shared" si="8"/>
        <v>0</v>
      </c>
      <c r="Y34" s="123">
        <f t="shared" si="9"/>
        <v>0</v>
      </c>
      <c r="Z34" s="123">
        <f t="shared" si="10"/>
        <v>0</v>
      </c>
      <c r="AA34" s="123">
        <f t="shared" si="4"/>
        <v>0</v>
      </c>
      <c r="AB34" s="123" t="str">
        <f t="shared" si="5"/>
        <v/>
      </c>
      <c r="AD34" s="123">
        <f>COUNTIF(AR32:AR35,CONCATENATE("&gt;=",AR34))</f>
        <v>3</v>
      </c>
      <c r="AE34" s="124" t="str">
        <f>VLOOKUP("Ivory Coast",T,lang,FALSE)</f>
        <v>Elfenbenskysten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0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0</v>
      </c>
      <c r="AL34" s="123">
        <f>AI34-AJ34</f>
        <v>0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7.6648999999999999E-4</v>
      </c>
      <c r="AQ34" s="126">
        <f>VLOOKUP(AE34,db_fifarank,2,FALSE)</f>
        <v>1532.98</v>
      </c>
      <c r="AR34" s="125">
        <f>AP34/AP36</f>
        <v>7.6582741760569868E-4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203">
        <v>81</v>
      </c>
      <c r="BL34" s="24" t="str">
        <f>AS26</f>
        <v>1D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208"/>
      <c r="CN34" s="209"/>
      <c r="CO34" s="209"/>
      <c r="CP34" s="209"/>
      <c r="CQ34" s="210"/>
    </row>
    <row r="35" spans="1:96" x14ac:dyDescent="0.25">
      <c r="A35" s="16">
        <v>29</v>
      </c>
      <c r="B35" s="17" t="str" cm="1">
        <f t="array" ref="B35">INDEX(T,18+INT(MOD(R35-1,7)),lang)</f>
        <v>Lør</v>
      </c>
      <c r="C35" s="18" t="str" cm="1">
        <f t="array" ref="C35">INDEX(T,24+MONTH(R35),lang) &amp; " " &amp; DAY(R35) &amp; ", " &amp; YEAR(R35)</f>
        <v>Jun 20, 2026</v>
      </c>
      <c r="D35" s="120">
        <f t="shared" si="6"/>
        <v>2.0833333333333332E-2</v>
      </c>
      <c r="E35" s="78" t="str">
        <f>AE20</f>
        <v>Brasil</v>
      </c>
      <c r="F35" s="19"/>
      <c r="G35" s="20"/>
      <c r="H35" s="80" t="str">
        <f>AE22</f>
        <v>Haiti</v>
      </c>
      <c r="J35" s="33" t="str">
        <f>VLOOKUP(3,AD32:AN35,2,FALSE)</f>
        <v>Elfenbenskysten</v>
      </c>
      <c r="K35" s="23">
        <f>L35+M35+N35</f>
        <v>0</v>
      </c>
      <c r="L35" s="23">
        <f>VLOOKUP(3,AD32:AN35,3,FALSE)</f>
        <v>0</v>
      </c>
      <c r="M35" s="23">
        <f>VLOOKUP(3,AD32:AN35,4,FALSE)</f>
        <v>0</v>
      </c>
      <c r="N35" s="23">
        <f>VLOOKUP(3,AD32:AN35,5,FALSE)</f>
        <v>0</v>
      </c>
      <c r="O35" s="23" t="str">
        <f>VLOOKUP(3,AD32:AN35,6,FALSE) &amp; " - " &amp; VLOOKUP(3,AD32:AN35,7,FALSE)</f>
        <v>0 - 0</v>
      </c>
      <c r="P35" s="34">
        <f>L35*3+M35</f>
        <v>0</v>
      </c>
      <c r="R35" s="123">
        <f>DATE(2026,6,19)+TIME(13,30,0)+gmt_delta</f>
        <v>46193.020833333336</v>
      </c>
      <c r="S35" s="127" t="str">
        <f t="shared" si="0"/>
        <v/>
      </c>
      <c r="T35" s="127" t="str">
        <f t="shared" si="1"/>
        <v/>
      </c>
      <c r="U35" s="123">
        <f t="shared" si="7"/>
        <v>0</v>
      </c>
      <c r="V35" s="123">
        <f t="shared" si="2"/>
        <v>0</v>
      </c>
      <c r="W35" s="123">
        <f t="shared" si="3"/>
        <v>0</v>
      </c>
      <c r="X35" s="123">
        <f t="shared" si="8"/>
        <v>0</v>
      </c>
      <c r="Y35" s="123">
        <f t="shared" si="9"/>
        <v>0</v>
      </c>
      <c r="Z35" s="123">
        <f t="shared" si="10"/>
        <v>0</v>
      </c>
      <c r="AA35" s="123">
        <f t="shared" si="4"/>
        <v>0</v>
      </c>
      <c r="AB35" s="123" t="str">
        <f t="shared" si="5"/>
        <v/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0</v>
      </c>
      <c r="AH35" s="123">
        <f>COUNTIF($S$7:$T$78,"=" &amp; AE35 &amp; "_lose")</f>
        <v>0</v>
      </c>
      <c r="AI35" s="123">
        <f>SUMIF($E$7:$E$78,$AE35,$F$7:$F$78) + SUMIF($H$7:$H$78,$AE35,$G$7:$G$78)</f>
        <v>0</v>
      </c>
      <c r="AJ35" s="123">
        <f>SUMIF($E$7:$E$78,$AE35,$G$7:$G$78) + SUMIF($H$7:$H$78,$AE35,$F$7:$F$78)</f>
        <v>0</v>
      </c>
      <c r="AL35" s="123">
        <f>AI35-AJ35</f>
        <v>0</v>
      </c>
      <c r="AM35" s="123">
        <f>AL35-AL36</f>
        <v>0</v>
      </c>
      <c r="AN35" s="123">
        <f>AF35*3+AG35</f>
        <v>0</v>
      </c>
      <c r="AO35" s="123">
        <f>AN35/AN36*10+BA35</f>
        <v>0</v>
      </c>
      <c r="AP35" s="123">
        <f>AO35*10000000+BI35*100+AM35/AM36*10+AI35/AI36*1++IF(AQ35=0,ROW(),AQ35)/2000000</f>
        <v>7.9739000000000003E-4</v>
      </c>
      <c r="AQ35" s="126">
        <f>VLOOKUP(AE35,db_fifarank,2,FALSE)</f>
        <v>1594.78</v>
      </c>
      <c r="AR35" s="125">
        <f>AP35/AP36</f>
        <v>7.9670070649924736E-4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204"/>
      <c r="BL35" s="26" t="str">
        <f>IF(group_round_completed,VLOOKUP('3rd places'!F3,AK80:AS91,9,FALSE),"3rd Group B/E/F/I/J")</f>
        <v>3rd Group B/E/F/I/J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Fre</v>
      </c>
      <c r="C36" s="18" t="str" cm="1">
        <f t="array" ref="C36">INDEX(T,24+MONTH(R36),lang) &amp; " " &amp; DAY(R36) &amp; ", " &amp; YEAR(R36)</f>
        <v>Jun 19, 2026</v>
      </c>
      <c r="D36" s="120">
        <f t="shared" si="6"/>
        <v>0.91666666666666663</v>
      </c>
      <c r="E36" s="78" t="str">
        <f>AE23</f>
        <v>Skottland</v>
      </c>
      <c r="F36" s="19"/>
      <c r="G36" s="20"/>
      <c r="H36" s="80" t="str">
        <f>AE21</f>
        <v>Marokko</v>
      </c>
      <c r="J36" s="35" t="str">
        <f>VLOOKUP(4,AD32:AN35,2,FALSE)</f>
        <v>Curaçao</v>
      </c>
      <c r="K36" s="36">
        <f>L36+M36+N36</f>
        <v>0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0</v>
      </c>
      <c r="O36" s="36" t="str">
        <f>VLOOKUP(4,AD32:AN35,6,FALSE) &amp; " - " &amp; VLOOKUP(4,AD32:AN35,7,FALSE)</f>
        <v>0 - 0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0"/>
        <v/>
      </c>
      <c r="T36" s="127" t="str">
        <f t="shared" si="1"/>
        <v/>
      </c>
      <c r="U36" s="123">
        <f t="shared" si="7"/>
        <v>0</v>
      </c>
      <c r="V36" s="123">
        <f t="shared" si="2"/>
        <v>0</v>
      </c>
      <c r="W36" s="123">
        <f t="shared" si="3"/>
        <v>0</v>
      </c>
      <c r="X36" s="123">
        <f t="shared" si="8"/>
        <v>0</v>
      </c>
      <c r="Y36" s="123">
        <f t="shared" si="9"/>
        <v>0</v>
      </c>
      <c r="Z36" s="123">
        <f t="shared" si="10"/>
        <v>0</v>
      </c>
      <c r="AA36" s="123">
        <f t="shared" si="4"/>
        <v>0</v>
      </c>
      <c r="AB36" s="123" t="str">
        <f t="shared" si="5"/>
        <v/>
      </c>
      <c r="AF36" s="123">
        <f>MAX(AF32:AF35)-MIN(AF32:AF35)+1</f>
        <v>1</v>
      </c>
      <c r="AG36" s="123">
        <f>MAX(AG32:AG35)-MIN(AG32:AG35)+1</f>
        <v>1</v>
      </c>
      <c r="AH36" s="123">
        <f>MAX(AH32:AH35)-MIN(AH32:AH35)+1</f>
        <v>1</v>
      </c>
      <c r="AI36" s="123">
        <f>MAX(AI32:AI35)+1</f>
        <v>1</v>
      </c>
      <c r="AL36" s="123">
        <f>MIN(AL32:AL35)</f>
        <v>0</v>
      </c>
      <c r="AM36" s="123">
        <f>MAX(AM32:AM35)+1</f>
        <v>1</v>
      </c>
      <c r="AN36" s="123">
        <f>MAX(AN32:AN35)+1</f>
        <v>1</v>
      </c>
      <c r="AO36" s="123">
        <f>MAX(AO32:AO35)+1</f>
        <v>1</v>
      </c>
      <c r="AP36" s="123">
        <f>MAX(AP32:AP35)+1</f>
        <v>1.0008651850000001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203">
        <v>94</v>
      </c>
      <c r="BS36" s="24" t="str">
        <f>IF(BP34&gt;BP35,BL34,IF(BP34&lt;BP35,BL35,""))</f>
        <v>1D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Lør</v>
      </c>
      <c r="C37" s="18" t="str" cm="1">
        <f t="array" ref="C37">INDEX(T,24+MONTH(R37),lang) &amp; " " &amp; DAY(R37) &amp; ", " &amp; YEAR(R37)</f>
        <v>Jun 20, 2026</v>
      </c>
      <c r="D37" s="120">
        <f t="shared" si="6"/>
        <v>0.125</v>
      </c>
      <c r="E37" s="78" t="str">
        <f>AE26</f>
        <v>USA</v>
      </c>
      <c r="F37" s="19"/>
      <c r="G37" s="20"/>
      <c r="H37" s="80" t="str">
        <f>AE28</f>
        <v>Australia</v>
      </c>
      <c r="R37" s="123">
        <f>DATE(2026,6,19)+TIME(16,0,0)+gmt_delta</f>
        <v>46193.125</v>
      </c>
      <c r="S37" s="127" t="str">
        <f t="shared" si="0"/>
        <v/>
      </c>
      <c r="T37" s="127" t="str">
        <f t="shared" si="1"/>
        <v/>
      </c>
      <c r="U37" s="123">
        <f t="shared" si="7"/>
        <v>0</v>
      </c>
      <c r="V37" s="123">
        <f t="shared" si="2"/>
        <v>0</v>
      </c>
      <c r="W37" s="123">
        <f t="shared" si="3"/>
        <v>0</v>
      </c>
      <c r="X37" s="123">
        <f t="shared" si="8"/>
        <v>0</v>
      </c>
      <c r="Y37" s="123">
        <f t="shared" si="9"/>
        <v>0</v>
      </c>
      <c r="Z37" s="123">
        <f t="shared" si="10"/>
        <v>0</v>
      </c>
      <c r="AA37" s="123">
        <f t="shared" si="4"/>
        <v>0</v>
      </c>
      <c r="AB37" s="123" t="str">
        <f t="shared" si="5"/>
        <v/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204"/>
      <c r="BS37" s="26" t="str">
        <f>IF(BP38&gt;BP39,BL38,IF(BP38&lt;BP39,BL39,""))</f>
        <v>1G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203">
        <v>104</v>
      </c>
      <c r="CN37" s="24" t="str">
        <f>IF(CK23&gt;CK24,CG23,IF(CK23&lt;CK24,CG24,""))</f>
        <v>1I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25">
      <c r="A38" s="16">
        <v>32</v>
      </c>
      <c r="B38" s="17" t="str" cm="1">
        <f t="array" ref="B38">INDEX(T,18+INT(MOD(R38-1,7)),lang)</f>
        <v>Fre</v>
      </c>
      <c r="C38" s="18" t="str" cm="1">
        <f t="array" ref="C38">INDEX(T,24+MONTH(R38),lang) &amp; " " &amp; DAY(R38) &amp; ", " &amp; YEAR(R38)</f>
        <v>Jun 19, 2026</v>
      </c>
      <c r="D38" s="120">
        <f t="shared" si="6"/>
        <v>0.79166666666666663</v>
      </c>
      <c r="E38" s="78" t="str">
        <f>AE29</f>
        <v>Tyrkia</v>
      </c>
      <c r="F38" s="19"/>
      <c r="G38" s="20"/>
      <c r="H38" s="80" t="str">
        <f>AE27</f>
        <v>Paraguay</v>
      </c>
      <c r="J38" s="38" t="str" cm="1">
        <f t="array" ref="J38">INDEX(T,9,lang) &amp; " " &amp; "F"</f>
        <v>Gruppe F</v>
      </c>
      <c r="K38" s="94" t="str" cm="1">
        <f t="array" ref="K38">INDEX(T,10,lang)</f>
        <v>S</v>
      </c>
      <c r="L38" s="94" t="str" cm="1">
        <f t="array" ref="L38">INDEX(T,11,lang)</f>
        <v>V</v>
      </c>
      <c r="M38" s="94" t="str" cm="1">
        <f t="array" ref="M38">INDEX(T,12,lang)</f>
        <v>T</v>
      </c>
      <c r="N38" s="94" t="str" cm="1">
        <f t="array" ref="N38">INDEX(T,13,lang)</f>
        <v>U</v>
      </c>
      <c r="O38" s="94" t="str" cm="1">
        <f t="array" ref="O38">INDEX(T,14,lang)</f>
        <v>Mål</v>
      </c>
      <c r="P38" s="95" t="str" cm="1">
        <f t="array" ref="P38">INDEX(T,15,lang)</f>
        <v>P</v>
      </c>
      <c r="R38" s="123">
        <f>DATE(2026,6,19)+TIME(8,0,0)+gmt_delta</f>
        <v>46192.791666666672</v>
      </c>
      <c r="S38" s="127" t="str">
        <f t="shared" si="0"/>
        <v/>
      </c>
      <c r="T38" s="127" t="str">
        <f t="shared" si="1"/>
        <v/>
      </c>
      <c r="U38" s="123">
        <f t="shared" si="7"/>
        <v>0</v>
      </c>
      <c r="V38" s="123">
        <f t="shared" si="2"/>
        <v>0</v>
      </c>
      <c r="W38" s="123">
        <f t="shared" si="3"/>
        <v>0</v>
      </c>
      <c r="X38" s="123">
        <f t="shared" si="8"/>
        <v>0</v>
      </c>
      <c r="Y38" s="123">
        <f t="shared" si="9"/>
        <v>0</v>
      </c>
      <c r="Z38" s="123">
        <f t="shared" si="10"/>
        <v>0</v>
      </c>
      <c r="AA38" s="123">
        <f t="shared" si="4"/>
        <v>0</v>
      </c>
      <c r="AB38" s="123" t="str">
        <f t="shared" si="5"/>
        <v/>
      </c>
      <c r="AD38" s="123">
        <f>COUNTIF(AR38:AR41,CONCATENATE("&gt;=",AR38))</f>
        <v>1</v>
      </c>
      <c r="AE38" s="124" t="str">
        <f>VLOOKUP("Netherlands",T,lang,FALSE)</f>
        <v>Nederland</v>
      </c>
      <c r="AF38" s="123">
        <f>COUNTIF($S$7:$T$78,"=" &amp; AE38 &amp; "_win")</f>
        <v>0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0</v>
      </c>
      <c r="AJ38" s="123">
        <f>SUMIF($E$7:$E$78,$AE38,$G$7:$G$78) + SUMIF($H$7:$H$78,$AE38,$F$7:$F$78)</f>
        <v>0</v>
      </c>
      <c r="AL38" s="123">
        <f>AI38-AJ38</f>
        <v>0</v>
      </c>
      <c r="AM38" s="123">
        <f>AL38-AL42</f>
        <v>0</v>
      </c>
      <c r="AN38" s="123">
        <f>AF38*3+AG38</f>
        <v>0</v>
      </c>
      <c r="AO38" s="123">
        <f>AN38/AN42*10+BA38</f>
        <v>0</v>
      </c>
      <c r="AP38" s="123">
        <f>AO38*10000000+BI38*100+AM38/AM42*10+AI38/AI42*1++IF(AQ38=0,ROW(),AQ38)/2000000</f>
        <v>8.7893499999999996E-4</v>
      </c>
      <c r="AQ38" s="126">
        <f>VLOOKUP(AE38,db_fifarank,2,FALSE)</f>
        <v>1757.87</v>
      </c>
      <c r="AR38" s="125">
        <f>AP38/AP42</f>
        <v>8.7816315167028663E-4</v>
      </c>
      <c r="AS38" s="125" t="str">
        <f>IF(SUM(AF38:AH41)=12,J39,"1F")</f>
        <v>1F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203">
        <v>82</v>
      </c>
      <c r="BL38" s="24" t="str">
        <f>AS44</f>
        <v>1G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204"/>
      <c r="CN38" s="26" t="str">
        <f>IF(CK55&gt;CK56,CG55,IF(CK55&lt;CK56,CG56,""))</f>
        <v>1L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Lør</v>
      </c>
      <c r="C39" s="18" t="str" cm="1">
        <f t="array" ref="C39">INDEX(T,24+MONTH(R39),lang) &amp; " " &amp; DAY(R39) &amp; ", " &amp; YEAR(R39)</f>
        <v>Jun 20, 2026</v>
      </c>
      <c r="D39" s="120">
        <f t="shared" si="6"/>
        <v>0.83333333333333337</v>
      </c>
      <c r="E39" s="78" t="str">
        <f>AE32</f>
        <v>Tyskland</v>
      </c>
      <c r="F39" s="19"/>
      <c r="G39" s="20"/>
      <c r="H39" s="80" t="str">
        <f>AE34</f>
        <v>Elfenbenskysten</v>
      </c>
      <c r="J39" s="30" t="str">
        <f>VLOOKUP(1,AD38:AN41,2,FALSE)</f>
        <v>Nederland</v>
      </c>
      <c r="K39" s="31">
        <f>L39+M39+N39</f>
        <v>0</v>
      </c>
      <c r="L39" s="31">
        <f>VLOOKUP(1,AD38:AN41,3,FALSE)</f>
        <v>0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0 - 0</v>
      </c>
      <c r="P39" s="32">
        <f>L39*3+M39</f>
        <v>0</v>
      </c>
      <c r="R39" s="123">
        <f>DATE(2026,6,20)+TIME(9,0,0)+gmt_delta</f>
        <v>46193.833333333336</v>
      </c>
      <c r="S39" s="127" t="str">
        <f t="shared" si="0"/>
        <v/>
      </c>
      <c r="T39" s="127" t="str">
        <f t="shared" si="1"/>
        <v/>
      </c>
      <c r="U39" s="123">
        <f t="shared" si="7"/>
        <v>0</v>
      </c>
      <c r="V39" s="123">
        <f t="shared" si="2"/>
        <v>0</v>
      </c>
      <c r="W39" s="123">
        <f t="shared" si="3"/>
        <v>0</v>
      </c>
      <c r="X39" s="123">
        <f t="shared" si="8"/>
        <v>0</v>
      </c>
      <c r="Y39" s="123">
        <f t="shared" si="9"/>
        <v>0</v>
      </c>
      <c r="Z39" s="123">
        <f t="shared" si="10"/>
        <v>0</v>
      </c>
      <c r="AA39" s="123">
        <f t="shared" ref="AA39:AA70" si="11">IF(OR(E39=my_team,H39=my_team),1,IF(INT(MATCH(E39,$AE$8:$AE$78,0)/6)=$AA$6,1,0))</f>
        <v>0</v>
      </c>
      <c r="AB39" s="123" t="str">
        <f t="shared" si="5"/>
        <v/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0</v>
      </c>
      <c r="AJ39" s="123">
        <f>SUMIF($E$7:$E$78,$AE39,$G$7:$G$78) + SUMIF($H$7:$H$78,$AE39,$F$7:$F$78)</f>
        <v>0</v>
      </c>
      <c r="AL39" s="123">
        <f>AI39-AJ39</f>
        <v>0</v>
      </c>
      <c r="AM39" s="123">
        <f>AL39-AL42</f>
        <v>0</v>
      </c>
      <c r="AN39" s="123">
        <f>AF39*3+AG39</f>
        <v>0</v>
      </c>
      <c r="AO39" s="123">
        <f>AN39/AN42*10+BA39</f>
        <v>0</v>
      </c>
      <c r="AP39" s="123">
        <f>AO39*10000000+BI39*100+AM39/AM42*10+AI39/AI42*1++IF(AQ39=0,ROW(),AQ39)/2000000</f>
        <v>8.3021500000000003E-4</v>
      </c>
      <c r="AQ39" s="126">
        <f>VLOOKUP(AE39,db_fifarank,2,FALSE)</f>
        <v>1660.43</v>
      </c>
      <c r="AR39" s="125">
        <f>AP39/AP42</f>
        <v>8.2948593577903611E-4</v>
      </c>
      <c r="AS39" s="125" t="str">
        <f>IF(SUM(AF38:AH41)=12,J40,"2F")</f>
        <v>2F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204"/>
      <c r="BL39" s="26" t="str">
        <f>IF(group_round_completed,VLOOKUP('3rd places'!H3,AK80:AS91,9,FALSE),"3rd Group A/E/H/I/J")</f>
        <v>3rd Group A/E/H/I/J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Søn</v>
      </c>
      <c r="C40" s="18" t="str" cm="1">
        <f t="array" ref="C40">INDEX(T,24+MONTH(R40),lang) &amp; " " &amp; DAY(R40) &amp; ", " &amp; YEAR(R40)</f>
        <v>Jun 21, 2026</v>
      </c>
      <c r="D40" s="120">
        <f t="shared" si="6"/>
        <v>0</v>
      </c>
      <c r="E40" s="78" t="str">
        <f>AE35</f>
        <v>Ecuador</v>
      </c>
      <c r="F40" s="19"/>
      <c r="G40" s="20"/>
      <c r="H40" s="80" t="str">
        <f>AE33</f>
        <v>Curaçao</v>
      </c>
      <c r="J40" s="33" t="str">
        <f>VLOOKUP(2,AD38:AN41,2,FALSE)</f>
        <v>Japan</v>
      </c>
      <c r="K40" s="23">
        <f>L40+M40+N40</f>
        <v>0</v>
      </c>
      <c r="L40" s="23">
        <f>VLOOKUP(2,AD38:AN41,3,FALSE)</f>
        <v>0</v>
      </c>
      <c r="M40" s="23">
        <f>VLOOKUP(2,AD38:AN41,4,FALSE)</f>
        <v>0</v>
      </c>
      <c r="N40" s="23">
        <f>VLOOKUP(2,AD38:AN41,5,FALSE)</f>
        <v>0</v>
      </c>
      <c r="O40" s="23" t="str">
        <f>VLOOKUP(2,AD38:AN41,6,FALSE) &amp; " - " &amp; VLOOKUP(2,AD38:AN41,7,FALSE)</f>
        <v>0 - 0</v>
      </c>
      <c r="P40" s="34">
        <f>L40*3+M40</f>
        <v>0</v>
      </c>
      <c r="R40" s="123">
        <f>DATE(2026,6,20)+TIME(13,0,0)+gmt_delta</f>
        <v>46194</v>
      </c>
      <c r="S40" s="127" t="str">
        <f t="shared" si="0"/>
        <v/>
      </c>
      <c r="T40" s="127" t="str">
        <f t="shared" si="1"/>
        <v/>
      </c>
      <c r="U40" s="123">
        <f t="shared" si="7"/>
        <v>0</v>
      </c>
      <c r="V40" s="123">
        <f t="shared" si="2"/>
        <v>0</v>
      </c>
      <c r="W40" s="123">
        <f t="shared" si="3"/>
        <v>0</v>
      </c>
      <c r="X40" s="123">
        <f t="shared" si="8"/>
        <v>0</v>
      </c>
      <c r="Y40" s="123">
        <f t="shared" si="9"/>
        <v>0</v>
      </c>
      <c r="Z40" s="123">
        <f t="shared" si="10"/>
        <v>0</v>
      </c>
      <c r="AA40" s="123">
        <f t="shared" si="11"/>
        <v>0</v>
      </c>
      <c r="AB40" s="123" t="str">
        <f t="shared" si="5"/>
        <v/>
      </c>
      <c r="AD40" s="123">
        <f>COUNTIF(AR38:AR41,CONCATENATE("&gt;=",AR40))</f>
        <v>3</v>
      </c>
      <c r="AE40" s="124" t="str">
        <f>VLOOKUP("Sweden",T,lang,FALSE)</f>
        <v>Sverige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0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0</v>
      </c>
      <c r="AL40" s="123">
        <f>AI40-AJ40</f>
        <v>0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7.5738499999999996E-4</v>
      </c>
      <c r="AQ40" s="126">
        <f>VLOOKUP(AE40,db_fifarank,2,FALSE)</f>
        <v>1514.77</v>
      </c>
      <c r="AR40" s="125">
        <f>AP40/AP42</f>
        <v>7.5671989240137219E-4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Lør</v>
      </c>
      <c r="C41" s="18" t="str" cm="1">
        <f t="array" ref="C41">INDEX(T,24+MONTH(R41),lang) &amp; " " &amp; DAY(R41) &amp; ", " &amp; YEAR(R41)</f>
        <v>Jun 20, 2026</v>
      </c>
      <c r="D41" s="120">
        <f t="shared" si="6"/>
        <v>0.70833333333333337</v>
      </c>
      <c r="E41" s="78" t="str">
        <f>AE38</f>
        <v>Nederland</v>
      </c>
      <c r="F41" s="19"/>
      <c r="G41" s="20"/>
      <c r="H41" s="80" t="str">
        <f>AE40</f>
        <v>Sverige</v>
      </c>
      <c r="J41" s="33" t="str">
        <f>VLOOKUP(3,AD38:AN41,2,FALSE)</f>
        <v>Sverige</v>
      </c>
      <c r="K41" s="23">
        <f>L41+M41+N41</f>
        <v>0</v>
      </c>
      <c r="L41" s="23">
        <f>VLOOKUP(3,AD38:AN41,3,FALSE)</f>
        <v>0</v>
      </c>
      <c r="M41" s="23">
        <f>VLOOKUP(3,AD38:AN41,4,FALSE)</f>
        <v>0</v>
      </c>
      <c r="N41" s="23">
        <f>VLOOKUP(3,AD38:AN41,5,FALSE)</f>
        <v>0</v>
      </c>
      <c r="O41" s="23" t="str">
        <f>VLOOKUP(3,AD38:AN41,6,FALSE) &amp; " - " &amp; VLOOKUP(3,AD38:AN41,7,FALSE)</f>
        <v>0 - 0</v>
      </c>
      <c r="P41" s="34">
        <f>L41*3+M41</f>
        <v>0</v>
      </c>
      <c r="R41" s="123">
        <f>DATE(2026,6,20)+TIME(6,0,0)+gmt_delta</f>
        <v>46193.708333333336</v>
      </c>
      <c r="S41" s="127" t="str">
        <f t="shared" si="0"/>
        <v/>
      </c>
      <c r="T41" s="127" t="str">
        <f t="shared" si="1"/>
        <v/>
      </c>
      <c r="U41" s="123">
        <f t="shared" si="7"/>
        <v>0</v>
      </c>
      <c r="V41" s="123">
        <f t="shared" si="2"/>
        <v>0</v>
      </c>
      <c r="W41" s="123">
        <f t="shared" si="3"/>
        <v>0</v>
      </c>
      <c r="X41" s="123">
        <f t="shared" si="8"/>
        <v>0</v>
      </c>
      <c r="Y41" s="123">
        <f t="shared" si="9"/>
        <v>0</v>
      </c>
      <c r="Z41" s="123">
        <f t="shared" si="10"/>
        <v>0</v>
      </c>
      <c r="AA41" s="123">
        <f t="shared" si="11"/>
        <v>0</v>
      </c>
      <c r="AB41" s="123" t="str">
        <f t="shared" si="5"/>
        <v/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0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0</v>
      </c>
      <c r="AL41" s="123">
        <f>AI41-AJ41</f>
        <v>0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7.4087382006895759E-4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Søn</v>
      </c>
      <c r="C42" s="18" t="str" cm="1">
        <f t="array" ref="C42">INDEX(T,24+MONTH(R42),lang) &amp; " " &amp; DAY(R42) &amp; ", " &amp; YEAR(R42)</f>
        <v>Jun 21, 2026</v>
      </c>
      <c r="D42" s="120">
        <f t="shared" si="6"/>
        <v>0.16666666666666666</v>
      </c>
      <c r="E42" s="78" t="str">
        <f>AE41</f>
        <v>Tunisia</v>
      </c>
      <c r="F42" s="19"/>
      <c r="G42" s="20"/>
      <c r="H42" s="80" t="str">
        <f>AE39</f>
        <v>Japan</v>
      </c>
      <c r="J42" s="35" t="str">
        <f>VLOOKUP(4,AD38:AN41,2,FALSE)</f>
        <v>Tunisia</v>
      </c>
      <c r="K42" s="36">
        <f>L42+M42+N42</f>
        <v>0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0</v>
      </c>
      <c r="O42" s="36" t="str">
        <f>VLOOKUP(4,AD38:AN41,6,FALSE) &amp; " - " &amp; VLOOKUP(4,AD38:AN41,7,FALSE)</f>
        <v>0 - 0</v>
      </c>
      <c r="P42" s="37">
        <f>L42*3+M42</f>
        <v>0</v>
      </c>
      <c r="R42" s="123">
        <f>DATE(2026,6,20)+TIME(17,0,0)+gmt_delta</f>
        <v>46194.166666666672</v>
      </c>
      <c r="S42" s="127" t="str">
        <f t="shared" si="0"/>
        <v/>
      </c>
      <c r="T42" s="127" t="str">
        <f t="shared" si="1"/>
        <v/>
      </c>
      <c r="U42" s="123">
        <f t="shared" si="7"/>
        <v>0</v>
      </c>
      <c r="V42" s="123">
        <f t="shared" si="2"/>
        <v>0</v>
      </c>
      <c r="W42" s="123">
        <f t="shared" si="3"/>
        <v>0</v>
      </c>
      <c r="X42" s="123">
        <f t="shared" si="8"/>
        <v>0</v>
      </c>
      <c r="Y42" s="123">
        <f t="shared" si="9"/>
        <v>0</v>
      </c>
      <c r="Z42" s="123">
        <f t="shared" si="10"/>
        <v>0</v>
      </c>
      <c r="AA42" s="123">
        <f t="shared" si="11"/>
        <v>0</v>
      </c>
      <c r="AB42" s="123" t="str">
        <f t="shared" si="5"/>
        <v/>
      </c>
      <c r="AF42" s="123">
        <f>MAX(AF38:AF41)-MIN(AF38:AF41)+1</f>
        <v>1</v>
      </c>
      <c r="AG42" s="123">
        <f>MAX(AG38:AG41)-MIN(AG38:AG41)+1</f>
        <v>1</v>
      </c>
      <c r="AH42" s="123">
        <f>MAX(AH38:AH41)-MIN(AH38:AH41)+1</f>
        <v>1</v>
      </c>
      <c r="AI42" s="123">
        <f>MAX(AI38:AI41)+1</f>
        <v>1</v>
      </c>
      <c r="AL42" s="123">
        <f>MIN(AL38:AL41)</f>
        <v>0</v>
      </c>
      <c r="AM42" s="123">
        <f>MAX(AM38:AM41)+1</f>
        <v>1</v>
      </c>
      <c r="AN42" s="123">
        <f>MAX(AN38:AN41)+1</f>
        <v>1</v>
      </c>
      <c r="AO42" s="123">
        <f>MAX(AO38:AO41)+1</f>
        <v>1</v>
      </c>
      <c r="AP42" s="123">
        <f>MAX(AP38:AP41)+1</f>
        <v>1.000878935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203">
        <v>76</v>
      </c>
      <c r="BL42" s="24" t="str">
        <f>AS20</f>
        <v>1C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Søn</v>
      </c>
      <c r="C43" s="18" t="str" cm="1">
        <f t="array" ref="C43">INDEX(T,24+MONTH(R43),lang) &amp; " " &amp; DAY(R43) &amp; ", " &amp; YEAR(R43)</f>
        <v>Jun 21, 2026</v>
      </c>
      <c r="D43" s="120">
        <f t="shared" si="6"/>
        <v>0.91666666666666663</v>
      </c>
      <c r="E43" s="78" t="str">
        <f>AE53</f>
        <v>Uruguay</v>
      </c>
      <c r="F43" s="19"/>
      <c r="G43" s="20"/>
      <c r="H43" s="80" t="str">
        <f>AE51</f>
        <v>Kapp Verde</v>
      </c>
      <c r="R43" s="123">
        <f>DATE(2026,6,21)+TIME(11,0,0)+gmt_delta</f>
        <v>46194.916666666672</v>
      </c>
      <c r="S43" s="127" t="str">
        <f t="shared" si="0"/>
        <v/>
      </c>
      <c r="T43" s="127" t="str">
        <f t="shared" si="1"/>
        <v/>
      </c>
      <c r="U43" s="123">
        <f t="shared" si="7"/>
        <v>0</v>
      </c>
      <c r="V43" s="123">
        <f t="shared" si="2"/>
        <v>0</v>
      </c>
      <c r="W43" s="123">
        <f t="shared" si="3"/>
        <v>0</v>
      </c>
      <c r="X43" s="123">
        <f t="shared" si="8"/>
        <v>0</v>
      </c>
      <c r="Y43" s="123">
        <f t="shared" si="9"/>
        <v>0</v>
      </c>
      <c r="Z43" s="123">
        <f t="shared" si="10"/>
        <v>0</v>
      </c>
      <c r="AA43" s="123">
        <f t="shared" si="11"/>
        <v>0</v>
      </c>
      <c r="AB43" s="123" t="str">
        <f t="shared" si="5"/>
        <v/>
      </c>
      <c r="BK43" s="204"/>
      <c r="BL43" s="26" t="str">
        <f>AS39</f>
        <v>2F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Søn</v>
      </c>
      <c r="C44" s="18" t="str" cm="1">
        <f t="array" ref="C44">INDEX(T,24+MONTH(R44),lang) &amp; " " &amp; DAY(R44) &amp; ", " &amp; YEAR(R44)</f>
        <v>Jun 21, 2026</v>
      </c>
      <c r="D44" s="120">
        <f t="shared" si="6"/>
        <v>0.66666666666666663</v>
      </c>
      <c r="E44" s="78" t="str">
        <f>AE50</f>
        <v>Spania</v>
      </c>
      <c r="F44" s="19"/>
      <c r="G44" s="20"/>
      <c r="H44" s="80" t="str">
        <f>AE52</f>
        <v>Saudi-Arabia</v>
      </c>
      <c r="J44" s="38" t="str" cm="1">
        <f t="array" ref="J44">INDEX(T,9,lang) &amp; " " &amp; "G"</f>
        <v>Gruppe G</v>
      </c>
      <c r="K44" s="94" t="str" cm="1">
        <f t="array" ref="K44">INDEX(T,10,lang)</f>
        <v>S</v>
      </c>
      <c r="L44" s="94" t="str" cm="1">
        <f t="array" ref="L44">INDEX(T,11,lang)</f>
        <v>V</v>
      </c>
      <c r="M44" s="94" t="str" cm="1">
        <f t="array" ref="M44">INDEX(T,12,lang)</f>
        <v>T</v>
      </c>
      <c r="N44" s="94" t="str" cm="1">
        <f t="array" ref="N44">INDEX(T,13,lang)</f>
        <v>U</v>
      </c>
      <c r="O44" s="94" t="str" cm="1">
        <f t="array" ref="O44">INDEX(T,14,lang)</f>
        <v>Mål</v>
      </c>
      <c r="P44" s="95" t="str" cm="1">
        <f t="array" ref="P44">INDEX(T,15,lang)</f>
        <v>P</v>
      </c>
      <c r="R44" s="123">
        <f>DATE(2026,6,21)+TIME(5,0,0)+gmt_delta</f>
        <v>46194.666666666672</v>
      </c>
      <c r="S44" s="127" t="str">
        <f t="shared" si="0"/>
        <v/>
      </c>
      <c r="T44" s="127" t="str">
        <f t="shared" si="1"/>
        <v/>
      </c>
      <c r="U44" s="123">
        <f t="shared" si="7"/>
        <v>0</v>
      </c>
      <c r="V44" s="123">
        <f t="shared" si="2"/>
        <v>0</v>
      </c>
      <c r="W44" s="123">
        <f t="shared" si="3"/>
        <v>0</v>
      </c>
      <c r="X44" s="123">
        <f t="shared" si="8"/>
        <v>0</v>
      </c>
      <c r="Y44" s="123">
        <f t="shared" si="9"/>
        <v>0</v>
      </c>
      <c r="Z44" s="123">
        <f t="shared" si="10"/>
        <v>0</v>
      </c>
      <c r="AA44" s="123">
        <f t="shared" si="11"/>
        <v>0</v>
      </c>
      <c r="AB44" s="123" t="str">
        <f t="shared" si="5"/>
        <v/>
      </c>
      <c r="AD44" s="123">
        <f>COUNTIF(AR44:AR47,CONCATENATE("&gt;=",AR44))</f>
        <v>1</v>
      </c>
      <c r="AE44" s="124" t="str">
        <f>VLOOKUP("Belgium",T,lang,FALSE)</f>
        <v>Belgia</v>
      </c>
      <c r="AF44" s="123">
        <f>COUNTIF($S$7:$T$78,"=" &amp; AE44 &amp; "_win")</f>
        <v>0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0</v>
      </c>
      <c r="AJ44" s="123">
        <f>SUMIF($E$7:$E$78,$AE44,$G$7:$G$78) + SUMIF($H$7:$H$78,$AE44,$F$7:$F$78)</f>
        <v>0</v>
      </c>
      <c r="AL44" s="123">
        <f>AI44-AJ44</f>
        <v>0</v>
      </c>
      <c r="AM44" s="123">
        <f>AL44-AL48</f>
        <v>0</v>
      </c>
      <c r="AN44" s="123">
        <f>AF44*3+AG44</f>
        <v>0</v>
      </c>
      <c r="AO44" s="123">
        <f>AN44/AN48*10+BA44</f>
        <v>0</v>
      </c>
      <c r="AP44" s="123">
        <f>AO44*10000000+BI44*100+AM44/AM48*10+AI44/AI48*1++IF(AQ44=0,ROW(),AQ44)/2000000</f>
        <v>8.6735499999999999E-4</v>
      </c>
      <c r="AQ44" s="126">
        <f>VLOOKUP(AE44,db_fifarank,2,FALSE)</f>
        <v>1734.71</v>
      </c>
      <c r="AR44" s="125">
        <f>AP44/AP48</f>
        <v>8.6660334725374266E-4</v>
      </c>
      <c r="AS44" s="125" t="str">
        <f>IF(SUM(AF44:AH47)=12,J45,"1G")</f>
        <v>1G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203">
        <v>91</v>
      </c>
      <c r="BS44" s="24" t="str">
        <f>IF(BP42&gt;BP43,BL42,IF(BP42&lt;BP43,BL43,""))</f>
        <v>1C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205" t="str" cm="1">
        <f t="array" ref="CM44">INDEX(T,7,lang)</f>
        <v>Bronsefinale</v>
      </c>
      <c r="CN44" s="206"/>
      <c r="CO44" s="206"/>
      <c r="CP44" s="206"/>
      <c r="CQ44" s="207"/>
    </row>
    <row r="45" spans="1:96" ht="15" customHeight="1" x14ac:dyDescent="0.25">
      <c r="A45" s="16">
        <v>39</v>
      </c>
      <c r="B45" s="17" t="str" cm="1">
        <f t="array" ref="B45">INDEX(T,18+INT(MOD(R45-1,7)),lang)</f>
        <v>Søn</v>
      </c>
      <c r="C45" s="18" t="str" cm="1">
        <f t="array" ref="C45">INDEX(T,24+MONTH(R45),lang) &amp; " " &amp; DAY(R45) &amp; ", " &amp; YEAR(R45)</f>
        <v>Jun 21, 2026</v>
      </c>
      <c r="D45" s="120">
        <f t="shared" si="6"/>
        <v>0.79166666666666663</v>
      </c>
      <c r="E45" s="78" t="str">
        <f>AE44</f>
        <v>Belgia</v>
      </c>
      <c r="F45" s="19"/>
      <c r="G45" s="20"/>
      <c r="H45" s="80" t="str">
        <f>AE46</f>
        <v>Iran</v>
      </c>
      <c r="J45" s="30" t="str">
        <f>VLOOKUP(1,AD44:AN47,2,FALSE)</f>
        <v>Belgia</v>
      </c>
      <c r="K45" s="31">
        <f>L45+M45+N45</f>
        <v>0</v>
      </c>
      <c r="L45" s="31">
        <f>VLOOKUP(1,AD44:AN47,3,FALSE)</f>
        <v>0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0 - 0</v>
      </c>
      <c r="P45" s="32">
        <f>L45*3+M45</f>
        <v>0</v>
      </c>
      <c r="R45" s="123">
        <f>DATE(2026,6,21)+TIME(8,0,0)+gmt_delta</f>
        <v>46194.791666666672</v>
      </c>
      <c r="S45" s="127" t="str">
        <f t="shared" si="0"/>
        <v/>
      </c>
      <c r="T45" s="127" t="str">
        <f t="shared" si="1"/>
        <v/>
      </c>
      <c r="U45" s="123">
        <f t="shared" si="7"/>
        <v>0</v>
      </c>
      <c r="V45" s="123">
        <f t="shared" si="2"/>
        <v>0</v>
      </c>
      <c r="W45" s="123">
        <f t="shared" si="3"/>
        <v>0</v>
      </c>
      <c r="X45" s="123">
        <f t="shared" si="8"/>
        <v>0</v>
      </c>
      <c r="Y45" s="123">
        <f t="shared" si="9"/>
        <v>0</v>
      </c>
      <c r="Z45" s="123">
        <f t="shared" si="10"/>
        <v>0</v>
      </c>
      <c r="AA45" s="123">
        <f t="shared" si="11"/>
        <v>0</v>
      </c>
      <c r="AB45" s="123" t="str">
        <f t="shared" si="5"/>
        <v/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0</v>
      </c>
      <c r="AJ45" s="123">
        <f>SUMIF($E$7:$E$78,$AE45,$G$7:$G$78) + SUMIF($H$7:$H$78,$AE45,$F$7:$F$78)</f>
        <v>0</v>
      </c>
      <c r="AL45" s="123">
        <f>AI45-AJ45</f>
        <v>0</v>
      </c>
      <c r="AM45" s="123">
        <f>AL45-AL48</f>
        <v>0</v>
      </c>
      <c r="AN45" s="123">
        <f>AF45*3+AG45</f>
        <v>0</v>
      </c>
      <c r="AO45" s="123">
        <f>AN45/AN48*10+BA45</f>
        <v>0</v>
      </c>
      <c r="AP45" s="123">
        <f>AO45*10000000+BI45*100+AM45/AM48*10+AI45/AI48*1++IF(AQ45=0,ROW(),AQ45)/2000000</f>
        <v>7.8162000000000001E-4</v>
      </c>
      <c r="AQ45" s="126">
        <f>VLOOKUP(AE45,db_fifarank,2,FALSE)</f>
        <v>1563.24</v>
      </c>
      <c r="AR45" s="125">
        <f>AP45/AP48</f>
        <v>7.809426454917195E-4</v>
      </c>
      <c r="AS45" s="125" t="str">
        <f>IF(SUM(AF44:AH47)=12,J46,"2G")</f>
        <v>2G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204"/>
      <c r="BS45" s="26" t="str">
        <f>IF(BP46&gt;BP47,BL46,IF(BP46&lt;BP47,BL47,""))</f>
        <v>2I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208"/>
      <c r="CN45" s="209"/>
      <c r="CO45" s="209"/>
      <c r="CP45" s="209"/>
      <c r="CQ45" s="210"/>
    </row>
    <row r="46" spans="1:96" x14ac:dyDescent="0.25">
      <c r="A46" s="16">
        <v>40</v>
      </c>
      <c r="B46" s="17" t="str" cm="1">
        <f t="array" ref="B46">INDEX(T,18+INT(MOD(R46-1,7)),lang)</f>
        <v>Man</v>
      </c>
      <c r="C46" s="18" t="str" cm="1">
        <f t="array" ref="C46">INDEX(T,24+MONTH(R46),lang) &amp; " " &amp; DAY(R46) &amp; ", " &amp; YEAR(R46)</f>
        <v>Jun 22, 2026</v>
      </c>
      <c r="D46" s="120">
        <f t="shared" si="6"/>
        <v>4.1666666666666664E-2</v>
      </c>
      <c r="E46" s="78" t="str">
        <f>AE47</f>
        <v>New Zealand</v>
      </c>
      <c r="F46" s="19"/>
      <c r="G46" s="20"/>
      <c r="H46" s="80" t="str">
        <f>AE45</f>
        <v>Egypt</v>
      </c>
      <c r="J46" s="33" t="str">
        <f>VLOOKUP(2,AD44:AN47,2,FALSE)</f>
        <v>Iran</v>
      </c>
      <c r="K46" s="23">
        <f>L46+M46+N46</f>
        <v>0</v>
      </c>
      <c r="L46" s="23">
        <f>VLOOKUP(2,AD44:AN47,3,FALSE)</f>
        <v>0</v>
      </c>
      <c r="M46" s="23">
        <f>VLOOKUP(2,AD44:AN47,4,FALSE)</f>
        <v>0</v>
      </c>
      <c r="N46" s="23">
        <f>VLOOKUP(2,AD44:AN47,5,FALSE)</f>
        <v>0</v>
      </c>
      <c r="O46" s="23" t="str">
        <f>VLOOKUP(2,AD44:AN47,6,FALSE) &amp; " - " &amp; VLOOKUP(2,AD44:AN47,7,FALSE)</f>
        <v>0 - 0</v>
      </c>
      <c r="P46" s="34">
        <f>L46*3+M46</f>
        <v>0</v>
      </c>
      <c r="R46" s="123">
        <f>DATE(2026,6,21)+TIME(14,0,0)+gmt_delta</f>
        <v>46195.041666666672</v>
      </c>
      <c r="S46" s="127" t="str">
        <f t="shared" si="0"/>
        <v/>
      </c>
      <c r="T46" s="127" t="str">
        <f t="shared" si="1"/>
        <v/>
      </c>
      <c r="U46" s="123">
        <f t="shared" si="7"/>
        <v>0</v>
      </c>
      <c r="V46" s="123">
        <f t="shared" si="2"/>
        <v>0</v>
      </c>
      <c r="W46" s="123">
        <f t="shared" si="3"/>
        <v>0</v>
      </c>
      <c r="X46" s="123">
        <f t="shared" si="8"/>
        <v>0</v>
      </c>
      <c r="Y46" s="123">
        <f t="shared" si="9"/>
        <v>0</v>
      </c>
      <c r="Z46" s="123">
        <f t="shared" si="10"/>
        <v>0</v>
      </c>
      <c r="AA46" s="123">
        <f t="shared" si="11"/>
        <v>0</v>
      </c>
      <c r="AB46" s="123" t="str">
        <f t="shared" si="5"/>
        <v/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0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0</v>
      </c>
      <c r="AL46" s="123">
        <f>AI46-AJ46</f>
        <v>0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8.0764999999999993E-4</v>
      </c>
      <c r="AQ46" s="126">
        <f>VLOOKUP(AE46,db_fifarank,2,FALSE)</f>
        <v>1615.3</v>
      </c>
      <c r="AR46" s="125">
        <f>AP46/AP48</f>
        <v>8.0695008780659041E-4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203">
        <v>78</v>
      </c>
      <c r="BL46" s="24" t="str">
        <f>AS33</f>
        <v>2E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Tirs</v>
      </c>
      <c r="C47" s="18" t="str" cm="1">
        <f t="array" ref="C47">INDEX(T,24+MONTH(R47),lang) &amp; " " &amp; DAY(R47) &amp; ", " &amp; YEAR(R47)</f>
        <v>Jun 23, 2026</v>
      </c>
      <c r="D47" s="120">
        <f t="shared" si="6"/>
        <v>0</v>
      </c>
      <c r="E47" s="78" t="str">
        <f>AE59</f>
        <v>Norge</v>
      </c>
      <c r="F47" s="19"/>
      <c r="G47" s="20"/>
      <c r="H47" s="80" t="str">
        <f>AE57</f>
        <v>Senegal</v>
      </c>
      <c r="J47" s="33" t="str">
        <f>VLOOKUP(3,AD44:AN47,2,FALSE)</f>
        <v>Egypt</v>
      </c>
      <c r="K47" s="23">
        <f>L47+M47+N47</f>
        <v>0</v>
      </c>
      <c r="L47" s="23">
        <f>VLOOKUP(3,AD44:AN47,3,FALSE)</f>
        <v>0</v>
      </c>
      <c r="M47" s="23">
        <f>VLOOKUP(3,AD44:AN47,4,FALSE)</f>
        <v>0</v>
      </c>
      <c r="N47" s="23">
        <f>VLOOKUP(3,AD44:AN47,5,FALSE)</f>
        <v>0</v>
      </c>
      <c r="O47" s="23" t="str">
        <f>VLOOKUP(3,AD44:AN47,6,FALSE) &amp; " - " &amp; VLOOKUP(3,AD44:AN47,7,FALSE)</f>
        <v>0 - 0</v>
      </c>
      <c r="P47" s="34">
        <f>L47*3+M47</f>
        <v>0</v>
      </c>
      <c r="R47" s="123">
        <f>DATE(2026,6,22)+TIME(13,0,0)+gmt_delta</f>
        <v>46196</v>
      </c>
      <c r="S47" s="127" t="str">
        <f t="shared" ref="S47:S78" si="12">IF(OR(F47="",G47=""),"",IF(F47&gt;G47,E47&amp;"_win",IF(F47&lt;G47,E47&amp;"_lose",E47&amp;"_draw")))</f>
        <v/>
      </c>
      <c r="T47" s="127" t="str">
        <f t="shared" ref="T47:T78" si="13">IF(S47="","",IF(F47&lt;G47,H47&amp;"_win",IF(F47&gt;G47,H47&amp;"_lose",H47&amp;"_draw")))</f>
        <v/>
      </c>
      <c r="U47" s="123">
        <f t="shared" si="7"/>
        <v>0</v>
      </c>
      <c r="V47" s="123">
        <f t="shared" ref="V47:V78" si="14">U47*F47</f>
        <v>0</v>
      </c>
      <c r="W47" s="123">
        <f t="shared" ref="W47:W78" si="15">U47*G47</f>
        <v>0</v>
      </c>
      <c r="X47" s="123">
        <f t="shared" si="8"/>
        <v>0</v>
      </c>
      <c r="Y47" s="123">
        <f t="shared" si="9"/>
        <v>0</v>
      </c>
      <c r="Z47" s="123">
        <f t="shared" si="10"/>
        <v>0</v>
      </c>
      <c r="AA47" s="123">
        <f t="shared" si="11"/>
        <v>1</v>
      </c>
      <c r="AB47" s="123" t="str">
        <f t="shared" ref="AB47:AB78" si="16">IF(OR(F47="",G47=""),"",IF(F47&gt;G47,1,IF(F47&lt;G47,-1,0)))</f>
        <v/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0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0</v>
      </c>
      <c r="AL47" s="123">
        <f>AI47-AJ47</f>
        <v>0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6.4022969357412996E-4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204"/>
      <c r="BL47" s="26" t="str">
        <f>AS57</f>
        <v>2I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Man</v>
      </c>
      <c r="C48" s="18" t="str" cm="1">
        <f t="array" ref="C48">INDEX(T,24+MONTH(R48),lang) &amp; " " &amp; DAY(R48) &amp; ", " &amp; YEAR(R48)</f>
        <v>Jun 22, 2026</v>
      </c>
      <c r="D48" s="120">
        <f t="shared" si="6"/>
        <v>0.83333333333333337</v>
      </c>
      <c r="E48" s="78" t="str">
        <f>AE56</f>
        <v>Frankrike</v>
      </c>
      <c r="F48" s="19"/>
      <c r="G48" s="20"/>
      <c r="H48" s="80" t="str">
        <f>AE58</f>
        <v>Irak</v>
      </c>
      <c r="J48" s="35" t="str">
        <f>VLOOKUP(4,AD44:AN47,2,FALSE)</f>
        <v>New Zealand</v>
      </c>
      <c r="K48" s="36">
        <f>L48+M48+N48</f>
        <v>0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0</v>
      </c>
      <c r="O48" s="36" t="str">
        <f>VLOOKUP(4,AD44:AN47,6,FALSE) &amp; " - " &amp; VLOOKUP(4,AD44:AN47,7,FALSE)</f>
        <v>0 - 0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2"/>
        <v/>
      </c>
      <c r="T48" s="127" t="str">
        <f t="shared" si="13"/>
        <v/>
      </c>
      <c r="U48" s="123">
        <f t="shared" si="7"/>
        <v>0</v>
      </c>
      <c r="V48" s="123">
        <f t="shared" si="14"/>
        <v>0</v>
      </c>
      <c r="W48" s="123">
        <f t="shared" si="15"/>
        <v>0</v>
      </c>
      <c r="X48" s="123">
        <f t="shared" si="8"/>
        <v>0</v>
      </c>
      <c r="Y48" s="123">
        <f t="shared" si="9"/>
        <v>0</v>
      </c>
      <c r="Z48" s="123">
        <f t="shared" si="10"/>
        <v>0</v>
      </c>
      <c r="AA48" s="123">
        <f t="shared" si="11"/>
        <v>0</v>
      </c>
      <c r="AB48" s="123" t="str">
        <f t="shared" si="16"/>
        <v/>
      </c>
      <c r="AF48" s="123">
        <f>MAX(AF44:AF47)-MIN(AF44:AF47)+1</f>
        <v>1</v>
      </c>
      <c r="AG48" s="123">
        <f>MAX(AG44:AG47)-MIN(AG44:AG47)+1</f>
        <v>1</v>
      </c>
      <c r="AH48" s="123">
        <f>MAX(AH44:AH47)-MIN(AH44:AH47)+1</f>
        <v>1</v>
      </c>
      <c r="AI48" s="123">
        <f>MAX(AI44:AI47)+1</f>
        <v>1</v>
      </c>
      <c r="AL48" s="123">
        <f>MIN(AL44:AL47)</f>
        <v>0</v>
      </c>
      <c r="AM48" s="123">
        <f>MAX(AM44:AM47)+1</f>
        <v>1</v>
      </c>
      <c r="AN48" s="123">
        <f>MAX(AN44:AN47)+1</f>
        <v>1</v>
      </c>
      <c r="AO48" s="123">
        <f>MAX(AO44:AO47)+1</f>
        <v>1</v>
      </c>
      <c r="AP48" s="123">
        <f>MAX(AP44:AP47)+1</f>
        <v>1.000867355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203">
        <v>99</v>
      </c>
      <c r="BZ48" s="24" t="str">
        <f>IF(BW44&gt;BW45,BS44,IF(BW44&lt;BW45,BS45,""))</f>
        <v>2I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203">
        <v>103</v>
      </c>
      <c r="CN48" s="24" t="str">
        <f>IF(CK23&gt;CK24,CG24,IF(CK23&lt;CK24,CG23,""))</f>
        <v>1H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Man</v>
      </c>
      <c r="C49" s="18" t="str" cm="1">
        <f t="array" ref="C49">INDEX(T,24+MONTH(R49),lang) &amp; " " &amp; DAY(R49) &amp; ", " &amp; YEAR(R49)</f>
        <v>Jun 22, 2026</v>
      </c>
      <c r="D49" s="120">
        <f t="shared" si="6"/>
        <v>0.70833333333333337</v>
      </c>
      <c r="E49" s="78" t="str">
        <f>AE62</f>
        <v>Argentina</v>
      </c>
      <c r="F49" s="19"/>
      <c r="G49" s="20"/>
      <c r="H49" s="80" t="str">
        <f>AE64</f>
        <v>Østerrike</v>
      </c>
      <c r="R49" s="123">
        <f>DATE(2026,6,22)+TIME(6,0,0)+gmt_delta</f>
        <v>46195.708333333336</v>
      </c>
      <c r="S49" s="127" t="str">
        <f t="shared" si="12"/>
        <v/>
      </c>
      <c r="T49" s="127" t="str">
        <f t="shared" si="13"/>
        <v/>
      </c>
      <c r="U49" s="123">
        <f t="shared" si="7"/>
        <v>0</v>
      </c>
      <c r="V49" s="123">
        <f t="shared" si="14"/>
        <v>0</v>
      </c>
      <c r="W49" s="123">
        <f t="shared" si="15"/>
        <v>0</v>
      </c>
      <c r="X49" s="123">
        <f t="shared" si="8"/>
        <v>0</v>
      </c>
      <c r="Y49" s="123">
        <f t="shared" si="9"/>
        <v>0</v>
      </c>
      <c r="Z49" s="123">
        <f t="shared" si="10"/>
        <v>0</v>
      </c>
      <c r="AA49" s="123">
        <f t="shared" si="11"/>
        <v>0</v>
      </c>
      <c r="AB49" s="123" t="str">
        <f t="shared" si="16"/>
        <v/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204"/>
      <c r="BZ49" s="26" t="str">
        <f>IF(BW52&gt;BW53,BS52,IF(BW52&lt;BW53,BS53,""))</f>
        <v>1L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204"/>
      <c r="CN49" s="26" t="str">
        <f>IF(CK55&gt;CK56,CG56,IF(CK55&lt;CK56,CG55,""))</f>
        <v>1J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Tirs</v>
      </c>
      <c r="C50" s="18" t="str" cm="1">
        <f t="array" ref="C50">INDEX(T,24+MONTH(R50),lang) &amp; " " &amp; DAY(R50) &amp; ", " &amp; YEAR(R50)</f>
        <v>Jun 23, 2026</v>
      </c>
      <c r="D50" s="120">
        <f t="shared" si="6"/>
        <v>0.125</v>
      </c>
      <c r="E50" s="78" t="str">
        <f>AE65</f>
        <v>Jordan</v>
      </c>
      <c r="F50" s="19"/>
      <c r="G50" s="20"/>
      <c r="H50" s="80" t="str">
        <f>AE63</f>
        <v>Algerie</v>
      </c>
      <c r="J50" s="38" t="str" cm="1">
        <f t="array" ref="J50">INDEX(T,9,lang) &amp; " " &amp; "H"</f>
        <v>Gruppe H</v>
      </c>
      <c r="K50" s="94" t="str" cm="1">
        <f t="array" ref="K50">INDEX(T,10,lang)</f>
        <v>S</v>
      </c>
      <c r="L50" s="94" t="str" cm="1">
        <f t="array" ref="L50">INDEX(T,11,lang)</f>
        <v>V</v>
      </c>
      <c r="M50" s="94" t="str" cm="1">
        <f t="array" ref="M50">INDEX(T,12,lang)</f>
        <v>T</v>
      </c>
      <c r="N50" s="94" t="str" cm="1">
        <f t="array" ref="N50">INDEX(T,13,lang)</f>
        <v>U</v>
      </c>
      <c r="O50" s="94" t="str" cm="1">
        <f t="array" ref="O50">INDEX(T,14,lang)</f>
        <v>Mål</v>
      </c>
      <c r="P50" s="95" t="str" cm="1">
        <f t="array" ref="P50">INDEX(T,15,lang)</f>
        <v>P</v>
      </c>
      <c r="R50" s="123">
        <f>DATE(2026,6,22)+TIME(16,0,0)+gmt_delta</f>
        <v>46196.125</v>
      </c>
      <c r="S50" s="127" t="str">
        <f t="shared" si="12"/>
        <v/>
      </c>
      <c r="T50" s="127" t="str">
        <f t="shared" si="13"/>
        <v/>
      </c>
      <c r="U50" s="123">
        <f t="shared" si="7"/>
        <v>0</v>
      </c>
      <c r="V50" s="123">
        <f t="shared" si="14"/>
        <v>0</v>
      </c>
      <c r="W50" s="123">
        <f t="shared" si="15"/>
        <v>0</v>
      </c>
      <c r="X50" s="123">
        <f t="shared" si="8"/>
        <v>0</v>
      </c>
      <c r="Y50" s="123">
        <f t="shared" si="9"/>
        <v>0</v>
      </c>
      <c r="Z50" s="123">
        <f t="shared" si="10"/>
        <v>0</v>
      </c>
      <c r="AA50" s="123">
        <f t="shared" si="11"/>
        <v>0</v>
      </c>
      <c r="AB50" s="123" t="str">
        <f t="shared" si="16"/>
        <v/>
      </c>
      <c r="AD50" s="123">
        <f>COUNTIF(AR50:AR53,CONCATENATE("&gt;=",AR50))</f>
        <v>1</v>
      </c>
      <c r="AE50" s="124" t="str">
        <f>VLOOKUP("Spain",T,lang,FALSE)</f>
        <v>Spania</v>
      </c>
      <c r="AF50" s="123">
        <f>COUNTIF($S$7:$T$78,"=" &amp; AE50 &amp; "_win")</f>
        <v>0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0</v>
      </c>
      <c r="AJ50" s="123">
        <f>SUMIF($E$7:$E$78,$AE50,$G$7:$G$78) + SUMIF($H$7:$H$78,$AE50,$F$7:$F$78)</f>
        <v>0</v>
      </c>
      <c r="AL50" s="123">
        <f>AI50-AJ50</f>
        <v>0</v>
      </c>
      <c r="AM50" s="123">
        <f>AL50-AL54</f>
        <v>0</v>
      </c>
      <c r="AN50" s="123">
        <f>AF50*3+AG50</f>
        <v>0</v>
      </c>
      <c r="AO50" s="123">
        <f>AN50/AN54*10+BA50</f>
        <v>0</v>
      </c>
      <c r="AP50" s="123">
        <f>AO50*10000000+BI50*100+AM50/AM54*10+AI50/AI54*1++IF(AQ50=0,ROW(),AQ50)/2000000</f>
        <v>9.3820000000000004E-4</v>
      </c>
      <c r="AQ50" s="126">
        <f>VLOOKUP(AE50,db_fifarank,2,FALSE)</f>
        <v>1876.4</v>
      </c>
      <c r="AR50" s="125">
        <f>AP50/AP54</f>
        <v>9.3732060580763133E-4</v>
      </c>
      <c r="AS50" s="125" t="str">
        <f>IF(SUM(AF50:AH53)=12,J51,"1H")</f>
        <v>1H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203">
        <v>79</v>
      </c>
      <c r="BL50" s="24" t="str">
        <f>AS8</f>
        <v>1A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Tirs</v>
      </c>
      <c r="C51" s="18" t="str" cm="1">
        <f t="array" ref="C51">INDEX(T,24+MONTH(R51),lang) &amp; " " &amp; DAY(R51) &amp; ", " &amp; YEAR(R51)</f>
        <v>Jun 23, 2026</v>
      </c>
      <c r="D51" s="120">
        <f t="shared" si="6"/>
        <v>0.83333333333333337</v>
      </c>
      <c r="E51" s="78" t="str">
        <f>AE74</f>
        <v>England</v>
      </c>
      <c r="F51" s="19"/>
      <c r="G51" s="20"/>
      <c r="H51" s="80" t="str">
        <f>AE76</f>
        <v>Ghana</v>
      </c>
      <c r="J51" s="30" t="str">
        <f>VLOOKUP(1,AD50:AN53,2,FALSE)</f>
        <v>Spania</v>
      </c>
      <c r="K51" s="31">
        <f>L51+M51+N51</f>
        <v>0</v>
      </c>
      <c r="L51" s="31">
        <f>VLOOKUP(1,AD50:AN53,3,FALSE)</f>
        <v>0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0 - 0</v>
      </c>
      <c r="P51" s="32">
        <f>L51*3+M51</f>
        <v>0</v>
      </c>
      <c r="R51" s="123">
        <f>DATE(2026,6,23)+TIME(9,0,0)+gmt_delta</f>
        <v>46196.833333333336</v>
      </c>
      <c r="S51" s="127" t="str">
        <f t="shared" si="12"/>
        <v/>
      </c>
      <c r="T51" s="127" t="str">
        <f t="shared" si="13"/>
        <v/>
      </c>
      <c r="U51" s="123">
        <f t="shared" si="7"/>
        <v>0</v>
      </c>
      <c r="V51" s="123">
        <f t="shared" si="14"/>
        <v>0</v>
      </c>
      <c r="W51" s="123">
        <f t="shared" si="15"/>
        <v>0</v>
      </c>
      <c r="X51" s="123">
        <f t="shared" si="8"/>
        <v>0</v>
      </c>
      <c r="Y51" s="123">
        <f t="shared" si="9"/>
        <v>0</v>
      </c>
      <c r="Z51" s="123">
        <f t="shared" si="10"/>
        <v>0</v>
      </c>
      <c r="AA51" s="123">
        <f t="shared" si="11"/>
        <v>0</v>
      </c>
      <c r="AB51" s="123" t="str">
        <f t="shared" si="16"/>
        <v/>
      </c>
      <c r="AD51" s="123">
        <f>COUNTIF(AR50:AR53,CONCATENATE("&gt;=",AR51))</f>
        <v>4</v>
      </c>
      <c r="AE51" s="124" t="str">
        <f>VLOOKUP("Cape Verde",T,lang,FALSE)</f>
        <v>Kapp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0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0</v>
      </c>
      <c r="AL51" s="123">
        <f>AI51-AJ51</f>
        <v>0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6.8242474910039407E-4</v>
      </c>
      <c r="AS51" s="125" t="str">
        <f>IF(SUM(AF50:AH53)=12,J52,"2H")</f>
        <v>2H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204"/>
      <c r="BL51" s="26" t="str">
        <f>IF(group_round_completed,VLOOKUP('3rd places'!D3,AK80:AS91,9,FALSE),"3rd Group C/E/F/H/I")</f>
        <v>3rd Group C/E/F/H/I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Tirs</v>
      </c>
      <c r="C52" s="18" t="str" cm="1">
        <f t="array" ref="C52">INDEX(T,24+MONTH(R52),lang) &amp; " " &amp; DAY(R52) &amp; ", " &amp; YEAR(R52)</f>
        <v>Jun 23, 2026</v>
      </c>
      <c r="D52" s="120">
        <f t="shared" si="6"/>
        <v>0.95833333333333337</v>
      </c>
      <c r="E52" s="78" t="str">
        <f>AE77</f>
        <v>Panama</v>
      </c>
      <c r="F52" s="19"/>
      <c r="G52" s="20"/>
      <c r="H52" s="80" t="str">
        <f>AE75</f>
        <v>Kroatia</v>
      </c>
      <c r="J52" s="33" t="str">
        <f>VLOOKUP(2,AD50:AN53,2,FALSE)</f>
        <v>Uruguay</v>
      </c>
      <c r="K52" s="23">
        <f>L52+M52+N52</f>
        <v>0</v>
      </c>
      <c r="L52" s="23">
        <f>VLOOKUP(2,AD50:AN53,3,FALSE)</f>
        <v>0</v>
      </c>
      <c r="M52" s="23">
        <f>VLOOKUP(2,AD50:AN53,4,FALSE)</f>
        <v>0</v>
      </c>
      <c r="N52" s="23">
        <f>VLOOKUP(2,AD50:AN53,5,FALSE)</f>
        <v>0</v>
      </c>
      <c r="O52" s="23" t="str">
        <f>VLOOKUP(2,AD50:AN53,6,FALSE) &amp; " - " &amp; VLOOKUP(2,AD50:AN53,7,FALSE)</f>
        <v>0 - 0</v>
      </c>
      <c r="P52" s="34">
        <f>L52*3+M52</f>
        <v>0</v>
      </c>
      <c r="R52" s="123">
        <f>DATE(2026,6,23)+TIME(12,0,0)+gmt_delta</f>
        <v>46196.958333333336</v>
      </c>
      <c r="S52" s="127" t="str">
        <f t="shared" si="12"/>
        <v/>
      </c>
      <c r="T52" s="127" t="str">
        <f t="shared" si="13"/>
        <v/>
      </c>
      <c r="U52" s="123">
        <f t="shared" si="7"/>
        <v>0</v>
      </c>
      <c r="V52" s="123">
        <f t="shared" si="14"/>
        <v>0</v>
      </c>
      <c r="W52" s="123">
        <f t="shared" si="15"/>
        <v>0</v>
      </c>
      <c r="X52" s="123">
        <f t="shared" si="8"/>
        <v>0</v>
      </c>
      <c r="Y52" s="123">
        <f t="shared" si="9"/>
        <v>0</v>
      </c>
      <c r="Z52" s="123">
        <f t="shared" si="10"/>
        <v>0</v>
      </c>
      <c r="AA52" s="123">
        <f t="shared" si="11"/>
        <v>0</v>
      </c>
      <c r="AB52" s="123" t="str">
        <f t="shared" si="16"/>
        <v/>
      </c>
      <c r="AD52" s="123">
        <f>COUNTIF(AR50:AR53,CONCATENATE("&gt;=",AR52))</f>
        <v>3</v>
      </c>
      <c r="AE52" s="124" t="str">
        <f>VLOOKUP("Saudi Arabia",T,lang,FALSE)</f>
        <v>Saudi-Arabia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0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0</v>
      </c>
      <c r="AL52" s="123">
        <f>AI52-AJ52</f>
        <v>0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7.1004883218564344E-4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203">
        <v>92</v>
      </c>
      <c r="BS52" s="24" t="str">
        <f>IF(BP50&gt;BP51,BL50,IF(BP50&lt;BP51,BL51,""))</f>
        <v>1A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Tirs</v>
      </c>
      <c r="C53" s="18" t="str" cm="1">
        <f t="array" ref="C53">INDEX(T,24+MONTH(R53),lang) &amp; " " &amp; DAY(R53) &amp; ", " &amp; YEAR(R53)</f>
        <v>Jun 23, 2026</v>
      </c>
      <c r="D53" s="120">
        <f t="shared" si="6"/>
        <v>0.70833333333333337</v>
      </c>
      <c r="E53" s="78" t="str">
        <f>AE68</f>
        <v>Portugal</v>
      </c>
      <c r="F53" s="19"/>
      <c r="G53" s="20"/>
      <c r="H53" s="80" t="str">
        <f>AE70</f>
        <v>Usbekistan</v>
      </c>
      <c r="J53" s="33" t="str">
        <f>VLOOKUP(3,AD50:AN53,2,FALSE)</f>
        <v>Saudi-Arabia</v>
      </c>
      <c r="K53" s="23">
        <f>L53+M53+N53</f>
        <v>0</v>
      </c>
      <c r="L53" s="23">
        <f>VLOOKUP(3,AD50:AN53,3,FALSE)</f>
        <v>0</v>
      </c>
      <c r="M53" s="23">
        <f>VLOOKUP(3,AD50:AN53,4,FALSE)</f>
        <v>0</v>
      </c>
      <c r="N53" s="23">
        <f>VLOOKUP(3,AD50:AN53,5,FALSE)</f>
        <v>0</v>
      </c>
      <c r="O53" s="23" t="str">
        <f>VLOOKUP(3,AD50:AN53,6,FALSE) &amp; " - " &amp; VLOOKUP(3,AD50:AN53,7,FALSE)</f>
        <v>0 - 0</v>
      </c>
      <c r="P53" s="34">
        <f>L53*3+M53</f>
        <v>0</v>
      </c>
      <c r="R53" s="123">
        <f>DATE(2026,6,23)+TIME(6,0,0)+gmt_delta</f>
        <v>46196.708333333336</v>
      </c>
      <c r="S53" s="127" t="str">
        <f t="shared" si="12"/>
        <v/>
      </c>
      <c r="T53" s="127" t="str">
        <f t="shared" si="13"/>
        <v/>
      </c>
      <c r="U53" s="123">
        <f t="shared" si="7"/>
        <v>0</v>
      </c>
      <c r="V53" s="123">
        <f t="shared" si="14"/>
        <v>0</v>
      </c>
      <c r="W53" s="123">
        <f t="shared" si="15"/>
        <v>0</v>
      </c>
      <c r="X53" s="123">
        <f t="shared" si="8"/>
        <v>0</v>
      </c>
      <c r="Y53" s="123">
        <f t="shared" si="9"/>
        <v>0</v>
      </c>
      <c r="Z53" s="123">
        <f t="shared" si="10"/>
        <v>0</v>
      </c>
      <c r="AA53" s="123">
        <f t="shared" si="11"/>
        <v>0</v>
      </c>
      <c r="AB53" s="123" t="str">
        <f t="shared" si="16"/>
        <v/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0</v>
      </c>
      <c r="AG53" s="123">
        <f>COUNTIF($S$7:$T$78,"=" &amp; AE53 &amp; "_draw")</f>
        <v>0</v>
      </c>
      <c r="AH53" s="123">
        <f>COUNTIF($S$7:$T$78,"=" &amp; AE53 &amp; "_lose")</f>
        <v>0</v>
      </c>
      <c r="AI53" s="123">
        <f>SUMIF($E$7:$E$78,$AE53,$F$7:$F$78) + SUMIF($H$7:$H$78,$AE53,$G$7:$G$78)</f>
        <v>0</v>
      </c>
      <c r="AJ53" s="123">
        <f>SUMIF($E$7:$E$78,$AE53,$G$7:$G$78) + SUMIF($H$7:$H$78,$AE53,$F$7:$F$78)</f>
        <v>0</v>
      </c>
      <c r="AL53" s="123">
        <f>AI53-AJ53</f>
        <v>0</v>
      </c>
      <c r="AM53" s="123">
        <f>AL53-AL54</f>
        <v>0</v>
      </c>
      <c r="AN53" s="123">
        <f>AF53*3+AG53</f>
        <v>0</v>
      </c>
      <c r="AO53" s="123">
        <f>AN53/AN54*10+BA53</f>
        <v>0</v>
      </c>
      <c r="AP53" s="123">
        <f>AO53*10000000+BI53*100+AM53/AM54*10+AI53/AI54*1++IF(AQ53=0,ROW(),AQ53)/2000000</f>
        <v>8.3653500000000001E-4</v>
      </c>
      <c r="AQ53" s="126">
        <f>VLOOKUP(AE53,db_fifarank,2,FALSE)</f>
        <v>1673.07</v>
      </c>
      <c r="AR53" s="125">
        <f>AP53/AP54</f>
        <v>8.3575089850702075E-4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204"/>
      <c r="BS53" s="26" t="str">
        <f>IF(BP54&gt;BP55,BL54,IF(BP54&lt;BP55,BL55,""))</f>
        <v>1L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Ons</v>
      </c>
      <c r="C54" s="18" t="str" cm="1">
        <f t="array" ref="C54">INDEX(T,24+MONTH(R54),lang) &amp; " " &amp; DAY(R54) &amp; ", " &amp; YEAR(R54)</f>
        <v>Jun 24, 2026</v>
      </c>
      <c r="D54" s="120">
        <f t="shared" si="6"/>
        <v>8.3333333333333329E-2</v>
      </c>
      <c r="E54" s="78" t="str">
        <f>AE71</f>
        <v>Colombia</v>
      </c>
      <c r="F54" s="19"/>
      <c r="G54" s="20"/>
      <c r="H54" s="80" t="str">
        <f>AE69</f>
        <v>DR Kongo</v>
      </c>
      <c r="J54" s="35" t="str">
        <f>VLOOKUP(4,AD50:AN53,2,FALSE)</f>
        <v>Kapp Verde</v>
      </c>
      <c r="K54" s="36">
        <f>L54+M54+N54</f>
        <v>0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0</v>
      </c>
      <c r="O54" s="36" t="str">
        <f>VLOOKUP(4,AD50:AN53,6,FALSE) &amp; " - " &amp; VLOOKUP(4,AD50:AN53,7,FALSE)</f>
        <v>0 - 0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2"/>
        <v/>
      </c>
      <c r="T54" s="127" t="str">
        <f t="shared" si="13"/>
        <v/>
      </c>
      <c r="U54" s="123">
        <f t="shared" si="7"/>
        <v>0</v>
      </c>
      <c r="V54" s="123">
        <f t="shared" si="14"/>
        <v>0</v>
      </c>
      <c r="W54" s="123">
        <f t="shared" si="15"/>
        <v>0</v>
      </c>
      <c r="X54" s="123">
        <f t="shared" si="8"/>
        <v>0</v>
      </c>
      <c r="Y54" s="123">
        <f t="shared" si="9"/>
        <v>0</v>
      </c>
      <c r="Z54" s="123">
        <f t="shared" si="10"/>
        <v>0</v>
      </c>
      <c r="AA54" s="123">
        <f t="shared" si="11"/>
        <v>0</v>
      </c>
      <c r="AB54" s="123" t="str">
        <f t="shared" si="16"/>
        <v/>
      </c>
      <c r="AF54" s="123">
        <f>MAX(AF50:AF53)-MIN(AF50:AF53)+1</f>
        <v>1</v>
      </c>
      <c r="AG54" s="123">
        <f>MAX(AG50:AG53)-MIN(AG50:AG53)+1</f>
        <v>1</v>
      </c>
      <c r="AH54" s="123">
        <f>MAX(AH50:AH53)-MIN(AH50:AH53)+1</f>
        <v>1</v>
      </c>
      <c r="AI54" s="123">
        <f>MAX(AI50:AI53)+1</f>
        <v>1</v>
      </c>
      <c r="AL54" s="123">
        <f>MIN(AL50:AL53)</f>
        <v>0</v>
      </c>
      <c r="AM54" s="123">
        <f>MAX(AM50:AM53)+1</f>
        <v>1</v>
      </c>
      <c r="AN54" s="123">
        <f>MAX(AN50:AN53)+1</f>
        <v>1</v>
      </c>
      <c r="AO54" s="123">
        <f>MAX(AO50:AO53)+1</f>
        <v>1</v>
      </c>
      <c r="AP54" s="123">
        <f>MAX(AP50:AP53)+1</f>
        <v>1.0009382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203">
        <v>80</v>
      </c>
      <c r="BL54" s="24" t="str">
        <f>AS74</f>
        <v>1L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Ons</v>
      </c>
      <c r="C55" s="18" t="str" cm="1">
        <f t="array" ref="C55">INDEX(T,24+MONTH(R55),lang) &amp; " " &amp; DAY(R55) &amp; ", " &amp; YEAR(R55)</f>
        <v>Jun 24, 2026</v>
      </c>
      <c r="D55" s="120">
        <f t="shared" si="6"/>
        <v>0.91666666666666663</v>
      </c>
      <c r="E55" s="78" t="str">
        <f>AE23</f>
        <v>Skottland</v>
      </c>
      <c r="F55" s="19"/>
      <c r="G55" s="20"/>
      <c r="H55" s="80" t="str">
        <f>AE20</f>
        <v>Brasil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/>
      </c>
      <c r="T55" s="127" t="str">
        <f t="shared" si="13"/>
        <v/>
      </c>
      <c r="U55" s="123">
        <f t="shared" si="7"/>
        <v>0</v>
      </c>
      <c r="V55" s="123">
        <f t="shared" si="14"/>
        <v>0</v>
      </c>
      <c r="W55" s="123">
        <f t="shared" si="15"/>
        <v>0</v>
      </c>
      <c r="X55" s="123">
        <f t="shared" si="8"/>
        <v>0</v>
      </c>
      <c r="Y55" s="123">
        <f t="shared" si="9"/>
        <v>0</v>
      </c>
      <c r="Z55" s="123">
        <f t="shared" si="10"/>
        <v>0</v>
      </c>
      <c r="AA55" s="123">
        <f t="shared" si="11"/>
        <v>0</v>
      </c>
      <c r="AB55" s="123" t="str">
        <f t="shared" si="16"/>
        <v/>
      </c>
      <c r="BK55" s="204"/>
      <c r="BL55" s="26" t="str">
        <f>IF(group_round_completed,VLOOKUP('3rd places'!K3,AK80:AS91,9,FALSE),"3rd Group E/H/I/J/K")</f>
        <v>3rd Group E/H/I/J/K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203">
        <v>102</v>
      </c>
      <c r="CG55" s="24" t="str">
        <f>IF(CD48&gt;CD49,BZ48,IF(CD48&lt;CD49,BZ49,""))</f>
        <v>1L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Ons</v>
      </c>
      <c r="C56" s="18" t="str" cm="1">
        <f t="array" ref="C56">INDEX(T,24+MONTH(R56),lang) &amp; " " &amp; DAY(R56) &amp; ", " &amp; YEAR(R56)</f>
        <v>Jun 24, 2026</v>
      </c>
      <c r="D56" s="120">
        <f t="shared" si="6"/>
        <v>0.91666666666666663</v>
      </c>
      <c r="E56" s="78" t="str">
        <f>AE21</f>
        <v>Marokko</v>
      </c>
      <c r="F56" s="19"/>
      <c r="G56" s="20"/>
      <c r="H56" s="80" t="str">
        <f>AE22</f>
        <v>Haiti</v>
      </c>
      <c r="I56" s="69"/>
      <c r="J56" s="38" t="str" cm="1">
        <f t="array" ref="J56">INDEX(T,9,lang) &amp; " " &amp; "I"</f>
        <v>Gruppe I</v>
      </c>
      <c r="K56" s="94" t="str" cm="1">
        <f t="array" ref="K56">INDEX(T,10,lang)</f>
        <v>S</v>
      </c>
      <c r="L56" s="94" t="str" cm="1">
        <f t="array" ref="L56">INDEX(T,11,lang)</f>
        <v>V</v>
      </c>
      <c r="M56" s="94" t="str" cm="1">
        <f t="array" ref="M56">INDEX(T,12,lang)</f>
        <v>T</v>
      </c>
      <c r="N56" s="94" t="str" cm="1">
        <f t="array" ref="N56">INDEX(T,13,lang)</f>
        <v>U</v>
      </c>
      <c r="O56" s="94" t="str" cm="1">
        <f t="array" ref="O56">INDEX(T,14,lang)</f>
        <v>Mål</v>
      </c>
      <c r="P56" s="95" t="str" cm="1">
        <f t="array" ref="P56">INDEX(T,15,lang)</f>
        <v>P</v>
      </c>
      <c r="R56" s="123">
        <f>DATE(2026,6,24)+TIME(11,0,0)+gmt_delta</f>
        <v>46197.916666666672</v>
      </c>
      <c r="S56" s="127" t="str">
        <f t="shared" si="12"/>
        <v/>
      </c>
      <c r="T56" s="127" t="str">
        <f t="shared" si="13"/>
        <v/>
      </c>
      <c r="U56" s="123">
        <f t="shared" si="7"/>
        <v>0</v>
      </c>
      <c r="V56" s="123">
        <f t="shared" si="14"/>
        <v>0</v>
      </c>
      <c r="W56" s="123">
        <f t="shared" si="15"/>
        <v>0</v>
      </c>
      <c r="X56" s="123">
        <f t="shared" si="8"/>
        <v>0</v>
      </c>
      <c r="Y56" s="123">
        <f t="shared" si="9"/>
        <v>0</v>
      </c>
      <c r="Z56" s="123">
        <f t="shared" si="10"/>
        <v>0</v>
      </c>
      <c r="AA56" s="123">
        <f t="shared" si="11"/>
        <v>0</v>
      </c>
      <c r="AB56" s="123" t="str">
        <f t="shared" si="16"/>
        <v/>
      </c>
      <c r="AD56" s="123">
        <f>COUNTIF(AR56:AR59,CONCATENATE("&gt;=",AR56))</f>
        <v>1</v>
      </c>
      <c r="AE56" s="124" t="str">
        <f>VLOOKUP("France",T,lang,FALSE)</f>
        <v>Frankrike</v>
      </c>
      <c r="AF56" s="123">
        <f>COUNTIF($S$7:$T$78,"=" &amp; AE56 &amp; "_win")</f>
        <v>0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0</v>
      </c>
      <c r="AJ56" s="123">
        <f>SUMIF($E$7:$E$78,$AE56,$G$7:$G$78) + SUMIF($H$7:$H$78,$AE56,$F$7:$F$78)</f>
        <v>0</v>
      </c>
      <c r="AL56" s="123">
        <f>AI56-AJ56</f>
        <v>0</v>
      </c>
      <c r="AM56" s="123">
        <f>AL56-AL60</f>
        <v>0</v>
      </c>
      <c r="AN56" s="123">
        <f>AF56*3+AG56</f>
        <v>0</v>
      </c>
      <c r="AO56" s="123">
        <f>AN56/AN60*10+BA56</f>
        <v>0</v>
      </c>
      <c r="AP56" s="123">
        <f>AO56*10000000+BI56*100+AM56/AM60*10+AI56/AI60*1++IF(AQ56=0,ROW(),AQ56)/2000000</f>
        <v>9.3866000000000002E-4</v>
      </c>
      <c r="AQ56" s="126">
        <f>VLOOKUP(AE56,db_fifarank,2,FALSE)</f>
        <v>1877.32</v>
      </c>
      <c r="AR56" s="125">
        <f>AP56/AP60</f>
        <v>9.3777974366581059E-4</v>
      </c>
      <c r="AS56" s="125" t="str">
        <f>IF(SUM(AF56:AH59)=12,J57,"1I")</f>
        <v>1I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204"/>
      <c r="CG56" s="26" t="str">
        <f>IF(CD64&gt;CD65,BZ64,IF(CD64&lt;CD65,BZ65,""))</f>
        <v>1J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Ons</v>
      </c>
      <c r="C57" s="18" t="str" cm="1">
        <f t="array" ref="C57">INDEX(T,24+MONTH(R57),lang) &amp; " " &amp; DAY(R57) &amp; ", " &amp; YEAR(R57)</f>
        <v>Jun 24, 2026</v>
      </c>
      <c r="D57" s="120">
        <f t="shared" si="6"/>
        <v>0.79166666666666663</v>
      </c>
      <c r="E57" s="78" t="str">
        <f>AE17</f>
        <v>Sveits</v>
      </c>
      <c r="F57" s="19"/>
      <c r="G57" s="20"/>
      <c r="H57" s="80" t="str">
        <f>AE14</f>
        <v>Canada</v>
      </c>
      <c r="I57" s="69"/>
      <c r="J57" s="30" t="str">
        <f>VLOOKUP(1,AD56:AN59,2,FALSE)</f>
        <v>Frankrike</v>
      </c>
      <c r="K57" s="31">
        <f>L57+M57+N57</f>
        <v>0</v>
      </c>
      <c r="L57" s="31">
        <f>VLOOKUP(1,AD56:AN59,3,FALSE)</f>
        <v>0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0 - 0</v>
      </c>
      <c r="P57" s="32">
        <f>L57*3+M57</f>
        <v>0</v>
      </c>
      <c r="R57" s="123">
        <f>DATE(2026,6,24)+TIME(8,0,0)+gmt_delta</f>
        <v>46197.791666666672</v>
      </c>
      <c r="S57" s="127" t="str">
        <f t="shared" si="12"/>
        <v/>
      </c>
      <c r="T57" s="127" t="str">
        <f t="shared" si="13"/>
        <v/>
      </c>
      <c r="U57" s="123">
        <f t="shared" si="7"/>
        <v>0</v>
      </c>
      <c r="V57" s="123">
        <f t="shared" si="14"/>
        <v>0</v>
      </c>
      <c r="W57" s="123">
        <f t="shared" si="15"/>
        <v>0</v>
      </c>
      <c r="X57" s="123">
        <f t="shared" si="8"/>
        <v>0</v>
      </c>
      <c r="Y57" s="123">
        <f t="shared" si="9"/>
        <v>0</v>
      </c>
      <c r="Z57" s="123">
        <f t="shared" si="10"/>
        <v>0</v>
      </c>
      <c r="AA57" s="123">
        <f t="shared" si="11"/>
        <v>0</v>
      </c>
      <c r="AB57" s="123" t="str">
        <f t="shared" si="16"/>
        <v/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0</v>
      </c>
      <c r="AH57" s="123">
        <f>COUNTIF($S$7:$T$78,"=" &amp; AE57 &amp; "_lose")</f>
        <v>0</v>
      </c>
      <c r="AI57" s="123">
        <f>SUMIF($E$7:$E$78,$AE57,$F$7:$F$78) + SUMIF($H$7:$H$78,$AE57,$G$7:$G$78)</f>
        <v>0</v>
      </c>
      <c r="AJ57" s="123">
        <f>SUMIF($E$7:$E$78,$AE57,$G$7:$G$78) + SUMIF($H$7:$H$78,$AE57,$F$7:$F$78)</f>
        <v>0</v>
      </c>
      <c r="AL57" s="123">
        <f>AI57-AJ57</f>
        <v>0</v>
      </c>
      <c r="AM57" s="123">
        <f>AL57-AL60</f>
        <v>0</v>
      </c>
      <c r="AN57" s="123">
        <f>AF57*3+AG57</f>
        <v>0</v>
      </c>
      <c r="AO57" s="123">
        <f>AN57/AN60*10+BA57</f>
        <v>0</v>
      </c>
      <c r="AP57" s="123">
        <f>AO57*10000000+BI57*100+AM57/AM60*10+AI57/AI60*1++IF(AQ57=0,ROW(),AQ57)/2000000</f>
        <v>8.4449500000000001E-4</v>
      </c>
      <c r="AQ57" s="126">
        <f>VLOOKUP(AE57,db_fifarank,2,FALSE)</f>
        <v>1688.99</v>
      </c>
      <c r="AR57" s="125">
        <f>AP57/AP60</f>
        <v>8.4370304969537283E-4</v>
      </c>
      <c r="AS57" s="125" t="str">
        <f>IF(SUM(AF56:AH59)=12,J58,"2I")</f>
        <v>2I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Ons</v>
      </c>
      <c r="C58" s="18" t="str" cm="1">
        <f t="array" ref="C58">INDEX(T,24+MONTH(R58),lang) &amp; " " &amp; DAY(R58) &amp; ", " &amp; YEAR(R58)</f>
        <v>Jun 24, 2026</v>
      </c>
      <c r="D58" s="120">
        <f t="shared" si="6"/>
        <v>0.79166666666666663</v>
      </c>
      <c r="E58" s="78" t="str">
        <f>AE15</f>
        <v>Bosnia-Hercegovina</v>
      </c>
      <c r="F58" s="19"/>
      <c r="G58" s="20"/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0</v>
      </c>
      <c r="L58" s="23">
        <f>VLOOKUP(2,AD56:AN59,3,FALSE)</f>
        <v>0</v>
      </c>
      <c r="M58" s="23">
        <f>VLOOKUP(2,AD56:AN59,4,FALSE)</f>
        <v>0</v>
      </c>
      <c r="N58" s="23">
        <f>VLOOKUP(2,AD56:AN59,5,FALSE)</f>
        <v>0</v>
      </c>
      <c r="O58" s="23" t="str">
        <f>VLOOKUP(2,AD56:AN59,6,FALSE) &amp; " - " &amp; VLOOKUP(2,AD56:AN59,7,FALSE)</f>
        <v>0 - 0</v>
      </c>
      <c r="P58" s="34">
        <f>L58*3+M58</f>
        <v>0</v>
      </c>
      <c r="R58" s="123">
        <f>DATE(2026,6,24)+TIME(8,0,0)+gmt_delta</f>
        <v>46197.791666666672</v>
      </c>
      <c r="S58" s="127" t="str">
        <f t="shared" si="12"/>
        <v/>
      </c>
      <c r="T58" s="127" t="str">
        <f t="shared" si="13"/>
        <v/>
      </c>
      <c r="U58" s="123">
        <f t="shared" si="7"/>
        <v>0</v>
      </c>
      <c r="V58" s="123">
        <f t="shared" si="14"/>
        <v>0</v>
      </c>
      <c r="W58" s="123">
        <f t="shared" si="15"/>
        <v>0</v>
      </c>
      <c r="X58" s="123">
        <f t="shared" si="8"/>
        <v>0</v>
      </c>
      <c r="Y58" s="123">
        <f t="shared" si="9"/>
        <v>0</v>
      </c>
      <c r="Z58" s="123">
        <f t="shared" si="10"/>
        <v>0</v>
      </c>
      <c r="AA58" s="123">
        <f t="shared" si="11"/>
        <v>0</v>
      </c>
      <c r="AB58" s="123" t="str">
        <f t="shared" si="16"/>
        <v/>
      </c>
      <c r="AD58" s="123">
        <f>COUNTIF(AR56:AR59,CONCATENATE("&gt;=",AR58))</f>
        <v>4</v>
      </c>
      <c r="AE58" s="124" t="str">
        <f>VLOOKUP("Iraq",T,lang,FALSE)</f>
        <v>Irak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0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0</v>
      </c>
      <c r="AL58" s="123">
        <f>AI58-AJ58</f>
        <v>0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7.2289145071087577E-4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203">
        <v>86</v>
      </c>
      <c r="BL58" s="24" t="str">
        <f>AS62</f>
        <v>1J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Tors</v>
      </c>
      <c r="C59" s="18" t="str" cm="1">
        <f t="array" ref="C59">INDEX(T,24+MONTH(R59),lang) &amp; " " &amp; DAY(R59) &amp; ", " &amp; YEAR(R59)</f>
        <v>Jun 25, 2026</v>
      </c>
      <c r="D59" s="120">
        <f t="shared" si="6"/>
        <v>4.1666666666666664E-2</v>
      </c>
      <c r="E59" s="78" t="str">
        <f>AE11</f>
        <v>Tsjekkia</v>
      </c>
      <c r="F59" s="19"/>
      <c r="G59" s="20"/>
      <c r="H59" s="80" t="str">
        <f>AE8</f>
        <v>Mexico</v>
      </c>
      <c r="I59" s="69"/>
      <c r="J59" s="33" t="str">
        <f>VLOOKUP(3,AD56:AN59,2,FALSE)</f>
        <v>Norge</v>
      </c>
      <c r="K59" s="23">
        <f>L59+M59+N59</f>
        <v>0</v>
      </c>
      <c r="L59" s="23">
        <f>VLOOKUP(3,AD56:AN59,3,FALSE)</f>
        <v>0</v>
      </c>
      <c r="M59" s="23">
        <f>VLOOKUP(3,AD56:AN59,4,FALSE)</f>
        <v>0</v>
      </c>
      <c r="N59" s="23">
        <f>VLOOKUP(3,AD56:AN59,5,FALSE)</f>
        <v>0</v>
      </c>
      <c r="O59" s="23" t="str">
        <f>VLOOKUP(3,AD56:AN59,6,FALSE) &amp; " - " &amp; VLOOKUP(3,AD56:AN59,7,FALSE)</f>
        <v>0 - 0</v>
      </c>
      <c r="P59" s="34">
        <f>L59*3+M59</f>
        <v>0</v>
      </c>
      <c r="R59" s="123">
        <f>DATE(2026,6,24)+TIME(14,0,0)+gmt_delta</f>
        <v>46198.041666666672</v>
      </c>
      <c r="S59" s="127" t="str">
        <f t="shared" si="12"/>
        <v/>
      </c>
      <c r="T59" s="127" t="str">
        <f t="shared" si="13"/>
        <v/>
      </c>
      <c r="U59" s="123">
        <f t="shared" si="7"/>
        <v>0</v>
      </c>
      <c r="V59" s="123">
        <f t="shared" si="14"/>
        <v>0</v>
      </c>
      <c r="W59" s="123">
        <f t="shared" si="15"/>
        <v>0</v>
      </c>
      <c r="X59" s="123">
        <f t="shared" si="8"/>
        <v>0</v>
      </c>
      <c r="Y59" s="123">
        <f t="shared" si="9"/>
        <v>0</v>
      </c>
      <c r="Z59" s="123">
        <f t="shared" si="10"/>
        <v>0</v>
      </c>
      <c r="AA59" s="123">
        <f t="shared" si="11"/>
        <v>0</v>
      </c>
      <c r="AB59" s="123" t="str">
        <f t="shared" si="16"/>
        <v/>
      </c>
      <c r="AD59" s="123">
        <f>COUNTIF(AR56:AR59,CONCATENATE("&gt;=",AR59))</f>
        <v>3</v>
      </c>
      <c r="AE59" s="124" t="str">
        <f>VLOOKUP("Norway",T,lang,FALSE)</f>
        <v>Norge</v>
      </c>
      <c r="AF59" s="123">
        <f>COUNTIF($S$7:$T$78,"=" &amp; AE59 &amp; "_win")</f>
        <v>0</v>
      </c>
      <c r="AG59" s="123">
        <f>COUNTIF($S$7:$T$78,"=" &amp; AE59 &amp; "_draw")</f>
        <v>0</v>
      </c>
      <c r="AH59" s="123">
        <f>COUNTIF($S$7:$T$78,"=" &amp; AE59 &amp; "_lose")</f>
        <v>0</v>
      </c>
      <c r="AI59" s="123">
        <f>SUMIF($E$7:$E$78,$AE59,$F$7:$F$78) + SUMIF($H$7:$H$78,$AE59,$G$7:$G$78)</f>
        <v>0</v>
      </c>
      <c r="AJ59" s="123">
        <f>SUMIF($E$7:$E$78,$AE59,$G$7:$G$78) + SUMIF($H$7:$H$78,$AE59,$F$7:$F$78)</f>
        <v>0</v>
      </c>
      <c r="AL59" s="123">
        <f>AI59-AJ59</f>
        <v>0</v>
      </c>
      <c r="AM59" s="123">
        <f>AL59-AL60</f>
        <v>0</v>
      </c>
      <c r="AN59" s="123">
        <f>AF59*3+AG59</f>
        <v>0</v>
      </c>
      <c r="AO59" s="123">
        <f>AN59/AN60*10+BA59</f>
        <v>0</v>
      </c>
      <c r="AP59" s="123">
        <f>AO59*10000000+BI59*100+AM59/AM60*10+AI59/AI60*1++IF(AQ59=0,ROW(),AQ59)/2000000</f>
        <v>7.7547E-4</v>
      </c>
      <c r="AQ59" s="126">
        <f>VLOOKUP(AE59,db_fifarank,2,FALSE)</f>
        <v>1550.94</v>
      </c>
      <c r="AR59" s="125">
        <f>AP59/AP60</f>
        <v>7.7474277994217945E-4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0</v>
      </c>
      <c r="BI59" s="126">
        <f>BH59/BH60</f>
        <v>0</v>
      </c>
      <c r="BK59" s="204"/>
      <c r="BL59" s="26" t="str">
        <f>AS51</f>
        <v>2H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Tors</v>
      </c>
      <c r="C60" s="18" t="str" cm="1">
        <f t="array" ref="C60">INDEX(T,24+MONTH(R60),lang) &amp; " " &amp; DAY(R60) &amp; ", " &amp; YEAR(R60)</f>
        <v>Jun 25, 2026</v>
      </c>
      <c r="D60" s="120">
        <f t="shared" si="6"/>
        <v>4.1666666666666664E-2</v>
      </c>
      <c r="E60" s="78" t="str">
        <f>AE9</f>
        <v>Sør-Afrika</v>
      </c>
      <c r="F60" s="19"/>
      <c r="G60" s="20"/>
      <c r="H60" s="80" t="str">
        <f>AE10</f>
        <v>Sør-Korea</v>
      </c>
      <c r="I60" s="69"/>
      <c r="J60" s="35" t="str">
        <f>VLOOKUP(4,AD56:AN59,2,FALSE)</f>
        <v>Irak</v>
      </c>
      <c r="K60" s="36">
        <f>L60+M60+N60</f>
        <v>0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0</v>
      </c>
      <c r="O60" s="36" t="str">
        <f>VLOOKUP(4,AD56:AN59,6,FALSE) &amp; " - " &amp; VLOOKUP(4,AD56:AN59,7,FALSE)</f>
        <v>0 - 0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/>
      </c>
      <c r="T60" s="127" t="str">
        <f t="shared" si="13"/>
        <v/>
      </c>
      <c r="U60" s="123">
        <f t="shared" si="7"/>
        <v>0</v>
      </c>
      <c r="V60" s="123">
        <f t="shared" si="14"/>
        <v>0</v>
      </c>
      <c r="W60" s="123">
        <f t="shared" si="15"/>
        <v>0</v>
      </c>
      <c r="X60" s="123">
        <f t="shared" si="8"/>
        <v>0</v>
      </c>
      <c r="Y60" s="123">
        <f t="shared" si="9"/>
        <v>0</v>
      </c>
      <c r="Z60" s="123">
        <f t="shared" si="10"/>
        <v>0</v>
      </c>
      <c r="AA60" s="123">
        <f t="shared" si="11"/>
        <v>0</v>
      </c>
      <c r="AB60" s="123" t="str">
        <f t="shared" si="16"/>
        <v/>
      </c>
      <c r="AF60" s="123">
        <f>MAX(AF56:AF59)-MIN(AF56:AF59)+1</f>
        <v>1</v>
      </c>
      <c r="AG60" s="123">
        <f>MAX(AG56:AG59)-MIN(AG56:AG59)+1</f>
        <v>1</v>
      </c>
      <c r="AH60" s="123">
        <f>MAX(AH56:AH59)-MIN(AH56:AH59)+1</f>
        <v>1</v>
      </c>
      <c r="AI60" s="123">
        <f>MAX(AI56:AI59)+1</f>
        <v>1</v>
      </c>
      <c r="AL60" s="123">
        <f>MIN(AL56:AL59)</f>
        <v>0</v>
      </c>
      <c r="AM60" s="123">
        <f>MAX(AM56:AM59)+1</f>
        <v>1</v>
      </c>
      <c r="AN60" s="123">
        <f>MAX(AN56:AN59)+1</f>
        <v>1</v>
      </c>
      <c r="AO60" s="123">
        <f>MAX(AO56:AO59)+1</f>
        <v>1</v>
      </c>
      <c r="AP60" s="123">
        <f>MAX(AP56:AP59)+1</f>
        <v>1.0009386600000001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203">
        <v>95</v>
      </c>
      <c r="BS60" s="24" t="str">
        <f>IF(BP58&gt;BP59,BL58,IF(BP58&lt;BP59,BL59,""))</f>
        <v>1J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Tors</v>
      </c>
      <c r="C61" s="18" t="str" cm="1">
        <f t="array" ref="C61">INDEX(T,24+MONTH(R61),lang) &amp; " " &amp; DAY(R61) &amp; ", " &amp; YEAR(R61)</f>
        <v>Jun 25, 2026</v>
      </c>
      <c r="D61" s="120">
        <f t="shared" si="6"/>
        <v>0.83333333333333337</v>
      </c>
      <c r="E61" s="78" t="str">
        <f>AE33</f>
        <v>Curaçao</v>
      </c>
      <c r="F61" s="19"/>
      <c r="G61" s="20"/>
      <c r="H61" s="80" t="str">
        <f>AE34</f>
        <v>Elfenbenskysten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/>
      </c>
      <c r="T61" s="127" t="str">
        <f t="shared" si="13"/>
        <v/>
      </c>
      <c r="U61" s="123">
        <f t="shared" si="7"/>
        <v>0</v>
      </c>
      <c r="V61" s="123">
        <f t="shared" si="14"/>
        <v>0</v>
      </c>
      <c r="W61" s="123">
        <f t="shared" si="15"/>
        <v>0</v>
      </c>
      <c r="X61" s="123">
        <f t="shared" si="8"/>
        <v>0</v>
      </c>
      <c r="Y61" s="123">
        <f t="shared" si="9"/>
        <v>0</v>
      </c>
      <c r="Z61" s="123">
        <f t="shared" si="10"/>
        <v>0</v>
      </c>
      <c r="AA61" s="123">
        <f t="shared" si="11"/>
        <v>0</v>
      </c>
      <c r="AB61" s="123" t="str">
        <f t="shared" si="16"/>
        <v/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204"/>
      <c r="BS61" s="26" t="str">
        <f>IF(BP62&gt;BP63,BL62,IF(BP62&lt;BP63,BL63,""))</f>
        <v>2G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Tors</v>
      </c>
      <c r="C62" s="18" t="str" cm="1">
        <f t="array" ref="C62">INDEX(T,24+MONTH(R62),lang) &amp; " " &amp; DAY(R62) &amp; ", " &amp; YEAR(R62)</f>
        <v>Jun 25, 2026</v>
      </c>
      <c r="D62" s="120">
        <f t="shared" si="6"/>
        <v>0.83333333333333337</v>
      </c>
      <c r="E62" s="78" t="str">
        <f>AE35</f>
        <v>Ecuador</v>
      </c>
      <c r="F62" s="19"/>
      <c r="G62" s="20"/>
      <c r="H62" s="80" t="str">
        <f>AE32</f>
        <v>Tyskland</v>
      </c>
      <c r="I62" s="69"/>
      <c r="J62" s="38" t="str" cm="1">
        <f t="array" ref="J62">INDEX(T,9,lang) &amp; " " &amp; "J"</f>
        <v>Gruppe J</v>
      </c>
      <c r="K62" s="94" t="str" cm="1">
        <f t="array" ref="K62">INDEX(T,10,lang)</f>
        <v>S</v>
      </c>
      <c r="L62" s="94" t="str" cm="1">
        <f t="array" ref="L62">INDEX(T,11,lang)</f>
        <v>V</v>
      </c>
      <c r="M62" s="94" t="str" cm="1">
        <f t="array" ref="M62">INDEX(T,12,lang)</f>
        <v>T</v>
      </c>
      <c r="N62" s="94" t="str" cm="1">
        <f t="array" ref="N62">INDEX(T,13,lang)</f>
        <v>U</v>
      </c>
      <c r="O62" s="94" t="str" cm="1">
        <f t="array" ref="O62">INDEX(T,14,lang)</f>
        <v>Mål</v>
      </c>
      <c r="P62" s="95" t="str" cm="1">
        <f t="array" ref="P62">INDEX(T,15,lang)</f>
        <v>P</v>
      </c>
      <c r="R62" s="123">
        <f>DATE(2026,6,25)+TIME(9,0,0)+gmt_delta</f>
        <v>46198.833333333336</v>
      </c>
      <c r="S62" s="127" t="str">
        <f t="shared" si="12"/>
        <v/>
      </c>
      <c r="T62" s="127" t="str">
        <f t="shared" si="13"/>
        <v/>
      </c>
      <c r="U62" s="123">
        <f t="shared" si="7"/>
        <v>0</v>
      </c>
      <c r="V62" s="123">
        <f t="shared" si="14"/>
        <v>0</v>
      </c>
      <c r="W62" s="123">
        <f t="shared" si="15"/>
        <v>0</v>
      </c>
      <c r="X62" s="123">
        <f t="shared" si="8"/>
        <v>0</v>
      </c>
      <c r="Y62" s="123">
        <f t="shared" si="9"/>
        <v>0</v>
      </c>
      <c r="Z62" s="123">
        <f t="shared" si="10"/>
        <v>0</v>
      </c>
      <c r="AA62" s="123">
        <f t="shared" si="11"/>
        <v>0</v>
      </c>
      <c r="AB62" s="123" t="str">
        <f t="shared" si="16"/>
        <v/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0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0</v>
      </c>
      <c r="AJ62" s="123">
        <f>SUMIF($E$7:$E$78,$AE62,$G$7:$G$78) + SUMIF($H$7:$H$78,$AE62,$F$7:$F$78)</f>
        <v>0</v>
      </c>
      <c r="AL62" s="123">
        <f>AI62-AJ62</f>
        <v>0</v>
      </c>
      <c r="AM62" s="123">
        <f>AL62-AL66</f>
        <v>0</v>
      </c>
      <c r="AN62" s="123">
        <f>AF62*3+AG62</f>
        <v>0</v>
      </c>
      <c r="AO62" s="123">
        <f>AN62/AN66*10+BA62</f>
        <v>0</v>
      </c>
      <c r="AP62" s="123">
        <f>AO62*10000000+BI62*100+AM62/AM66*10+AI62/AI66*1++IF(AQ62=0,ROW(),AQ62)/2000000</f>
        <v>9.3740999999999996E-4</v>
      </c>
      <c r="AQ62" s="126">
        <f>VLOOKUP(AE62,db_fifarank,2,FALSE)</f>
        <v>1874.82</v>
      </c>
      <c r="AR62" s="125">
        <f>AP62/AP66</f>
        <v>9.3653208545777108E-4</v>
      </c>
      <c r="AS62" s="125" t="str">
        <f>IF(SUM(AF62:AH65)=12,J63,"1J")</f>
        <v>1J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203">
        <v>88</v>
      </c>
      <c r="BL62" s="24" t="str">
        <f>AS27</f>
        <v>2D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Tors</v>
      </c>
      <c r="C63" s="18" t="str" cm="1">
        <f t="array" ref="C63">INDEX(T,24+MONTH(R63),lang) &amp; " " &amp; DAY(R63) &amp; ", " &amp; YEAR(R63)</f>
        <v>Jun 25, 2026</v>
      </c>
      <c r="D63" s="120">
        <f t="shared" si="6"/>
        <v>0.95833333333333337</v>
      </c>
      <c r="E63" s="78" t="str">
        <f>AE39</f>
        <v>Japan</v>
      </c>
      <c r="F63" s="19"/>
      <c r="G63" s="20"/>
      <c r="H63" s="80" t="str">
        <f>AE40</f>
        <v>Sverige</v>
      </c>
      <c r="I63" s="69"/>
      <c r="J63" s="30" t="str">
        <f>VLOOKUP(1,AD62:AN65,2,FALSE)</f>
        <v>Argentina</v>
      </c>
      <c r="K63" s="31">
        <f>L63+M63+N63</f>
        <v>0</v>
      </c>
      <c r="L63" s="31">
        <f>VLOOKUP(1,AD62:AN65,3,FALSE)</f>
        <v>0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0 - 0</v>
      </c>
      <c r="P63" s="32">
        <f>L63*3+M63</f>
        <v>0</v>
      </c>
      <c r="R63" s="123">
        <f>DATE(2026,6,25)+TIME(12,0,0)+gmt_delta</f>
        <v>46198.958333333336</v>
      </c>
      <c r="S63" s="127" t="str">
        <f t="shared" si="12"/>
        <v/>
      </c>
      <c r="T63" s="127" t="str">
        <f t="shared" si="13"/>
        <v/>
      </c>
      <c r="U63" s="123">
        <f t="shared" si="7"/>
        <v>0</v>
      </c>
      <c r="V63" s="123">
        <f t="shared" si="14"/>
        <v>0</v>
      </c>
      <c r="W63" s="123">
        <f t="shared" si="15"/>
        <v>0</v>
      </c>
      <c r="X63" s="123">
        <f t="shared" si="8"/>
        <v>0</v>
      </c>
      <c r="Y63" s="123">
        <f t="shared" si="9"/>
        <v>0</v>
      </c>
      <c r="Z63" s="123">
        <f t="shared" si="10"/>
        <v>0</v>
      </c>
      <c r="AA63" s="123">
        <f t="shared" si="11"/>
        <v>0</v>
      </c>
      <c r="AB63" s="123" t="str">
        <f t="shared" si="16"/>
        <v/>
      </c>
      <c r="AD63" s="123">
        <f>COUNTIF(AR62:AR65,CONCATENATE("&gt;=",AR63))</f>
        <v>3</v>
      </c>
      <c r="AE63" s="124" t="str">
        <f>VLOOKUP("Algeria",T,lang,FALSE)</f>
        <v>Algerie</v>
      </c>
      <c r="AF63" s="123">
        <f>COUNTIF($S$7:$T$78,"=" &amp; AE63 &amp; "_win")</f>
        <v>0</v>
      </c>
      <c r="AG63" s="123">
        <f>COUNTIF($S$7:$T$78,"=" &amp; AE63 &amp; "_draw")</f>
        <v>0</v>
      </c>
      <c r="AH63" s="123">
        <f>COUNTIF($S$7:$T$78,"=" &amp; AE63 &amp; "_lose")</f>
        <v>0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0</v>
      </c>
      <c r="AL63" s="123">
        <f>AI63-AJ63</f>
        <v>0</v>
      </c>
      <c r="AM63" s="123">
        <f>AL63-AL66</f>
        <v>0</v>
      </c>
      <c r="AN63" s="123">
        <f>AF63*3+AG63</f>
        <v>0</v>
      </c>
      <c r="AO63" s="123">
        <f>AN63/AN66*10+BA63</f>
        <v>0</v>
      </c>
      <c r="AP63" s="123">
        <f>AO63*10000000+BI63*100+AM63/AM66*10+AI63/AI66*1++IF(AQ63=0,ROW(),AQ63)/2000000</f>
        <v>7.8213000000000002E-4</v>
      </c>
      <c r="AQ63" s="126">
        <f>VLOOKUP(AE63,db_fifarank,2,FALSE)</f>
        <v>1564.26</v>
      </c>
      <c r="AR63" s="125">
        <f>AP63/AP66</f>
        <v>7.8139751016000102E-4</v>
      </c>
      <c r="AS63" s="125" t="str">
        <f>IF(SUM(AF62:AH65)=12,J64,"2J")</f>
        <v>2J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204"/>
      <c r="BL63" s="26" t="str">
        <f>AS45</f>
        <v>2G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Tors</v>
      </c>
      <c r="C64" s="18" t="str" cm="1">
        <f t="array" ref="C64">INDEX(T,24+MONTH(R64),lang) &amp; " " &amp; DAY(R64) &amp; ", " &amp; YEAR(R64)</f>
        <v>Jun 25, 2026</v>
      </c>
      <c r="D64" s="120">
        <f t="shared" si="6"/>
        <v>0.95833333333333337</v>
      </c>
      <c r="E64" s="78" t="str">
        <f>AE41</f>
        <v>Tunisia</v>
      </c>
      <c r="F64" s="19"/>
      <c r="G64" s="20"/>
      <c r="H64" s="80" t="str">
        <f>AE38</f>
        <v>Nederland</v>
      </c>
      <c r="I64" s="69"/>
      <c r="J64" s="33" t="str">
        <f>VLOOKUP(2,AD62:AN65,2,FALSE)</f>
        <v>Østerrike</v>
      </c>
      <c r="K64" s="23">
        <f>L64+M64+N64</f>
        <v>0</v>
      </c>
      <c r="L64" s="23">
        <f>VLOOKUP(2,AD62:AN65,3,FALSE)</f>
        <v>0</v>
      </c>
      <c r="M64" s="23">
        <f>VLOOKUP(2,AD62:AN65,4,FALSE)</f>
        <v>0</v>
      </c>
      <c r="N64" s="23">
        <f>VLOOKUP(2,AD62:AN65,5,FALSE)</f>
        <v>0</v>
      </c>
      <c r="O64" s="23" t="str">
        <f>VLOOKUP(2,AD62:AN65,6,FALSE) &amp; " - " &amp; VLOOKUP(2,AD62:AN65,7,FALSE)</f>
        <v>0 - 0</v>
      </c>
      <c r="P64" s="34">
        <f>L64*3+M64</f>
        <v>0</v>
      </c>
      <c r="R64" s="123">
        <f>DATE(2026,6,25)+TIME(12,0,0)+gmt_delta</f>
        <v>46198.958333333336</v>
      </c>
      <c r="S64" s="127" t="str">
        <f t="shared" si="12"/>
        <v/>
      </c>
      <c r="T64" s="127" t="str">
        <f t="shared" si="13"/>
        <v/>
      </c>
      <c r="U64" s="123">
        <f t="shared" si="7"/>
        <v>0</v>
      </c>
      <c r="V64" s="123">
        <f t="shared" si="14"/>
        <v>0</v>
      </c>
      <c r="W64" s="123">
        <f t="shared" si="15"/>
        <v>0</v>
      </c>
      <c r="X64" s="123">
        <f t="shared" si="8"/>
        <v>0</v>
      </c>
      <c r="Y64" s="123">
        <f t="shared" si="9"/>
        <v>0</v>
      </c>
      <c r="Z64" s="123">
        <f t="shared" si="10"/>
        <v>0</v>
      </c>
      <c r="AA64" s="123">
        <f t="shared" si="11"/>
        <v>0</v>
      </c>
      <c r="AB64" s="123" t="str">
        <f t="shared" si="16"/>
        <v/>
      </c>
      <c r="AD64" s="123">
        <f>COUNTIF(AR62:AR65,CONCATENATE("&gt;=",AR64))</f>
        <v>2</v>
      </c>
      <c r="AE64" s="124" t="str">
        <f>VLOOKUP("Austria",T,lang,FALSE)</f>
        <v>Østerrike</v>
      </c>
      <c r="AF64" s="123">
        <f>COUNTIF($S$7:$T$78,"=" &amp; AE64 &amp; "_win")</f>
        <v>0</v>
      </c>
      <c r="AG64" s="123">
        <f>COUNTIF($S$7:$T$78,"=" &amp; AE64 &amp; "_draw")</f>
        <v>0</v>
      </c>
      <c r="AH64" s="123">
        <f>COUNTIF($S$7:$T$78,"=" &amp; AE64 &amp; "_lose")</f>
        <v>0</v>
      </c>
      <c r="AI64" s="123">
        <f>SUMIF($E$7:$E$78,$AE64,$F$7:$F$78) + SUMIF($H$7:$H$78,$AE64,$G$7:$G$78)</f>
        <v>0</v>
      </c>
      <c r="AJ64" s="123">
        <f>SUMIF($E$7:$E$78,$AE64,$G$7:$G$78) + SUMIF($H$7:$H$78,$AE64,$F$7:$F$78)</f>
        <v>0</v>
      </c>
      <c r="AL64" s="123">
        <f>AI64-AJ64</f>
        <v>0</v>
      </c>
      <c r="AM64" s="123">
        <f>AL64-AL66</f>
        <v>0</v>
      </c>
      <c r="AN64" s="123">
        <f>AF64*3+AG64</f>
        <v>0</v>
      </c>
      <c r="AO64" s="123">
        <f>AN64/AN66*10+BA64</f>
        <v>0</v>
      </c>
      <c r="AP64" s="123">
        <f>AO64*10000000+BI64*100+AM64/AM66*10+AI64/AI66*1++IF(AQ64=0,ROW(),AQ64)/2000000</f>
        <v>7.9672499999999997E-4</v>
      </c>
      <c r="AQ64" s="126">
        <f>VLOOKUP(AE64,db_fifarank,2,FALSE)</f>
        <v>1593.45</v>
      </c>
      <c r="AR64" s="125">
        <f>AP64/AP66</f>
        <v>7.9597884147421369E-4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203">
        <v>100</v>
      </c>
      <c r="BZ64" s="24" t="str">
        <f>IF(BW60&gt;BW61,BS60,IF(BW60&lt;BW61,BS61,""))</f>
        <v>1J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Fre</v>
      </c>
      <c r="C65" s="18" t="str" cm="1">
        <f t="array" ref="C65">INDEX(T,24+MONTH(R65),lang) &amp; " " &amp; DAY(R65) &amp; ", " &amp; YEAR(R65)</f>
        <v>Jun 26, 2026</v>
      </c>
      <c r="D65" s="120">
        <f t="shared" si="6"/>
        <v>8.3333333333333329E-2</v>
      </c>
      <c r="E65" s="78" t="str">
        <f>AE29</f>
        <v>Tyrkia</v>
      </c>
      <c r="F65" s="19"/>
      <c r="G65" s="20"/>
      <c r="H65" s="80" t="str">
        <f>AE26</f>
        <v>USA</v>
      </c>
      <c r="I65" s="69"/>
      <c r="J65" s="33" t="str">
        <f>VLOOKUP(3,AD62:AN65,2,FALSE)</f>
        <v>Algerie</v>
      </c>
      <c r="K65" s="23">
        <f>L65+M65+N65</f>
        <v>0</v>
      </c>
      <c r="L65" s="23">
        <f>VLOOKUP(3,AD62:AN65,3,FALSE)</f>
        <v>0</v>
      </c>
      <c r="M65" s="23">
        <f>VLOOKUP(3,AD62:AN65,4,FALSE)</f>
        <v>0</v>
      </c>
      <c r="N65" s="23">
        <f>VLOOKUP(3,AD62:AN65,5,FALSE)</f>
        <v>0</v>
      </c>
      <c r="O65" s="23" t="str">
        <f>VLOOKUP(3,AD62:AN65,6,FALSE) &amp; " - " &amp; VLOOKUP(3,AD62:AN65,7,FALSE)</f>
        <v>0 - 0</v>
      </c>
      <c r="P65" s="34">
        <f>L65*3+M65</f>
        <v>0</v>
      </c>
      <c r="R65" s="123">
        <f>DATE(2026,6,25)+TIME(15,0,0)+gmt_delta</f>
        <v>46199.083333333336</v>
      </c>
      <c r="S65" s="127" t="str">
        <f t="shared" si="12"/>
        <v/>
      </c>
      <c r="T65" s="127" t="str">
        <f t="shared" si="13"/>
        <v/>
      </c>
      <c r="U65" s="123">
        <f t="shared" si="7"/>
        <v>0</v>
      </c>
      <c r="V65" s="123">
        <f t="shared" si="14"/>
        <v>0</v>
      </c>
      <c r="W65" s="123">
        <f t="shared" si="15"/>
        <v>0</v>
      </c>
      <c r="X65" s="123">
        <f t="shared" si="8"/>
        <v>0</v>
      </c>
      <c r="Y65" s="123">
        <f t="shared" si="9"/>
        <v>0</v>
      </c>
      <c r="Z65" s="123">
        <f t="shared" si="10"/>
        <v>0</v>
      </c>
      <c r="AA65" s="123">
        <f t="shared" si="11"/>
        <v>0</v>
      </c>
      <c r="AB65" s="123" t="str">
        <f t="shared" si="16"/>
        <v/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0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0</v>
      </c>
      <c r="AL65" s="123">
        <f>AI65-AJ65</f>
        <v>0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6.9507343121484491E-4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204"/>
      <c r="BZ65" s="26" t="str">
        <f>IF(BW68&gt;BW69,BS68,IF(BW68&lt;BW69,BS69,""))</f>
        <v>1K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Fre</v>
      </c>
      <c r="C66" s="18" t="str" cm="1">
        <f t="array" ref="C66">INDEX(T,24+MONTH(R66),lang) &amp; " " &amp; DAY(R66) &amp; ", " &amp; YEAR(R66)</f>
        <v>Jun 26, 2026</v>
      </c>
      <c r="D66" s="120">
        <f t="shared" si="6"/>
        <v>8.3333333333333329E-2</v>
      </c>
      <c r="E66" s="78" t="str">
        <f>AE27</f>
        <v>Paraguay</v>
      </c>
      <c r="F66" s="19"/>
      <c r="G66" s="20"/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0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0</v>
      </c>
      <c r="O66" s="36" t="str">
        <f>VLOOKUP(4,AD62:AN65,6,FALSE) &amp; " - " &amp; VLOOKUP(4,AD62:AN65,7,FALSE)</f>
        <v>0 - 0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2"/>
        <v/>
      </c>
      <c r="T66" s="127" t="str">
        <f t="shared" si="13"/>
        <v/>
      </c>
      <c r="U66" s="123">
        <f t="shared" si="7"/>
        <v>0</v>
      </c>
      <c r="V66" s="123">
        <f t="shared" si="14"/>
        <v>0</v>
      </c>
      <c r="W66" s="123">
        <f t="shared" si="15"/>
        <v>0</v>
      </c>
      <c r="X66" s="123">
        <f t="shared" si="8"/>
        <v>0</v>
      </c>
      <c r="Y66" s="123">
        <f t="shared" si="9"/>
        <v>0</v>
      </c>
      <c r="Z66" s="123">
        <f t="shared" si="10"/>
        <v>0</v>
      </c>
      <c r="AA66" s="123">
        <f t="shared" si="11"/>
        <v>0</v>
      </c>
      <c r="AB66" s="123" t="str">
        <f t="shared" si="16"/>
        <v/>
      </c>
      <c r="AF66" s="123">
        <f>MAX(AF62:AF65)-MIN(AF62:AF65)+1</f>
        <v>1</v>
      </c>
      <c r="AG66" s="123">
        <f>MAX(AG62:AG65)-MIN(AG62:AG65)+1</f>
        <v>1</v>
      </c>
      <c r="AH66" s="123">
        <f>MAX(AH62:AH65)-MIN(AH62:AH65)+1</f>
        <v>1</v>
      </c>
      <c r="AI66" s="123">
        <f>MAX(AI62:AI65)+1</f>
        <v>1</v>
      </c>
      <c r="AL66" s="123">
        <f>MIN(AL62:AL65)</f>
        <v>0</v>
      </c>
      <c r="AM66" s="123">
        <f>MAX(AM62:AM65)+1</f>
        <v>1</v>
      </c>
      <c r="AN66" s="123">
        <f>MAX(AN62:AN65)+1</f>
        <v>1</v>
      </c>
      <c r="AO66" s="123">
        <f>MAX(AO62:AO65)+1</f>
        <v>1</v>
      </c>
      <c r="AP66" s="123">
        <f>MAX(AP62:AP65)+1</f>
        <v>1.0009374099999999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203">
        <v>85</v>
      </c>
      <c r="BL66" s="24" t="str">
        <f>AS14</f>
        <v>1B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Fre</v>
      </c>
      <c r="C67" s="18" t="str" cm="1">
        <f t="array" ref="C67">INDEX(T,24+MONTH(R67),lang) &amp; " " &amp; DAY(R67) &amp; ", " &amp; YEAR(R67)</f>
        <v>Jun 26, 2026</v>
      </c>
      <c r="D67" s="120">
        <f t="shared" si="6"/>
        <v>0.79166666666666663</v>
      </c>
      <c r="E67" s="78" t="str">
        <f>AE59</f>
        <v>Norge</v>
      </c>
      <c r="F67" s="19"/>
      <c r="G67" s="20"/>
      <c r="H67" s="80" t="str">
        <f>AE56</f>
        <v>Frankrike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/>
      </c>
      <c r="T67" s="127" t="str">
        <f t="shared" si="13"/>
        <v/>
      </c>
      <c r="U67" s="123">
        <f t="shared" si="7"/>
        <v>0</v>
      </c>
      <c r="V67" s="123">
        <f t="shared" si="14"/>
        <v>0</v>
      </c>
      <c r="W67" s="123">
        <f t="shared" si="15"/>
        <v>0</v>
      </c>
      <c r="X67" s="123">
        <f t="shared" si="8"/>
        <v>0</v>
      </c>
      <c r="Y67" s="123">
        <f t="shared" si="9"/>
        <v>0</v>
      </c>
      <c r="Z67" s="123">
        <f t="shared" si="10"/>
        <v>0</v>
      </c>
      <c r="AA67" s="123">
        <f t="shared" si="11"/>
        <v>1</v>
      </c>
      <c r="AB67" s="123" t="str">
        <f t="shared" si="16"/>
        <v/>
      </c>
      <c r="BK67" s="204"/>
      <c r="BL67" s="26" t="str">
        <f>IF(group_round_completed,VLOOKUP('3rd places'!E3,AK80:AS91,9,FALSE),"3rd Group E/F/G/I/J")</f>
        <v>3rd Group E/F/G/I/J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Fre</v>
      </c>
      <c r="C68" s="18" t="str" cm="1">
        <f t="array" ref="C68">INDEX(T,24+MONTH(R68),lang) &amp; " " &amp; DAY(R68) &amp; ", " &amp; YEAR(R68)</f>
        <v>Jun 26, 2026</v>
      </c>
      <c r="D68" s="120">
        <f t="shared" si="6"/>
        <v>0.79166666666666663</v>
      </c>
      <c r="E68" s="78" t="str">
        <f>AE57</f>
        <v>Senegal</v>
      </c>
      <c r="F68" s="19"/>
      <c r="G68" s="20"/>
      <c r="H68" s="80" t="str">
        <f>AE58</f>
        <v>Irak</v>
      </c>
      <c r="I68" s="69"/>
      <c r="J68" s="38" t="str" cm="1">
        <f t="array" ref="J68">INDEX(T,9,lang) &amp; " " &amp; "K"</f>
        <v>Gruppe K</v>
      </c>
      <c r="K68" s="94" t="str" cm="1">
        <f t="array" ref="K68">INDEX(T,10,lang)</f>
        <v>S</v>
      </c>
      <c r="L68" s="94" t="str" cm="1">
        <f t="array" ref="L68">INDEX(T,11,lang)</f>
        <v>V</v>
      </c>
      <c r="M68" s="94" t="str" cm="1">
        <f t="array" ref="M68">INDEX(T,12,lang)</f>
        <v>T</v>
      </c>
      <c r="N68" s="94" t="str" cm="1">
        <f t="array" ref="N68">INDEX(T,13,lang)</f>
        <v>U</v>
      </c>
      <c r="O68" s="94" t="str" cm="1">
        <f t="array" ref="O68">INDEX(T,14,lang)</f>
        <v>Mål</v>
      </c>
      <c r="P68" s="95" t="str" cm="1">
        <f t="array" ref="P68">INDEX(T,15,lang)</f>
        <v>P</v>
      </c>
      <c r="R68" s="123">
        <f>DATE(2026,6,26)+TIME(8,0,0)+gmt_delta</f>
        <v>46199.791666666672</v>
      </c>
      <c r="S68" s="127" t="str">
        <f t="shared" si="12"/>
        <v/>
      </c>
      <c r="T68" s="127" t="str">
        <f t="shared" si="13"/>
        <v/>
      </c>
      <c r="U68" s="123">
        <f t="shared" si="7"/>
        <v>0</v>
      </c>
      <c r="V68" s="123">
        <f t="shared" si="14"/>
        <v>0</v>
      </c>
      <c r="W68" s="123">
        <f t="shared" si="15"/>
        <v>0</v>
      </c>
      <c r="X68" s="123">
        <f t="shared" si="8"/>
        <v>0</v>
      </c>
      <c r="Y68" s="123">
        <f t="shared" si="9"/>
        <v>0</v>
      </c>
      <c r="Z68" s="123">
        <f t="shared" si="10"/>
        <v>0</v>
      </c>
      <c r="AA68" s="123">
        <f t="shared" si="11"/>
        <v>0</v>
      </c>
      <c r="AB68" s="123" t="str">
        <f t="shared" si="16"/>
        <v/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0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0</v>
      </c>
      <c r="AJ68" s="123">
        <f>SUMIF($E$7:$E$78,$AE68,$G$7:$G$78) + SUMIF($H$7:$H$78,$AE68,$F$7:$F$78)</f>
        <v>0</v>
      </c>
      <c r="AL68" s="123">
        <f>AI68-AJ68</f>
        <v>0</v>
      </c>
      <c r="AM68" s="123">
        <f>AL68-AL72</f>
        <v>0</v>
      </c>
      <c r="AN68" s="123">
        <f>AF68*3+AG68</f>
        <v>0</v>
      </c>
      <c r="AO68" s="123">
        <f>AN68/AN72*10+BA68</f>
        <v>0</v>
      </c>
      <c r="AP68" s="123">
        <f>AO68*10000000+BI68*100+AM68/AM72*10+AI68/AI72*1++IF(AQ68=0,ROW(),AQ68)/2000000</f>
        <v>8.8191499999999993E-4</v>
      </c>
      <c r="AQ68" s="126">
        <f>VLOOKUP(AE68,db_fifarank,2,FALSE)</f>
        <v>1763.83</v>
      </c>
      <c r="AR68" s="125">
        <f>AP68/AP72</f>
        <v>8.8113791125899203E-4</v>
      </c>
      <c r="AS68" s="125" t="str">
        <f>IF(SUM(AF68:AH71)=12,J69,"1K")</f>
        <v>1K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203">
        <v>96</v>
      </c>
      <c r="BS68" s="24" t="str">
        <f>IF(BP66&gt;BP67,BL66,IF(BP66&lt;BP67,BL67,""))</f>
        <v>1B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235" t="str">
        <f>INDEX(T,144,lang)</f>
        <v>Vinner 2026</v>
      </c>
      <c r="CF68" s="235"/>
      <c r="CG68" s="235"/>
      <c r="CH68" s="235"/>
      <c r="CI68" s="235"/>
      <c r="CJ68" s="235"/>
      <c r="CK68" s="225" t="str">
        <f>IF(CR37&gt;CR38,CN37,IF(CR37&lt;CR38,CN38,""))</f>
        <v>1L</v>
      </c>
      <c r="CL68" s="225"/>
      <c r="CM68" s="225"/>
      <c r="CN68" s="225"/>
      <c r="CO68" s="225"/>
      <c r="CP68" s="225"/>
      <c r="CQ68" s="225"/>
    </row>
    <row r="69" spans="1:95" x14ac:dyDescent="0.25">
      <c r="A69" s="16">
        <v>63</v>
      </c>
      <c r="B69" s="17" t="str" cm="1">
        <f t="array" ref="B69">INDEX(T,18+INT(MOD(R69-1,7)),lang)</f>
        <v>Lør</v>
      </c>
      <c r="C69" s="18" t="str" cm="1">
        <f t="array" ref="C69">INDEX(T,24+MONTH(R69),lang) &amp; " " &amp; DAY(R69) &amp; ", " &amp; YEAR(R69)</f>
        <v>Jun 27, 2026</v>
      </c>
      <c r="D69" s="120">
        <f t="shared" si="6"/>
        <v>0.125</v>
      </c>
      <c r="E69" s="78" t="str">
        <f>AE45</f>
        <v>Egypt</v>
      </c>
      <c r="F69" s="19"/>
      <c r="G69" s="20"/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0</v>
      </c>
      <c r="L69" s="31">
        <f>VLOOKUP(1,AD68:AN71,3,FALSE)</f>
        <v>0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0 - 0</v>
      </c>
      <c r="P69" s="32">
        <f>L69*3+M69</f>
        <v>0</v>
      </c>
      <c r="R69" s="123">
        <f>DATE(2026,6,26)+TIME(16,0,0)+gmt_delta</f>
        <v>46200.125</v>
      </c>
      <c r="S69" s="127" t="str">
        <f t="shared" si="12"/>
        <v/>
      </c>
      <c r="T69" s="127" t="str">
        <f t="shared" si="13"/>
        <v/>
      </c>
      <c r="U69" s="123">
        <f t="shared" si="7"/>
        <v>0</v>
      </c>
      <c r="V69" s="123">
        <f t="shared" si="14"/>
        <v>0</v>
      </c>
      <c r="W69" s="123">
        <f t="shared" si="15"/>
        <v>0</v>
      </c>
      <c r="X69" s="123">
        <f t="shared" si="8"/>
        <v>0</v>
      </c>
      <c r="Y69" s="123">
        <f t="shared" si="9"/>
        <v>0</v>
      </c>
      <c r="Z69" s="123">
        <f t="shared" si="10"/>
        <v>0</v>
      </c>
      <c r="AA69" s="123">
        <f t="shared" si="11"/>
        <v>0</v>
      </c>
      <c r="AB69" s="123" t="str">
        <f t="shared" si="16"/>
        <v/>
      </c>
      <c r="AD69" s="123">
        <f>COUNTIF(AR68:AR71,CONCATENATE("&gt;=",AR69))</f>
        <v>3</v>
      </c>
      <c r="AE69" s="124" t="str">
        <f>VLOOKUP("DR Congo",T,lang,FALSE)</f>
        <v>DR Kongo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0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0</v>
      </c>
      <c r="AL69" s="123">
        <f>AI69-AJ69</f>
        <v>0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7.385236848844451E-4</v>
      </c>
      <c r="AS69" s="125" t="str">
        <f>IF(SUM(AF68:AH71)=12,J70,"2K")</f>
        <v>2K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204"/>
      <c r="BS69" s="26" t="str">
        <f>IF(BP70&gt;BP71,BL70,IF(BP70&lt;BP71,BL71,""))</f>
        <v>1K</v>
      </c>
      <c r="BT69" s="62">
        <v>1</v>
      </c>
      <c r="BU69" s="64"/>
      <c r="BV69" s="27"/>
      <c r="BW69" s="112">
        <f>IF(BW68="","",BT69*1000+BU69*10+BV69)</f>
        <v>1000</v>
      </c>
      <c r="CE69" s="235"/>
      <c r="CF69" s="235"/>
      <c r="CG69" s="235"/>
      <c r="CH69" s="235"/>
      <c r="CI69" s="235"/>
      <c r="CJ69" s="235"/>
      <c r="CK69" s="225"/>
      <c r="CL69" s="225"/>
      <c r="CM69" s="225"/>
      <c r="CN69" s="225"/>
      <c r="CO69" s="225"/>
      <c r="CP69" s="225"/>
      <c r="CQ69" s="225"/>
    </row>
    <row r="70" spans="1:95" x14ac:dyDescent="0.25">
      <c r="A70" s="16">
        <v>64</v>
      </c>
      <c r="B70" s="17" t="str" cm="1">
        <f t="array" ref="B70">INDEX(T,18+INT(MOD(R70-1,7)),lang)</f>
        <v>Lør</v>
      </c>
      <c r="C70" s="18" t="str" cm="1">
        <f t="array" ref="C70">INDEX(T,24+MONTH(R70),lang) &amp; " " &amp; DAY(R70) &amp; ", " &amp; YEAR(R70)</f>
        <v>Jun 27, 2026</v>
      </c>
      <c r="D70" s="120">
        <f t="shared" si="6"/>
        <v>0.125</v>
      </c>
      <c r="E70" s="78" t="str">
        <f>AE47</f>
        <v>New Zealand</v>
      </c>
      <c r="F70" s="19"/>
      <c r="G70" s="20"/>
      <c r="H70" s="80" t="str">
        <f>AE44</f>
        <v>Belgia</v>
      </c>
      <c r="I70" s="69"/>
      <c r="J70" s="33" t="str">
        <f>VLOOKUP(2,AD68:AN71,2,FALSE)</f>
        <v>Colombia</v>
      </c>
      <c r="K70" s="23">
        <f>L70+M70+N70</f>
        <v>0</v>
      </c>
      <c r="L70" s="23">
        <f>VLOOKUP(2,AD68:AN71,3,FALSE)</f>
        <v>0</v>
      </c>
      <c r="M70" s="23">
        <f>VLOOKUP(2,AD68:AN71,4,FALSE)</f>
        <v>0</v>
      </c>
      <c r="N70" s="23">
        <f>VLOOKUP(2,AD68:AN71,5,FALSE)</f>
        <v>0</v>
      </c>
      <c r="O70" s="23" t="str">
        <f>VLOOKUP(2,AD68:AN71,6,FALSE) &amp; " - " &amp; VLOOKUP(2,AD68:AN71,7,FALSE)</f>
        <v>0 - 0</v>
      </c>
      <c r="P70" s="34">
        <f>L70*3+M70</f>
        <v>0</v>
      </c>
      <c r="R70" s="123">
        <f>DATE(2026,6,26)+TIME(16,0,0)+gmt_delta</f>
        <v>46200.125</v>
      </c>
      <c r="S70" s="127" t="str">
        <f t="shared" si="12"/>
        <v/>
      </c>
      <c r="T70" s="127" t="str">
        <f t="shared" si="13"/>
        <v/>
      </c>
      <c r="U70" s="123">
        <f t="shared" si="7"/>
        <v>0</v>
      </c>
      <c r="V70" s="123">
        <f t="shared" si="14"/>
        <v>0</v>
      </c>
      <c r="W70" s="123">
        <f t="shared" si="15"/>
        <v>0</v>
      </c>
      <c r="X70" s="123">
        <f t="shared" si="8"/>
        <v>0</v>
      </c>
      <c r="Y70" s="123">
        <f t="shared" si="9"/>
        <v>0</v>
      </c>
      <c r="Z70" s="123">
        <f t="shared" si="10"/>
        <v>0</v>
      </c>
      <c r="AA70" s="123">
        <f t="shared" si="11"/>
        <v>0</v>
      </c>
      <c r="AB70" s="123" t="str">
        <f t="shared" si="16"/>
        <v/>
      </c>
      <c r="AD70" s="123">
        <f>COUNTIF(AR68:AR71,CONCATENATE("&gt;=",AR70))</f>
        <v>4</v>
      </c>
      <c r="AE70" s="124" t="str">
        <f>VLOOKUP("Uzbekistan",T,lang,FALSE)</f>
        <v>Usbekistan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0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0</v>
      </c>
      <c r="AL70" s="123">
        <f>AI70-AJ70</f>
        <v>0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7.3202441668655794E-4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203">
        <v>87</v>
      </c>
      <c r="BL70" s="24" t="str">
        <f>AS68</f>
        <v>1K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Lør</v>
      </c>
      <c r="C71" s="18" t="str" cm="1">
        <f t="array" ref="C71">INDEX(T,24+MONTH(R71),lang) &amp; " " &amp; DAY(R71) &amp; ", " &amp; YEAR(R71)</f>
        <v>Jun 27, 2026</v>
      </c>
      <c r="D71" s="120">
        <f t="shared" si="6"/>
        <v>0</v>
      </c>
      <c r="E71" s="78" t="str">
        <f>AE51</f>
        <v>Kapp Verde</v>
      </c>
      <c r="F71" s="19"/>
      <c r="G71" s="20"/>
      <c r="H71" s="80" t="str">
        <f>AE52</f>
        <v>Saudi-Arabia</v>
      </c>
      <c r="I71" s="69"/>
      <c r="J71" s="33" t="str">
        <f>VLOOKUP(3,AD68:AN71,2,FALSE)</f>
        <v>DR Kongo</v>
      </c>
      <c r="K71" s="23">
        <f>L71+M71+N71</f>
        <v>0</v>
      </c>
      <c r="L71" s="23">
        <f>VLOOKUP(3,AD68:AN71,3,FALSE)</f>
        <v>0</v>
      </c>
      <c r="M71" s="23">
        <f>VLOOKUP(3,AD68:AN71,4,FALSE)</f>
        <v>0</v>
      </c>
      <c r="N71" s="23">
        <f>VLOOKUP(3,AD68:AN71,5,FALSE)</f>
        <v>0</v>
      </c>
      <c r="O71" s="23" t="str">
        <f>VLOOKUP(3,AD68:AN71,6,FALSE) &amp; " - " &amp; VLOOKUP(3,AD68:AN71,7,FALSE)</f>
        <v>0 - 0</v>
      </c>
      <c r="P71" s="34">
        <f>L71*3+M71</f>
        <v>0</v>
      </c>
      <c r="R71" s="123">
        <f>DATE(2026,6,26)+TIME(13,0,0)+gmt_delta</f>
        <v>46200</v>
      </c>
      <c r="S71" s="127" t="str">
        <f t="shared" si="12"/>
        <v/>
      </c>
      <c r="T71" s="127" t="str">
        <f t="shared" si="13"/>
        <v/>
      </c>
      <c r="U71" s="123">
        <f t="shared" si="7"/>
        <v>0</v>
      </c>
      <c r="V71" s="123">
        <f t="shared" si="14"/>
        <v>0</v>
      </c>
      <c r="W71" s="123">
        <f t="shared" si="15"/>
        <v>0</v>
      </c>
      <c r="X71" s="123">
        <f t="shared" si="8"/>
        <v>0</v>
      </c>
      <c r="Y71" s="123">
        <f t="shared" si="9"/>
        <v>0</v>
      </c>
      <c r="Z71" s="123">
        <f t="shared" si="10"/>
        <v>0</v>
      </c>
      <c r="AA71" s="123">
        <f t="shared" ref="AA71:AA78" si="17">IF(OR(E71=my_team,H71=my_team),1,IF(INT(MATCH(E71,$AE$8:$AE$78,0)/6)=$AA$6,1,0))</f>
        <v>0</v>
      </c>
      <c r="AB71" s="123" t="str">
        <f t="shared" si="16"/>
        <v/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0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0</v>
      </c>
      <c r="AJ71" s="123">
        <f>SUMIF($E$7:$E$78,$AE71,$G$7:$G$78) + SUMIF($H$7:$H$78,$AE71,$F$7:$F$78)</f>
        <v>0</v>
      </c>
      <c r="AL71" s="123">
        <f>AI71-AJ71</f>
        <v>0</v>
      </c>
      <c r="AM71" s="123">
        <f>AL71-AL72</f>
        <v>0</v>
      </c>
      <c r="AN71" s="123">
        <f>AF71*3+AG71</f>
        <v>0</v>
      </c>
      <c r="AO71" s="123">
        <f>AN71/AN72*10+BA71</f>
        <v>0</v>
      </c>
      <c r="AP71" s="123">
        <f>AO71*10000000+BI71*100+AM71/AM72*10+AI71/AI72*1++IF(AQ71=0,ROW(),AQ71)/2000000</f>
        <v>8.4654499999999998E-4</v>
      </c>
      <c r="AQ71" s="126">
        <f>VLOOKUP(AE71,db_fifarank,2,FALSE)</f>
        <v>1693.09</v>
      </c>
      <c r="AR71" s="125">
        <f>AP71/AP72</f>
        <v>8.4579907710691335E-4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204"/>
      <c r="BL71" s="26" t="str">
        <f>IF(group_round_completed,VLOOKUP('3rd places'!J3,AK80:AS91,9,FALSE),"3rd Group D/E/I/J/L")</f>
        <v>3rd Group D/E/I/J/L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Lør</v>
      </c>
      <c r="C72" s="18" t="str" cm="1">
        <f t="array" ref="C72">INDEX(T,24+MONTH(R72),lang) &amp; " " &amp; DAY(R72) &amp; ", " &amp; YEAR(R72)</f>
        <v>Jun 27, 2026</v>
      </c>
      <c r="D72" s="120">
        <f t="shared" ref="D72:D78" si="18">TIME(HOUR(R72),MINUTE(R72),0)</f>
        <v>0</v>
      </c>
      <c r="E72" s="78" t="str">
        <f>AE53</f>
        <v>Uruguay</v>
      </c>
      <c r="F72" s="19"/>
      <c r="G72" s="20"/>
      <c r="H72" s="80" t="str">
        <f>AE50</f>
        <v>Spania</v>
      </c>
      <c r="I72" s="69"/>
      <c r="J72" s="35" t="str">
        <f>VLOOKUP(4,AD68:AN71,2,FALSE)</f>
        <v>Usbekistan</v>
      </c>
      <c r="K72" s="36">
        <f>L72+M72+N72</f>
        <v>0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0</v>
      </c>
      <c r="O72" s="36" t="str">
        <f>VLOOKUP(4,AD68:AN71,6,FALSE) &amp; " - " &amp; VLOOKUP(4,AD68:AN71,7,FALSE)</f>
        <v>0 - 0</v>
      </c>
      <c r="P72" s="37">
        <f>L72*3+M72</f>
        <v>0</v>
      </c>
      <c r="R72" s="123">
        <f>DATE(2026,6,26)+TIME(13,0,0)+gmt_delta</f>
        <v>46200</v>
      </c>
      <c r="S72" s="127" t="str">
        <f t="shared" si="12"/>
        <v/>
      </c>
      <c r="T72" s="127" t="str">
        <f t="shared" si="13"/>
        <v/>
      </c>
      <c r="U72" s="123">
        <f t="shared" ref="U72:U78" si="19">IF(S72="",0,IF(VLOOKUP(E72,$AE$8:$AN$77,10,FALSE)=VLOOKUP(H72,$AE$8:$AN$77,10,FALSE),1,0))</f>
        <v>0</v>
      </c>
      <c r="V72" s="123">
        <f t="shared" si="14"/>
        <v>0</v>
      </c>
      <c r="W72" s="123">
        <f t="shared" si="15"/>
        <v>0</v>
      </c>
      <c r="X72" s="123">
        <f t="shared" ref="X72:X78" si="20">IF(S72="",0,IF(VLOOKUP(E72,$AE$8:$AO$77,11,FALSE)=VLOOKUP(H72,$AE$8:$AO$77,11,FALSE),1,0))</f>
        <v>0</v>
      </c>
      <c r="Y72" s="123">
        <f t="shared" ref="Y72:Y78" si="21">X72*F72</f>
        <v>0</v>
      </c>
      <c r="Z72" s="123">
        <f t="shared" ref="Z72:Z78" si="22">X72*G72</f>
        <v>0</v>
      </c>
      <c r="AA72" s="123">
        <f t="shared" si="17"/>
        <v>0</v>
      </c>
      <c r="AB72" s="123" t="str">
        <f t="shared" si="16"/>
        <v/>
      </c>
      <c r="AF72" s="123">
        <f>MAX(AF68:AF71)-MIN(AF68:AF71)+1</f>
        <v>1</v>
      </c>
      <c r="AG72" s="123">
        <f>MAX(AG68:AG71)-MIN(AG68:AG71)+1</f>
        <v>1</v>
      </c>
      <c r="AH72" s="123">
        <f>MAX(AH68:AH71)-MIN(AH68:AH71)+1</f>
        <v>1</v>
      </c>
      <c r="AI72" s="123">
        <f>MAX(AI68:AI71)+1</f>
        <v>1</v>
      </c>
      <c r="AL72" s="123">
        <f>MIN(AL68:AL71)</f>
        <v>0</v>
      </c>
      <c r="AM72" s="123">
        <f>MAX(AM68:AM71)+1</f>
        <v>1</v>
      </c>
      <c r="AN72" s="123">
        <f>MAX(AN68:AN71)+1</f>
        <v>1</v>
      </c>
      <c r="AO72" s="123">
        <f>MAX(AO68:AO71)+1</f>
        <v>1</v>
      </c>
      <c r="AP72" s="123">
        <f>MAX(AP68:AP71)+1</f>
        <v>1.0008819149999999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Lør</v>
      </c>
      <c r="C73" s="18" t="str" cm="1">
        <f t="array" ref="C73">INDEX(T,24+MONTH(R73),lang) &amp; " " &amp; DAY(R73) &amp; ", " &amp; YEAR(R73)</f>
        <v>Jun 27, 2026</v>
      </c>
      <c r="D73" s="120">
        <f t="shared" si="18"/>
        <v>0.875</v>
      </c>
      <c r="E73" s="78" t="str">
        <f>AE77</f>
        <v>Panama</v>
      </c>
      <c r="F73" s="19"/>
      <c r="G73" s="20"/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2"/>
        <v/>
      </c>
      <c r="T73" s="127" t="str">
        <f t="shared" si="13"/>
        <v/>
      </c>
      <c r="U73" s="123">
        <f t="shared" si="19"/>
        <v>0</v>
      </c>
      <c r="V73" s="123">
        <f t="shared" si="14"/>
        <v>0</v>
      </c>
      <c r="W73" s="123">
        <f t="shared" si="15"/>
        <v>0</v>
      </c>
      <c r="X73" s="123">
        <f t="shared" si="20"/>
        <v>0</v>
      </c>
      <c r="Y73" s="123">
        <f t="shared" si="21"/>
        <v>0</v>
      </c>
      <c r="Z73" s="123">
        <f t="shared" si="22"/>
        <v>0</v>
      </c>
      <c r="AA73" s="123">
        <f t="shared" si="17"/>
        <v>0</v>
      </c>
      <c r="AB73" s="123" t="str">
        <f t="shared" si="16"/>
        <v/>
      </c>
    </row>
    <row r="74" spans="1:95" x14ac:dyDescent="0.25">
      <c r="A74" s="16">
        <v>68</v>
      </c>
      <c r="B74" s="17" t="str" cm="1">
        <f t="array" ref="B74">INDEX(T,18+INT(MOD(R74-1,7)),lang)</f>
        <v>Lør</v>
      </c>
      <c r="C74" s="18" t="str" cm="1">
        <f t="array" ref="C74">INDEX(T,24+MONTH(R74),lang) &amp; " " &amp; DAY(R74) &amp; ", " &amp; YEAR(R74)</f>
        <v>Jun 27, 2026</v>
      </c>
      <c r="D74" s="120">
        <f t="shared" si="18"/>
        <v>0.875</v>
      </c>
      <c r="E74" s="78" t="str">
        <f>AE75</f>
        <v>Kroatia</v>
      </c>
      <c r="F74" s="19"/>
      <c r="G74" s="20"/>
      <c r="H74" s="80" t="str">
        <f>AE76</f>
        <v>Ghana</v>
      </c>
      <c r="I74" s="69"/>
      <c r="J74" s="38" t="str" cm="1">
        <f t="array" ref="J74">INDEX(T,9,lang) &amp; " " &amp; "L"</f>
        <v>Gruppe L</v>
      </c>
      <c r="K74" s="94" t="str" cm="1">
        <f t="array" ref="K74">INDEX(T,10,lang)</f>
        <v>S</v>
      </c>
      <c r="L74" s="94" t="str" cm="1">
        <f t="array" ref="L74">INDEX(T,11,lang)</f>
        <v>V</v>
      </c>
      <c r="M74" s="94" t="str" cm="1">
        <f t="array" ref="M74">INDEX(T,12,lang)</f>
        <v>T</v>
      </c>
      <c r="N74" s="94" t="str" cm="1">
        <f t="array" ref="N74">INDEX(T,13,lang)</f>
        <v>U</v>
      </c>
      <c r="O74" s="94" t="str" cm="1">
        <f t="array" ref="O74">INDEX(T,14,lang)</f>
        <v>Mål</v>
      </c>
      <c r="P74" s="95" t="str" cm="1">
        <f t="array" ref="P74">INDEX(T,15,lang)</f>
        <v>P</v>
      </c>
      <c r="R74" s="123">
        <f>DATE(2026,6,27)+TIME(10,0,0)+gmt_delta</f>
        <v>46200.875</v>
      </c>
      <c r="S74" s="127" t="str">
        <f t="shared" si="12"/>
        <v/>
      </c>
      <c r="T74" s="127" t="str">
        <f t="shared" si="13"/>
        <v/>
      </c>
      <c r="U74" s="123">
        <f t="shared" si="19"/>
        <v>0</v>
      </c>
      <c r="V74" s="123">
        <f t="shared" si="14"/>
        <v>0</v>
      </c>
      <c r="W74" s="123">
        <f t="shared" si="15"/>
        <v>0</v>
      </c>
      <c r="X74" s="123">
        <f t="shared" si="20"/>
        <v>0</v>
      </c>
      <c r="Y74" s="123">
        <f t="shared" si="21"/>
        <v>0</v>
      </c>
      <c r="Z74" s="123">
        <f t="shared" si="22"/>
        <v>0</v>
      </c>
      <c r="AA74" s="123">
        <f t="shared" si="17"/>
        <v>0</v>
      </c>
      <c r="AB74" s="123" t="str">
        <f t="shared" si="16"/>
        <v/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0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0</v>
      </c>
      <c r="AJ74" s="123">
        <f>SUMIF($E$7:$E$78,$AE74,$G$7:$G$78) + SUMIF($H$7:$H$78,$AE74,$F$7:$F$78)</f>
        <v>0</v>
      </c>
      <c r="AL74" s="123">
        <f>AI74-AJ74</f>
        <v>0</v>
      </c>
      <c r="AM74" s="123">
        <f>AL74-AL78</f>
        <v>0</v>
      </c>
      <c r="AN74" s="123">
        <f>AF74*3+AG74</f>
        <v>0</v>
      </c>
      <c r="AO74" s="123">
        <f>AN74/AN78*10+BA74</f>
        <v>0</v>
      </c>
      <c r="AP74" s="123">
        <f>AO74*10000000+BI74*100+AM74/AM78*10+AI74/AI78*1++IF(AQ74=0,ROW(),AQ74)/2000000</f>
        <v>9.1298500000000006E-4</v>
      </c>
      <c r="AQ74" s="126">
        <f>VLOOKUP(AE74,db_fifarank,2,FALSE)</f>
        <v>1825.97</v>
      </c>
      <c r="AR74" s="125">
        <f>AP74/AP78</f>
        <v>9.1215221870660421E-4</v>
      </c>
      <c r="AS74" s="125" t="str">
        <f>IF(SUM(AF74:AH77)=12,J75,"1L")</f>
        <v>1L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Søn</v>
      </c>
      <c r="C75" s="18" t="str" cm="1">
        <f t="array" ref="C75">INDEX(T,24+MONTH(R75),lang) &amp; " " &amp; DAY(R75) &amp; ", " &amp; YEAR(R75)</f>
        <v>Jun 28, 2026</v>
      </c>
      <c r="D75" s="120">
        <f t="shared" si="18"/>
        <v>8.3333333333333329E-2</v>
      </c>
      <c r="E75" s="78" t="str">
        <f>AE63</f>
        <v>Algerie</v>
      </c>
      <c r="F75" s="19"/>
      <c r="G75" s="20"/>
      <c r="H75" s="80" t="str">
        <f>AE64</f>
        <v>Østerrike</v>
      </c>
      <c r="I75" s="69"/>
      <c r="J75" s="30" t="str">
        <f>VLOOKUP(1,AD74:AN77,2,FALSE)</f>
        <v>England</v>
      </c>
      <c r="K75" s="31">
        <f>L75+M75+N75</f>
        <v>0</v>
      </c>
      <c r="L75" s="31">
        <f>VLOOKUP(1,AD74:AN77,3,FALSE)</f>
        <v>0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0 - 0</v>
      </c>
      <c r="P75" s="32">
        <f>L75*3+M75</f>
        <v>0</v>
      </c>
      <c r="R75" s="123">
        <f>DATE(2026,6,27)+TIME(15,0,0)+gmt_delta</f>
        <v>46201.083333333336</v>
      </c>
      <c r="S75" s="127" t="str">
        <f t="shared" si="12"/>
        <v/>
      </c>
      <c r="T75" s="127" t="str">
        <f t="shared" si="13"/>
        <v/>
      </c>
      <c r="U75" s="123">
        <f t="shared" si="19"/>
        <v>0</v>
      </c>
      <c r="V75" s="123">
        <f t="shared" si="14"/>
        <v>0</v>
      </c>
      <c r="W75" s="123">
        <f t="shared" si="15"/>
        <v>0</v>
      </c>
      <c r="X75" s="123">
        <f t="shared" si="20"/>
        <v>0</v>
      </c>
      <c r="Y75" s="123">
        <f t="shared" si="21"/>
        <v>0</v>
      </c>
      <c r="Z75" s="123">
        <f t="shared" si="22"/>
        <v>0</v>
      </c>
      <c r="AA75" s="123">
        <f t="shared" si="17"/>
        <v>0</v>
      </c>
      <c r="AB75" s="123" t="str">
        <f t="shared" si="16"/>
        <v/>
      </c>
      <c r="AD75" s="123">
        <f>COUNTIF(AR74:AR77,CONCATENATE("&gt;=",AR75))</f>
        <v>2</v>
      </c>
      <c r="AE75" s="124" t="str">
        <f>VLOOKUP("Croatia",T,lang,FALSE)</f>
        <v>Kroatia</v>
      </c>
      <c r="AF75" s="123">
        <f>COUNTIF($S$7:$T$78,"=" &amp; AE75 &amp; "_win")</f>
        <v>0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0</v>
      </c>
      <c r="AJ75" s="123">
        <f>SUMIF($E$7:$E$78,$AE75,$G$7:$G$78) + SUMIF($H$7:$H$78,$AE75,$F$7:$F$78)</f>
        <v>0</v>
      </c>
      <c r="AL75" s="123">
        <f>AI75-AJ75</f>
        <v>0</v>
      </c>
      <c r="AM75" s="123">
        <f>AL75-AL78</f>
        <v>0</v>
      </c>
      <c r="AN75" s="123">
        <f>AF75*3+AG75</f>
        <v>0</v>
      </c>
      <c r="AO75" s="123">
        <f>AN75/AN78*10+BA75</f>
        <v>0</v>
      </c>
      <c r="AP75" s="123">
        <f>AO75*10000000+BI75*100+AM75/AM78*10+AI75/AI78*1++IF(AQ75=0,ROW(),AQ75)/2000000</f>
        <v>8.5853500000000001E-4</v>
      </c>
      <c r="AQ75" s="126">
        <f>VLOOKUP(AE75,db_fifarank,2,FALSE)</f>
        <v>1717.07</v>
      </c>
      <c r="AR75" s="125">
        <f>AP75/AP78</f>
        <v>8.5775188539491268E-4</v>
      </c>
      <c r="AS75" s="125" t="str">
        <f>IF(SUM(AF74:AH77)=12,J76,"2L")</f>
        <v>2L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Søn</v>
      </c>
      <c r="C76" s="18" t="str" cm="1">
        <f t="array" ref="C76">INDEX(T,24+MONTH(R76),lang) &amp; " " &amp; DAY(R76) &amp; ", " &amp; YEAR(R76)</f>
        <v>Jun 28, 2026</v>
      </c>
      <c r="D76" s="120">
        <f t="shared" si="18"/>
        <v>8.3333333333333329E-2</v>
      </c>
      <c r="E76" s="78" t="str">
        <f>AE65</f>
        <v>Jordan</v>
      </c>
      <c r="F76" s="19"/>
      <c r="G76" s="20"/>
      <c r="H76" s="80" t="str">
        <f>AE62</f>
        <v>Argentina</v>
      </c>
      <c r="I76" s="69"/>
      <c r="J76" s="33" t="str">
        <f>VLOOKUP(2,AD74:AN77,2,FALSE)</f>
        <v>Kroatia</v>
      </c>
      <c r="K76" s="23">
        <f>L76+M76+N76</f>
        <v>0</v>
      </c>
      <c r="L76" s="23">
        <f>VLOOKUP(2,AD74:AN77,3,FALSE)</f>
        <v>0</v>
      </c>
      <c r="M76" s="23">
        <f>VLOOKUP(2,AD74:AN77,4,FALSE)</f>
        <v>0</v>
      </c>
      <c r="N76" s="23">
        <f>VLOOKUP(2,AD74:AN77,5,FALSE)</f>
        <v>0</v>
      </c>
      <c r="O76" s="23" t="str">
        <f>VLOOKUP(2,AD74:AN77,6,FALSE) &amp; " - " &amp; VLOOKUP(2,AD74:AN77,7,FALSE)</f>
        <v>0 - 0</v>
      </c>
      <c r="P76" s="34">
        <f>L76*3+M76</f>
        <v>0</v>
      </c>
      <c r="R76" s="123">
        <f>DATE(2026,6,27)+TIME(15,0,0)+gmt_delta</f>
        <v>46201.083333333336</v>
      </c>
      <c r="S76" s="127" t="str">
        <f t="shared" si="12"/>
        <v/>
      </c>
      <c r="T76" s="127" t="str">
        <f t="shared" si="13"/>
        <v/>
      </c>
      <c r="U76" s="123">
        <f t="shared" si="19"/>
        <v>0</v>
      </c>
      <c r="V76" s="123">
        <f t="shared" si="14"/>
        <v>0</v>
      </c>
      <c r="W76" s="123">
        <f t="shared" si="15"/>
        <v>0</v>
      </c>
      <c r="X76" s="123">
        <f t="shared" si="20"/>
        <v>0</v>
      </c>
      <c r="Y76" s="123">
        <f t="shared" si="21"/>
        <v>0</v>
      </c>
      <c r="Z76" s="123">
        <f t="shared" si="22"/>
        <v>0</v>
      </c>
      <c r="AA76" s="123">
        <f t="shared" si="17"/>
        <v>0</v>
      </c>
      <c r="AB76" s="123" t="str">
        <f t="shared" si="16"/>
        <v/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0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0</v>
      </c>
      <c r="AL76" s="123">
        <f>AI76-AJ76</f>
        <v>0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6.7254098017321647E-4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Lør</v>
      </c>
      <c r="C77" s="18" t="str" cm="1">
        <f t="array" ref="C77">INDEX(T,24+MONTH(R77),lang) &amp; " " &amp; DAY(R77) &amp; ", " &amp; YEAR(R77)</f>
        <v>Jun 27, 2026</v>
      </c>
      <c r="D77" s="120">
        <f t="shared" si="18"/>
        <v>0.97916666666666663</v>
      </c>
      <c r="E77" s="78" t="str">
        <f>AE71</f>
        <v>Colombia</v>
      </c>
      <c r="F77" s="19"/>
      <c r="G77" s="20"/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0</v>
      </c>
      <c r="L77" s="23">
        <f>VLOOKUP(3,AD74:AN77,3,FALSE)</f>
        <v>0</v>
      </c>
      <c r="M77" s="23">
        <f>VLOOKUP(3,AD74:AN77,4,FALSE)</f>
        <v>0</v>
      </c>
      <c r="N77" s="23">
        <f>VLOOKUP(3,AD74:AN77,5,FALSE)</f>
        <v>0</v>
      </c>
      <c r="O77" s="23" t="str">
        <f>VLOOKUP(3,AD74:AN77,6,FALSE) &amp; " - " &amp; VLOOKUP(3,AD74:AN77,7,FALSE)</f>
        <v>0 - 0</v>
      </c>
      <c r="P77" s="34">
        <f>L77*3+M77</f>
        <v>0</v>
      </c>
      <c r="R77" s="123">
        <f>DATE(2026,6,27)+TIME(12,30,0)+gmt_delta</f>
        <v>46200.979166666672</v>
      </c>
      <c r="S77" s="127" t="str">
        <f t="shared" si="12"/>
        <v/>
      </c>
      <c r="T77" s="127" t="str">
        <f t="shared" si="13"/>
        <v/>
      </c>
      <c r="U77" s="123">
        <f t="shared" si="19"/>
        <v>0</v>
      </c>
      <c r="V77" s="123">
        <f t="shared" si="14"/>
        <v>0</v>
      </c>
      <c r="W77" s="123">
        <f t="shared" si="15"/>
        <v>0</v>
      </c>
      <c r="X77" s="123">
        <f t="shared" si="20"/>
        <v>0</v>
      </c>
      <c r="Y77" s="123">
        <f t="shared" si="21"/>
        <v>0</v>
      </c>
      <c r="Z77" s="123">
        <f t="shared" si="22"/>
        <v>0</v>
      </c>
      <c r="AA77" s="123">
        <f t="shared" si="17"/>
        <v>0</v>
      </c>
      <c r="AB77" s="123" t="str">
        <f t="shared" si="16"/>
        <v/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0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0</v>
      </c>
      <c r="AL77" s="123">
        <f>AI77-AJ77</f>
        <v>0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7.6961735090288596E-4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Lør</v>
      </c>
      <c r="C78" s="18" t="str" cm="1">
        <f t="array" ref="C78">INDEX(T,24+MONTH(R78),lang) &amp; " " &amp; DAY(R78) &amp; ", " &amp; YEAR(R78)</f>
        <v>Jun 27, 2026</v>
      </c>
      <c r="D78" s="120">
        <f t="shared" si="18"/>
        <v>0.97916666666666663</v>
      </c>
      <c r="E78" s="78" t="str">
        <f>AE69</f>
        <v>DR Kongo</v>
      </c>
      <c r="F78" s="19"/>
      <c r="G78" s="20"/>
      <c r="H78" s="80" t="str">
        <f>AE70</f>
        <v>Usbekistan</v>
      </c>
      <c r="I78" s="69"/>
      <c r="J78" s="35" t="str">
        <f>VLOOKUP(4,AD74:AN77,2,FALSE)</f>
        <v>Ghana</v>
      </c>
      <c r="K78" s="36">
        <f>L78+M78+N78</f>
        <v>0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0</v>
      </c>
      <c r="O78" s="36" t="str">
        <f>VLOOKUP(4,AD74:AN77,6,FALSE) &amp; " - " &amp; VLOOKUP(4,AD74:AN77,7,FALSE)</f>
        <v>0 - 0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2"/>
        <v/>
      </c>
      <c r="T78" s="127" t="str">
        <f t="shared" si="13"/>
        <v/>
      </c>
      <c r="U78" s="123">
        <f t="shared" si="19"/>
        <v>0</v>
      </c>
      <c r="V78" s="123">
        <f t="shared" si="14"/>
        <v>0</v>
      </c>
      <c r="W78" s="123">
        <f t="shared" si="15"/>
        <v>0</v>
      </c>
      <c r="X78" s="123">
        <f t="shared" si="20"/>
        <v>0</v>
      </c>
      <c r="Y78" s="123">
        <f t="shared" si="21"/>
        <v>0</v>
      </c>
      <c r="Z78" s="123">
        <f t="shared" si="22"/>
        <v>0</v>
      </c>
      <c r="AA78" s="123">
        <f t="shared" si="17"/>
        <v>0</v>
      </c>
      <c r="AB78" s="123" t="str">
        <f t="shared" si="16"/>
        <v/>
      </c>
      <c r="AF78" s="123">
        <f>MAX(AF74:AF77)-MIN(AF74:AF77)+1</f>
        <v>1</v>
      </c>
      <c r="AG78" s="123">
        <f>MAX(AG74:AG77)-MIN(AG74:AG77)+1</f>
        <v>1</v>
      </c>
      <c r="AH78" s="123">
        <f>MAX(AH74:AH77)-MIN(AH74:AH77)+1</f>
        <v>1</v>
      </c>
      <c r="AI78" s="123">
        <f>MAX(AI74:AI77)+1</f>
        <v>1</v>
      </c>
      <c r="AL78" s="123">
        <f>MIN(AL74:AL77)</f>
        <v>0</v>
      </c>
      <c r="AM78" s="123">
        <f>MAX(AM74:AM77)+1</f>
        <v>1</v>
      </c>
      <c r="AN78" s="123">
        <f>MAX(AN74:AN77)+1</f>
        <v>1</v>
      </c>
      <c r="AO78" s="123">
        <f>MAX(AO74:AO77)+1</f>
        <v>1</v>
      </c>
      <c r="AP78" s="123">
        <f>MAX(AP74:AP77)+1</f>
        <v>1.000912985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S</v>
      </c>
      <c r="L80" s="94" t="str" cm="1">
        <f t="array" ref="L80">INDEX(T,11,lang)</f>
        <v>V</v>
      </c>
      <c r="M80" s="94" t="str" cm="1">
        <f t="array" ref="M80">INDEX(T,12,lang)</f>
        <v>T</v>
      </c>
      <c r="N80" s="94" t="str" cm="1">
        <f t="array" ref="N80">INDEX(T,13,lang)</f>
        <v>U</v>
      </c>
      <c r="O80" s="94" t="str" cm="1">
        <f t="array" ref="O80">INDEX(T,14,lang)</f>
        <v>Mål</v>
      </c>
      <c r="P80" s="95" t="str" cm="1">
        <f t="array" ref="P80">INDEX(T,15,lang)</f>
        <v>P</v>
      </c>
      <c r="AD80" s="123">
        <f>COUNTIF($AP$80:$AP$91,CONCATENATE("&gt;=",AP80))</f>
        <v>11</v>
      </c>
      <c r="AE80" s="124" t="str">
        <f>J11</f>
        <v>Tsjekkia</v>
      </c>
      <c r="AF80" s="123">
        <f>VLOOKUP($AE80,$AE$8:$AQ$78,2,FALSE)</f>
        <v>0</v>
      </c>
      <c r="AG80" s="123">
        <f>VLOOKUP($AE80,$AE$8:$AQ$78,3,FALSE)</f>
        <v>0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2</v>
      </c>
      <c r="AK80" s="123" t="s">
        <v>3180</v>
      </c>
      <c r="AL80" s="123">
        <f>VLOOKUP($AE80,$AE$8:$AQ$78,8,FALSE)</f>
        <v>-1</v>
      </c>
      <c r="AM80" s="123">
        <f>AL80-$AL$92</f>
        <v>1</v>
      </c>
      <c r="AN80" s="123">
        <f>VLOOKUP($AE80,$AE$8:$AQ$78,10,FALSE)</f>
        <v>0</v>
      </c>
      <c r="AP80" s="123">
        <f>AN80/AN92*10000+AM80/AM92*1000+AI80/AI92*100+IF(AQ80=0,ROW(),AQ80)/2000000</f>
        <v>383.33408402333333</v>
      </c>
      <c r="AQ80" s="126">
        <f t="shared" ref="AQ80:AQ91" si="23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Tsjekkia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Marokko</v>
      </c>
      <c r="K81" s="97">
        <f>L81+M81+N81</f>
        <v>1</v>
      </c>
      <c r="L81" s="97">
        <f>VLOOKUP(1,$AD$80:$AN$91,3,FALSE)</f>
        <v>0</v>
      </c>
      <c r="M81" s="97">
        <f>VLOOKUP(1,$AD$80:$AN$91,4,FALSE)</f>
        <v>1</v>
      </c>
      <c r="N81" s="97">
        <f>VLOOKUP(1,$AD$80:$AN$91,5,FALSE)</f>
        <v>0</v>
      </c>
      <c r="O81" s="97" t="str">
        <f>VLOOKUP(1,$AD$80:$AN$91,6,FALSE) &amp; " - " &amp; VLOOKUP(1,$AD$80:$AN$91,7,FALSE)</f>
        <v>1 - 1</v>
      </c>
      <c r="P81" s="98">
        <f>L81*3+M81</f>
        <v>1</v>
      </c>
      <c r="AD81" s="123">
        <f t="shared" ref="AD81:AD91" si="24">COUNTIF($AP$80:$AP$91,CONCATENATE("&gt;=",AP81))</f>
        <v>2</v>
      </c>
      <c r="AE81" s="124" t="str">
        <f>J17</f>
        <v>Qatar</v>
      </c>
      <c r="AF81" s="123">
        <f t="shared" ref="AF81:AF91" si="25">VLOOKUP($AE81,$AE$8:$AQ$78,2,FALSE)</f>
        <v>0</v>
      </c>
      <c r="AG81" s="123">
        <f>VLOOKUP($AE81,$AE$8:$AQ$78,3,FALSE)</f>
        <v>1</v>
      </c>
      <c r="AH81" s="123">
        <f t="shared" ref="AH81:AH90" si="26">VLOOKUP($AE81,$AE$8:$AQ$78,4,FALSE)</f>
        <v>0</v>
      </c>
      <c r="AI81" s="123">
        <f t="shared" ref="AI81:AI90" si="27">VLOOKUP($AE81,$AE$8:$AQ$78,5,FALSE)</f>
        <v>1</v>
      </c>
      <c r="AJ81" s="123">
        <f t="shared" ref="AJ81:AJ90" si="28">VLOOKUP($AE81,$AE$8:$AQ$78,6,FALSE)</f>
        <v>1</v>
      </c>
      <c r="AK81" s="123" t="s">
        <v>3181</v>
      </c>
      <c r="AL81" s="123">
        <f t="shared" ref="AL81:AL90" si="29">VLOOKUP($AE81,$AE$8:$AQ$78,8,FALSE)</f>
        <v>0</v>
      </c>
      <c r="AM81" s="123">
        <f t="shared" ref="AM81:AM91" si="30">AL81-$AL$92</f>
        <v>2</v>
      </c>
      <c r="AN81" s="123">
        <f t="shared" ref="AN81:AN90" si="31">VLOOKUP($AE81,$AE$8:$AQ$78,10,FALSE)</f>
        <v>1</v>
      </c>
      <c r="AP81" s="123">
        <f>AN81/AN92*10000+AM81/AM92*1000+AI81/AI92*100+IF(AQ81=0,ROW(),AQ81)/2000000</f>
        <v>5716.667394146667</v>
      </c>
      <c r="AQ81" s="126">
        <f t="shared" si="23"/>
        <v>1454.96</v>
      </c>
      <c r="AR81" s="125" t="str">
        <f>AR80&amp;IF(AD81&lt;=8,RIGHT(AK81,1),"")</f>
        <v>B</v>
      </c>
      <c r="AS81" s="129" t="str">
        <f t="shared" ref="AS81:AS91" si="32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Qatar</v>
      </c>
      <c r="K82" s="100">
        <f t="shared" ref="K82:K92" si="33">L82+M82+N82</f>
        <v>1</v>
      </c>
      <c r="L82" s="100">
        <f>VLOOKUP(2,$AD$80:$AN$91,3,FALSE)</f>
        <v>0</v>
      </c>
      <c r="M82" s="100">
        <f>VLOOKUP(2,$AD$80:$AN$91,4,FALSE)</f>
        <v>1</v>
      </c>
      <c r="N82" s="100">
        <f>VLOOKUP(2,$AD$80:$AN$91,5,FALSE)</f>
        <v>0</v>
      </c>
      <c r="O82" s="100" t="str">
        <f>VLOOKUP(2,$AD$80:$AN$91,6,FALSE) &amp; " - " &amp; VLOOKUP(2,$AD$80:$AN$91,7,FALSE)</f>
        <v>1 - 1</v>
      </c>
      <c r="P82" s="101">
        <f t="shared" ref="P82:P92" si="34">L82*3+M82</f>
        <v>1</v>
      </c>
      <c r="AD82" s="123">
        <f t="shared" si="24"/>
        <v>1</v>
      </c>
      <c r="AE82" s="124" t="str">
        <f>J23</f>
        <v>Marokko</v>
      </c>
      <c r="AF82" s="123">
        <f t="shared" si="25"/>
        <v>0</v>
      </c>
      <c r="AG82" s="123">
        <f t="shared" ref="AG82:AG91" si="35">VLOOKUP($AE82,$AE$8:$AQ$78,3,FALSE)</f>
        <v>1</v>
      </c>
      <c r="AH82" s="123">
        <f t="shared" si="26"/>
        <v>0</v>
      </c>
      <c r="AI82" s="123">
        <f t="shared" si="27"/>
        <v>1</v>
      </c>
      <c r="AJ82" s="123">
        <f t="shared" si="28"/>
        <v>1</v>
      </c>
      <c r="AK82" s="123" t="s">
        <v>3182</v>
      </c>
      <c r="AL82" s="123">
        <f t="shared" si="29"/>
        <v>0</v>
      </c>
      <c r="AM82" s="123">
        <f t="shared" si="30"/>
        <v>2</v>
      </c>
      <c r="AN82" s="123">
        <f t="shared" si="31"/>
        <v>1</v>
      </c>
      <c r="AP82" s="123">
        <f>AN82/AN92*10000+AM82/AM92*1000+AI82/AI92*100+IF(AQ82=0,ROW(),AQ82)/2000000</f>
        <v>5716.667544601667</v>
      </c>
      <c r="AQ82" s="126">
        <f t="shared" si="23"/>
        <v>1755.87</v>
      </c>
      <c r="AR82" s="125" t="str">
        <f t="shared" ref="AR82:AR91" si="36">AR81&amp;IF(AD82&lt;=8,RIGHT(AK82,1),"")</f>
        <v>BC</v>
      </c>
      <c r="AS82" s="129" t="str">
        <f t="shared" si="32"/>
        <v>Marokko</v>
      </c>
      <c r="AT82" s="130" t="str">
        <f>"Ⓒ "&amp;AE82</f>
        <v>Ⓒ Marokko</v>
      </c>
    </row>
    <row r="83" spans="1:46" ht="15" customHeight="1" x14ac:dyDescent="0.25">
      <c r="A83" s="73"/>
      <c r="B83" s="73"/>
      <c r="C83" s="226" t="s">
        <v>3183</v>
      </c>
      <c r="D83" s="227"/>
      <c r="E83" s="227"/>
      <c r="F83" s="227"/>
      <c r="G83" s="228"/>
      <c r="H83" s="75"/>
      <c r="I83" s="69"/>
      <c r="J83" s="99" t="str">
        <f>VLOOKUP(3,$AD$80:$AT$91,17,FALSE)</f>
        <v>Ⓙ Algerie</v>
      </c>
      <c r="K83" s="100">
        <f t="shared" si="33"/>
        <v>0</v>
      </c>
      <c r="L83" s="100">
        <f>VLOOKUP(3,$AD$80:$AN$91,3,FALSE)</f>
        <v>0</v>
      </c>
      <c r="M83" s="100">
        <f>VLOOKUP(3,$AD$80:$AN$91,4,FALSE)</f>
        <v>0</v>
      </c>
      <c r="N83" s="100">
        <f>VLOOKUP(3,$AD$80:$AN$91,5,FALSE)</f>
        <v>0</v>
      </c>
      <c r="O83" s="100" t="str">
        <f>VLOOKUP(3,$AD$80:$AN$91,6,FALSE) &amp; " - " &amp; VLOOKUP(3,$AD$80:$AN$91,7,FALSE)</f>
        <v>0 - 0</v>
      </c>
      <c r="P83" s="101">
        <f t="shared" si="34"/>
        <v>0</v>
      </c>
      <c r="AD83" s="123">
        <f t="shared" si="24"/>
        <v>12</v>
      </c>
      <c r="AE83" s="124" t="str">
        <f>J29</f>
        <v>Tyrkia</v>
      </c>
      <c r="AF83" s="123">
        <f t="shared" si="25"/>
        <v>0</v>
      </c>
      <c r="AG83" s="123">
        <f t="shared" si="35"/>
        <v>0</v>
      </c>
      <c r="AH83" s="123">
        <f t="shared" si="26"/>
        <v>1</v>
      </c>
      <c r="AI83" s="123">
        <f t="shared" si="27"/>
        <v>0</v>
      </c>
      <c r="AJ83" s="123">
        <f t="shared" si="28"/>
        <v>2</v>
      </c>
      <c r="AK83" s="123" t="s">
        <v>3184</v>
      </c>
      <c r="AL83" s="123">
        <f t="shared" si="29"/>
        <v>-2</v>
      </c>
      <c r="AM83" s="123">
        <f t="shared" si="30"/>
        <v>0</v>
      </c>
      <c r="AN83" s="123">
        <f t="shared" si="31"/>
        <v>0</v>
      </c>
      <c r="AP83" s="123">
        <f>AN83/AN92*10000+AM83/AM92*1000+AI83/AI92*100+IF(AQ83=0,ROW(),AQ83)/2000000</f>
        <v>7.9951999999999996E-4</v>
      </c>
      <c r="AQ83" s="126">
        <f t="shared" si="23"/>
        <v>1599.04</v>
      </c>
      <c r="AR83" s="125" t="str">
        <f t="shared" si="36"/>
        <v>BC</v>
      </c>
      <c r="AS83" s="129" t="str">
        <f t="shared" si="32"/>
        <v/>
      </c>
      <c r="AT83" s="130" t="str">
        <f>"Ⓓ "&amp;AE83</f>
        <v>Ⓓ Tyrkia</v>
      </c>
    </row>
    <row r="84" spans="1:46" ht="15" customHeight="1" x14ac:dyDescent="0.25">
      <c r="A84" s="73"/>
      <c r="B84" s="73"/>
      <c r="C84" s="229"/>
      <c r="D84" s="230"/>
      <c r="E84" s="230"/>
      <c r="F84" s="230"/>
      <c r="G84" s="231"/>
      <c r="H84" s="75"/>
      <c r="I84" s="69"/>
      <c r="J84" s="99" t="str">
        <f>VLOOKUP(4,$AD$80:$AT$91,17,FALSE)</f>
        <v>Ⓖ Egypt</v>
      </c>
      <c r="K84" s="100">
        <f t="shared" si="33"/>
        <v>0</v>
      </c>
      <c r="L84" s="100">
        <f>VLOOKUP(4,$AD$80:$AN$91,3,FALSE)</f>
        <v>0</v>
      </c>
      <c r="M84" s="100">
        <f>VLOOKUP(4,$AD$80:$AN$91,4,FALSE)</f>
        <v>0</v>
      </c>
      <c r="N84" s="100">
        <f>VLOOKUP(4,$AD$80:$AN$91,5,FALSE)</f>
        <v>0</v>
      </c>
      <c r="O84" s="100" t="str">
        <f>VLOOKUP(4,$AD$80:$AN$91,6,FALSE) &amp; " - " &amp; VLOOKUP(4,$AD$80:$AN$91,7,FALSE)</f>
        <v>0 - 0</v>
      </c>
      <c r="P84" s="101">
        <f t="shared" si="34"/>
        <v>0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1E</v>
      </c>
      <c r="T84" s="127" t="str" cm="1">
        <f t="array" ref="T84">IF(OR(S84="",S84="draw"),INDEX(T,86,lang),S84)</f>
        <v>1E</v>
      </c>
      <c r="AD84" s="123">
        <f t="shared" si="24"/>
        <v>7</v>
      </c>
      <c r="AE84" s="124" t="str">
        <f>J35</f>
        <v>Elfenbenskysten</v>
      </c>
      <c r="AF84" s="123">
        <f t="shared" si="25"/>
        <v>0</v>
      </c>
      <c r="AG84" s="123">
        <f t="shared" si="35"/>
        <v>0</v>
      </c>
      <c r="AH84" s="123">
        <f t="shared" si="26"/>
        <v>0</v>
      </c>
      <c r="AI84" s="123">
        <f t="shared" si="27"/>
        <v>0</v>
      </c>
      <c r="AJ84" s="123">
        <f t="shared" si="28"/>
        <v>0</v>
      </c>
      <c r="AK84" s="123" t="s">
        <v>3185</v>
      </c>
      <c r="AL84" s="123">
        <f t="shared" si="29"/>
        <v>0</v>
      </c>
      <c r="AM84" s="123">
        <f t="shared" si="30"/>
        <v>2</v>
      </c>
      <c r="AN84" s="123">
        <f t="shared" si="31"/>
        <v>0</v>
      </c>
      <c r="AP84" s="123">
        <f>AN84/AN92*10000+AM84/AM92*1000+AI84/AI92*100+IF(AQ84=0,ROW(),AQ84)/2000000</f>
        <v>666.66743315666668</v>
      </c>
      <c r="AQ84" s="126">
        <f t="shared" si="23"/>
        <v>1532.98</v>
      </c>
      <c r="AR84" s="125" t="str">
        <f t="shared" si="36"/>
        <v>BCE</v>
      </c>
      <c r="AS84" s="129" t="str">
        <f t="shared" si="32"/>
        <v>Elfenbenskysten</v>
      </c>
      <c r="AT84" s="130" t="str">
        <f>"Ⓔ "&amp;AE84</f>
        <v>Ⓔ Elfenbenskysten</v>
      </c>
    </row>
    <row r="85" spans="1:46" ht="15" customHeight="1" x14ac:dyDescent="0.25">
      <c r="A85" s="73"/>
      <c r="B85" s="73"/>
      <c r="C85" s="229"/>
      <c r="D85" s="230"/>
      <c r="E85" s="230"/>
      <c r="F85" s="230"/>
      <c r="G85" s="231"/>
      <c r="H85" s="75"/>
      <c r="I85" s="69"/>
      <c r="J85" s="99" t="str">
        <f>VLOOKUP(5,$AD$80:$AT$91,17,FALSE)</f>
        <v>Ⓘ Norge</v>
      </c>
      <c r="K85" s="100">
        <f t="shared" si="33"/>
        <v>0</v>
      </c>
      <c r="L85" s="100">
        <f>VLOOKUP(5,$AD$80:$AN$91,3,FALSE)</f>
        <v>0</v>
      </c>
      <c r="M85" s="100">
        <f>VLOOKUP(5,$AD$80:$AN$91,4,FALSE)</f>
        <v>0</v>
      </c>
      <c r="N85" s="100">
        <f>VLOOKUP(5,$AD$80:$AN$91,5,FALSE)</f>
        <v>0</v>
      </c>
      <c r="O85" s="100" t="str">
        <f>VLOOKUP(5,$AD$80:$AN$91,6,FALSE) &amp; " - " &amp; VLOOKUP(5,$AD$80:$AN$91,7,FALSE)</f>
        <v>0 - 0</v>
      </c>
      <c r="P85" s="101">
        <f t="shared" si="34"/>
        <v>0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1I</v>
      </c>
      <c r="T85" s="127" t="str" cm="1">
        <f t="array" ref="T85">IF(OR(S85="",S85="draw"),INDEX(T,87,lang),S85)</f>
        <v>1I</v>
      </c>
      <c r="AD85" s="123">
        <f t="shared" si="24"/>
        <v>8</v>
      </c>
      <c r="AE85" s="124" t="str">
        <f>J41</f>
        <v>Sverige</v>
      </c>
      <c r="AF85" s="123">
        <f t="shared" si="25"/>
        <v>0</v>
      </c>
      <c r="AG85" s="123">
        <f t="shared" si="35"/>
        <v>0</v>
      </c>
      <c r="AH85" s="123">
        <f t="shared" si="26"/>
        <v>0</v>
      </c>
      <c r="AI85" s="123">
        <f t="shared" si="27"/>
        <v>0</v>
      </c>
      <c r="AJ85" s="123">
        <f t="shared" si="28"/>
        <v>0</v>
      </c>
      <c r="AK85" s="123" t="s">
        <v>3186</v>
      </c>
      <c r="AL85" s="123">
        <f t="shared" si="29"/>
        <v>0</v>
      </c>
      <c r="AM85" s="123">
        <f t="shared" si="30"/>
        <v>2</v>
      </c>
      <c r="AN85" s="123">
        <f t="shared" si="31"/>
        <v>0</v>
      </c>
      <c r="AP85" s="123">
        <f>AN85/AN92*10000+AM85/AM92*1000+AI85/AI92*100+IF(AQ85=0,ROW(),AQ85)/2000000</f>
        <v>666.66742405166667</v>
      </c>
      <c r="AQ85" s="126">
        <f t="shared" si="23"/>
        <v>1514.77</v>
      </c>
      <c r="AR85" s="125" t="str">
        <f t="shared" si="36"/>
        <v>BCEF</v>
      </c>
      <c r="AS85" s="129" t="str">
        <f t="shared" si="32"/>
        <v>Sverige</v>
      </c>
      <c r="AT85" s="130" t="str">
        <f>"Ⓕ "&amp;AE85</f>
        <v>Ⓕ Sverige</v>
      </c>
    </row>
    <row r="86" spans="1:46" ht="15" customHeight="1" x14ac:dyDescent="0.25">
      <c r="A86" s="73"/>
      <c r="B86" s="73"/>
      <c r="C86" s="229"/>
      <c r="D86" s="230"/>
      <c r="E86" s="230"/>
      <c r="F86" s="230"/>
      <c r="G86" s="231"/>
      <c r="H86" s="75"/>
      <c r="I86" s="69"/>
      <c r="J86" s="99" t="str">
        <f>VLOOKUP(6,$AD$80:$AT$91,17,FALSE)</f>
        <v>Ⓛ Panama</v>
      </c>
      <c r="K86" s="100">
        <f t="shared" si="33"/>
        <v>0</v>
      </c>
      <c r="L86" s="100">
        <f>VLOOKUP(6,$AD$80:$AN$91,3,FALSE)</f>
        <v>0</v>
      </c>
      <c r="M86" s="100">
        <f>VLOOKUP(6,$AD$80:$AN$91,4,FALSE)</f>
        <v>0</v>
      </c>
      <c r="N86" s="100">
        <f>VLOOKUP(6,$AD$80:$AN$91,5,FALSE)</f>
        <v>0</v>
      </c>
      <c r="O86" s="100" t="str">
        <f>VLOOKUP(6,$AD$80:$AN$91,6,FALSE) &amp; " - " &amp; VLOOKUP(6,$AD$80:$AN$91,7,FALSE)</f>
        <v>0 - 0</v>
      </c>
      <c r="P86" s="101">
        <f t="shared" si="34"/>
        <v>0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2K</v>
      </c>
      <c r="T86" s="127" t="str" cm="1">
        <f t="array" ref="T86">IF(OR(S86="",S86="draw"),INDEX(T,88,lang),S86)</f>
        <v>2K</v>
      </c>
      <c r="AD86" s="123">
        <f t="shared" si="24"/>
        <v>4</v>
      </c>
      <c r="AE86" s="124" t="str">
        <f>J47</f>
        <v>Egypt</v>
      </c>
      <c r="AF86" s="123">
        <f t="shared" si="25"/>
        <v>0</v>
      </c>
      <c r="AG86" s="123">
        <f t="shared" si="35"/>
        <v>0</v>
      </c>
      <c r="AH86" s="123">
        <f t="shared" si="26"/>
        <v>0</v>
      </c>
      <c r="AI86" s="123">
        <f t="shared" si="27"/>
        <v>0</v>
      </c>
      <c r="AJ86" s="123">
        <f t="shared" si="28"/>
        <v>0</v>
      </c>
      <c r="AK86" s="123" t="s">
        <v>3187</v>
      </c>
      <c r="AL86" s="123">
        <f t="shared" si="29"/>
        <v>0</v>
      </c>
      <c r="AM86" s="123">
        <f t="shared" si="30"/>
        <v>2</v>
      </c>
      <c r="AN86" s="123">
        <f t="shared" si="31"/>
        <v>0</v>
      </c>
      <c r="AP86" s="123">
        <f>AN86/AN92*10000+AM86/AM92*1000+AI86/AI92*100+IF(AQ86=0,ROW(),AQ86)/2000000</f>
        <v>666.66744828666663</v>
      </c>
      <c r="AQ86" s="126">
        <f t="shared" si="23"/>
        <v>1563.24</v>
      </c>
      <c r="AR86" s="125" t="str">
        <f t="shared" si="36"/>
        <v>BCEFG</v>
      </c>
      <c r="AS86" s="129" t="str">
        <f t="shared" si="32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229"/>
      <c r="D87" s="230"/>
      <c r="E87" s="230"/>
      <c r="F87" s="230"/>
      <c r="G87" s="231"/>
      <c r="H87" s="75"/>
      <c r="I87" s="69"/>
      <c r="J87" s="99" t="str">
        <f>VLOOKUP(7,$AD$80:$AT$91,17,FALSE)</f>
        <v>Ⓔ Elfenbenskysten</v>
      </c>
      <c r="K87" s="100">
        <f t="shared" si="33"/>
        <v>0</v>
      </c>
      <c r="L87" s="100">
        <f>VLOOKUP(7,$AD$80:$AN$91,3,FALSE)</f>
        <v>0</v>
      </c>
      <c r="M87" s="100">
        <f>VLOOKUP(7,$AD$80:$AN$91,4,FALSE)</f>
        <v>0</v>
      </c>
      <c r="N87" s="100">
        <f>VLOOKUP(7,$AD$80:$AN$91,5,FALSE)</f>
        <v>0</v>
      </c>
      <c r="O87" s="100" t="str">
        <f>VLOOKUP(7,$AD$80:$AN$91,6,FALSE) &amp; " - " &amp; VLOOKUP(7,$AD$80:$AN$91,7,FALSE)</f>
        <v>0 - 0</v>
      </c>
      <c r="P87" s="101">
        <f t="shared" si="34"/>
        <v>0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1H</v>
      </c>
      <c r="T87" s="127" t="str" cm="1">
        <f t="array" ref="T87">IF(OR(S87="",S87="draw"),INDEX(T,89,lang),S87)</f>
        <v>1H</v>
      </c>
      <c r="AD87" s="123">
        <f t="shared" si="24"/>
        <v>10</v>
      </c>
      <c r="AE87" s="124" t="str">
        <f>J53</f>
        <v>Saudi-Arabia</v>
      </c>
      <c r="AF87" s="123">
        <f t="shared" si="25"/>
        <v>0</v>
      </c>
      <c r="AG87" s="123">
        <f t="shared" si="35"/>
        <v>0</v>
      </c>
      <c r="AH87" s="123">
        <f t="shared" si="26"/>
        <v>0</v>
      </c>
      <c r="AI87" s="123">
        <f t="shared" si="27"/>
        <v>0</v>
      </c>
      <c r="AJ87" s="123">
        <f t="shared" si="28"/>
        <v>0</v>
      </c>
      <c r="AK87" s="123" t="s">
        <v>3188</v>
      </c>
      <c r="AL87" s="123">
        <f t="shared" si="29"/>
        <v>0</v>
      </c>
      <c r="AM87" s="123">
        <f t="shared" si="30"/>
        <v>2</v>
      </c>
      <c r="AN87" s="123">
        <f t="shared" si="31"/>
        <v>0</v>
      </c>
      <c r="AP87" s="123">
        <f>AN87/AN92*10000+AM87/AM92*1000+AI87/AI92*100+IF(AQ87=0,ROW(),AQ87)/2000000</f>
        <v>666.6673773816666</v>
      </c>
      <c r="AQ87" s="126">
        <f t="shared" si="23"/>
        <v>1421.43</v>
      </c>
      <c r="AR87" s="125" t="str">
        <f t="shared" si="36"/>
        <v>BCEFG</v>
      </c>
      <c r="AS87" s="129" t="str">
        <f t="shared" si="32"/>
        <v/>
      </c>
      <c r="AT87" s="130" t="str">
        <f>"Ⓗ "&amp;AE87</f>
        <v>Ⓗ Saudi-Arabia</v>
      </c>
    </row>
    <row r="88" spans="1:46" ht="15" customHeight="1" x14ac:dyDescent="0.25">
      <c r="A88" s="73"/>
      <c r="B88" s="73"/>
      <c r="C88" s="232"/>
      <c r="D88" s="233"/>
      <c r="E88" s="233"/>
      <c r="F88" s="233"/>
      <c r="G88" s="234"/>
      <c r="H88" s="75"/>
      <c r="I88" s="69"/>
      <c r="J88" s="99" t="str">
        <f>VLOOKUP(8,$AD$80:$AT$91,17,FALSE)</f>
        <v>Ⓕ Sverige</v>
      </c>
      <c r="K88" s="100">
        <f t="shared" si="33"/>
        <v>0</v>
      </c>
      <c r="L88" s="100">
        <f>VLOOKUP(8,$AD$80:$AN$91,3,FALSE)</f>
        <v>0</v>
      </c>
      <c r="M88" s="100">
        <f>VLOOKUP(8,$AD$80:$AN$91,4,FALSE)</f>
        <v>0</v>
      </c>
      <c r="N88" s="100">
        <f>VLOOKUP(8,$AD$80:$AN$91,5,FALSE)</f>
        <v>0</v>
      </c>
      <c r="O88" s="100" t="str">
        <f>VLOOKUP(8,$AD$80:$AN$91,6,FALSE) &amp; " - " &amp; VLOOKUP(8,$AD$80:$AN$91,7,FALSE)</f>
        <v>0 - 0</v>
      </c>
      <c r="P88" s="101">
        <f t="shared" si="34"/>
        <v>0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2B</v>
      </c>
      <c r="T88" s="127" t="str" cm="1">
        <f t="array" ref="T88">IF(OR(S88="",S88="draw"),INDEX(T,90,lang),S88)</f>
        <v>2B</v>
      </c>
      <c r="AD88" s="123">
        <f t="shared" si="24"/>
        <v>5</v>
      </c>
      <c r="AE88" s="124" t="str">
        <f>J59</f>
        <v>Norge</v>
      </c>
      <c r="AF88" s="123">
        <f t="shared" si="25"/>
        <v>0</v>
      </c>
      <c r="AG88" s="123">
        <f t="shared" si="35"/>
        <v>0</v>
      </c>
      <c r="AH88" s="123">
        <f t="shared" si="26"/>
        <v>0</v>
      </c>
      <c r="AI88" s="123">
        <f t="shared" si="27"/>
        <v>0</v>
      </c>
      <c r="AJ88" s="123">
        <f t="shared" si="28"/>
        <v>0</v>
      </c>
      <c r="AK88" s="123" t="s">
        <v>3189</v>
      </c>
      <c r="AL88" s="123">
        <f t="shared" si="29"/>
        <v>0</v>
      </c>
      <c r="AM88" s="123">
        <f t="shared" si="30"/>
        <v>2</v>
      </c>
      <c r="AN88" s="123">
        <f t="shared" si="31"/>
        <v>0</v>
      </c>
      <c r="AP88" s="123">
        <f>AN88/AN92*10000+AM88/AM92*1000+AI88/AI92*100+IF(AQ88=0,ROW(),AQ88)/2000000</f>
        <v>666.66744213666664</v>
      </c>
      <c r="AQ88" s="126">
        <f t="shared" si="23"/>
        <v>1550.94</v>
      </c>
      <c r="AR88" s="125" t="str">
        <f t="shared" si="36"/>
        <v>BCEFGI</v>
      </c>
      <c r="AS88" s="129" t="str">
        <f t="shared" si="32"/>
        <v>Norge</v>
      </c>
      <c r="AT88" s="130" t="str">
        <f>"Ⓘ "&amp;AE88</f>
        <v>Ⓘ Norge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Kongo</v>
      </c>
      <c r="K89" s="103">
        <f t="shared" si="33"/>
        <v>0</v>
      </c>
      <c r="L89" s="103">
        <f>VLOOKUP(9,$AD$80:$AN$91,3,FALSE)</f>
        <v>0</v>
      </c>
      <c r="M89" s="103">
        <f>VLOOKUP(9,$AD$80:$AN$91,4,FALSE)</f>
        <v>0</v>
      </c>
      <c r="N89" s="103">
        <f>VLOOKUP(9,$AD$80:$AN$91,5,FALSE)</f>
        <v>0</v>
      </c>
      <c r="O89" s="103" t="str">
        <f>VLOOKUP(9,$AD$80:$AN$91,6,FALSE) &amp; " - " &amp; VLOOKUP(9,$AD$80:$AN$91,7,FALSE)</f>
        <v>0 - 0</v>
      </c>
      <c r="P89" s="104">
        <f t="shared" si="34"/>
        <v>0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2C</v>
      </c>
      <c r="T89" s="127" t="str" cm="1">
        <f t="array" ref="T89">IF(OR(S89="",S89="draw"),INDEX(T,91,lang),S89)</f>
        <v>2C</v>
      </c>
      <c r="AD89" s="123">
        <f t="shared" si="24"/>
        <v>3</v>
      </c>
      <c r="AE89" s="124" t="str">
        <f>J65</f>
        <v>Algerie</v>
      </c>
      <c r="AF89" s="123">
        <f t="shared" si="25"/>
        <v>0</v>
      </c>
      <c r="AG89" s="123">
        <f t="shared" si="35"/>
        <v>0</v>
      </c>
      <c r="AH89" s="123">
        <f t="shared" si="26"/>
        <v>0</v>
      </c>
      <c r="AI89" s="123">
        <f t="shared" si="27"/>
        <v>0</v>
      </c>
      <c r="AJ89" s="123">
        <f t="shared" si="28"/>
        <v>0</v>
      </c>
      <c r="AK89" s="123" t="s">
        <v>3190</v>
      </c>
      <c r="AL89" s="123">
        <f t="shared" si="29"/>
        <v>0</v>
      </c>
      <c r="AM89" s="123">
        <f t="shared" si="30"/>
        <v>2</v>
      </c>
      <c r="AN89" s="123">
        <f t="shared" si="31"/>
        <v>0</v>
      </c>
      <c r="AP89" s="123">
        <f>AN89/AN92*10000+AM89/AM92*1000+AI89/AI92*100+IF(AQ89=0,ROW(),AQ89)/2000000</f>
        <v>666.66744879666658</v>
      </c>
      <c r="AQ89" s="126">
        <f t="shared" si="23"/>
        <v>1564.26</v>
      </c>
      <c r="AR89" s="125" t="str">
        <f t="shared" si="36"/>
        <v>BCEFGIJ</v>
      </c>
      <c r="AS89" s="129" t="str">
        <f t="shared" si="32"/>
        <v>Algerie</v>
      </c>
      <c r="AT89" s="130" t="str">
        <f>"Ⓙ "&amp;AE89</f>
        <v>Ⓙ Algerie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Saudi-Arabia</v>
      </c>
      <c r="K90" s="103">
        <f t="shared" si="33"/>
        <v>0</v>
      </c>
      <c r="L90" s="103">
        <f>VLOOKUP(10,$AD$80:$AN$91,3,FALSE)</f>
        <v>0</v>
      </c>
      <c r="M90" s="103">
        <f>VLOOKUP(10,$AD$80:$AN$91,4,FALSE)</f>
        <v>0</v>
      </c>
      <c r="N90" s="103">
        <f>VLOOKUP(10,$AD$80:$AN$91,5,FALSE)</f>
        <v>0</v>
      </c>
      <c r="O90" s="103" t="str">
        <f>VLOOKUP(10,$AD$80:$AN$91,6,FALSE) &amp; " - " &amp; VLOOKUP(10,$AD$80:$AN$91,7,FALSE)</f>
        <v>0 - 0</v>
      </c>
      <c r="P90" s="104">
        <f t="shared" si="34"/>
        <v>0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1D</v>
      </c>
      <c r="T90" s="127" t="str" cm="1">
        <f t="array" ref="T90">IF(OR(S90="",S90="draw"),INDEX(T,92,lang),S90)</f>
        <v>1D</v>
      </c>
      <c r="AD90" s="123">
        <f t="shared" si="24"/>
        <v>9</v>
      </c>
      <c r="AE90" s="124" t="str">
        <f>J71</f>
        <v>DR Kongo</v>
      </c>
      <c r="AF90" s="123">
        <f t="shared" si="25"/>
        <v>0</v>
      </c>
      <c r="AG90" s="123">
        <f t="shared" si="35"/>
        <v>0</v>
      </c>
      <c r="AH90" s="123">
        <f t="shared" si="26"/>
        <v>0</v>
      </c>
      <c r="AI90" s="123">
        <f t="shared" si="27"/>
        <v>0</v>
      </c>
      <c r="AJ90" s="123">
        <f t="shared" si="28"/>
        <v>0</v>
      </c>
      <c r="AK90" s="123" t="s">
        <v>3191</v>
      </c>
      <c r="AL90" s="123">
        <f t="shared" si="29"/>
        <v>0</v>
      </c>
      <c r="AM90" s="123">
        <f t="shared" si="30"/>
        <v>2</v>
      </c>
      <c r="AN90" s="123">
        <f t="shared" si="31"/>
        <v>0</v>
      </c>
      <c r="AP90" s="123">
        <f>AN90/AN92*10000+AM90/AM92*1000+AI90/AI92*100+IF(AQ90=0,ROW(),AQ90)/2000000</f>
        <v>666.66740584166666</v>
      </c>
      <c r="AQ90" s="126">
        <f t="shared" si="23"/>
        <v>1478.35</v>
      </c>
      <c r="AR90" s="125" t="str">
        <f t="shared" si="36"/>
        <v>BCEFGIJ</v>
      </c>
      <c r="AS90" s="129" t="str">
        <f t="shared" si="32"/>
        <v/>
      </c>
      <c r="AT90" s="130" t="str">
        <f>"Ⓚ "&amp;AE90</f>
        <v>Ⓚ DR Kongo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Tsjekkia</v>
      </c>
      <c r="K91" s="103">
        <f t="shared" si="33"/>
        <v>1</v>
      </c>
      <c r="L91" s="103">
        <f>VLOOKUP(11,$AD$80:$AN$91,3,FALSE)</f>
        <v>0</v>
      </c>
      <c r="M91" s="103">
        <f>VLOOKUP(11,$AD$80:$AN$91,4,FALSE)</f>
        <v>0</v>
      </c>
      <c r="N91" s="103">
        <f>VLOOKUP(11,$AD$80:$AN$91,5,FALSE)</f>
        <v>1</v>
      </c>
      <c r="O91" s="103" t="str">
        <f>VLOOKUP(11,$AD$80:$AN$91,6,FALSE) &amp; " - " &amp; VLOOKUP(11,$AD$80:$AN$91,7,FALSE)</f>
        <v>1 - 2</v>
      </c>
      <c r="P91" s="104">
        <f t="shared" si="34"/>
        <v>0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1G</v>
      </c>
      <c r="T91" s="127" t="str" cm="1">
        <f t="array" ref="T91">IF(OR(S91="",S91="draw"),INDEX(T,93,lang),S91)</f>
        <v>1G</v>
      </c>
      <c r="AD91" s="123">
        <f t="shared" si="24"/>
        <v>6</v>
      </c>
      <c r="AE91" s="124" t="str">
        <f>J77</f>
        <v>Panama</v>
      </c>
      <c r="AF91" s="123">
        <f t="shared" si="25"/>
        <v>0</v>
      </c>
      <c r="AG91" s="123">
        <f t="shared" si="35"/>
        <v>0</v>
      </c>
      <c r="AH91" s="123">
        <f>VLOOKUP($AE91,$AE$8:$AQ$78,4,FALSE)</f>
        <v>0</v>
      </c>
      <c r="AI91" s="123">
        <f>VLOOKUP($AE91,$AE$8:$AQ$78,5,FALSE)</f>
        <v>0</v>
      </c>
      <c r="AJ91" s="123">
        <f>VLOOKUP($AE91,$AE$8:$AQ$78,6,FALSE)</f>
        <v>0</v>
      </c>
      <c r="AK91" s="123" t="s">
        <v>3192</v>
      </c>
      <c r="AL91" s="123">
        <f>VLOOKUP($AE91,$AE$8:$AQ$78,8,FALSE)</f>
        <v>0</v>
      </c>
      <c r="AM91" s="123">
        <f t="shared" si="30"/>
        <v>2</v>
      </c>
      <c r="AN91" s="123">
        <f>VLOOKUP($AE91,$AE$8:$AQ$78,10,FALSE)</f>
        <v>0</v>
      </c>
      <c r="AP91" s="123">
        <f>AN91/AN92*10000+AM91/AM92*1000+AI91/AI92*100+IF(AQ91=0,ROW(),AQ91)/2000000</f>
        <v>666.66743698666664</v>
      </c>
      <c r="AQ91" s="126">
        <f t="shared" si="23"/>
        <v>1540.64</v>
      </c>
      <c r="AR91" s="125" t="str">
        <f t="shared" si="36"/>
        <v>BCEFGIJL</v>
      </c>
      <c r="AS91" s="129" t="str">
        <f t="shared" si="32"/>
        <v>Panama</v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Ⓓ Tyrkia</v>
      </c>
      <c r="K92" s="106">
        <f t="shared" si="33"/>
        <v>1</v>
      </c>
      <c r="L92" s="106">
        <f>VLOOKUP(12,$AD$80:$AN$91,3,FALSE)</f>
        <v>0</v>
      </c>
      <c r="M92" s="106">
        <f>VLOOKUP(12,$AD$80:$AN$91,4,FALSE)</f>
        <v>0</v>
      </c>
      <c r="N92" s="106">
        <f>VLOOKUP(12,$AD$80:$AN$91,5,FALSE)</f>
        <v>1</v>
      </c>
      <c r="O92" s="106" t="str">
        <f>VLOOKUP(12,$AD$80:$AN$91,6,FALSE) &amp; " - " &amp; VLOOKUP(12,$AD$80:$AN$91,7,FALSE)</f>
        <v>0 - 2</v>
      </c>
      <c r="P92" s="107">
        <f t="shared" si="34"/>
        <v>0</v>
      </c>
      <c r="AF92" s="123">
        <f>MAX(AF80:AF91)+1</f>
        <v>1</v>
      </c>
      <c r="AG92" s="123">
        <f>MAX(AG80:AG91)+1</f>
        <v>2</v>
      </c>
      <c r="AH92" s="123">
        <f>MAX(AH80:AH91)+1</f>
        <v>2</v>
      </c>
      <c r="AI92" s="123">
        <f>MAX(AI80:AI91)+1</f>
        <v>2</v>
      </c>
      <c r="AJ92" s="123">
        <f>MAX(AJ80:AJ91)+1</f>
        <v>3</v>
      </c>
      <c r="AL92" s="123">
        <f>MIN(AL80:AL91)</f>
        <v>-2</v>
      </c>
      <c r="AM92" s="123">
        <f>MAX(AM80:AM91)+1</f>
        <v>3</v>
      </c>
      <c r="AN92" s="123">
        <f>MAX(AN80:AN91)+1</f>
        <v>2</v>
      </c>
      <c r="AS92" s="126" t="b">
        <f>SUM(K9:K78)=144</f>
        <v>0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1I</v>
      </c>
      <c r="T95" s="127" t="str" cm="1">
        <f t="array" ref="T95">IF(OR(S95="",S95="draw"),INDEX(T,94,lang),S95)</f>
        <v>1I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2C</v>
      </c>
      <c r="T96" s="127" t="str" cm="1">
        <f t="array" ref="T96">IF(OR(S96="",S96="draw"),INDEX(T,95,lang),S96)</f>
        <v>2C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1H</v>
      </c>
      <c r="T97" s="127" t="str" cm="1">
        <f t="array" ref="T97">IF(OR(S97="",S97="draw"),INDEX(T,96,lang),S97)</f>
        <v>1H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1D</v>
      </c>
      <c r="T98" s="127" t="str" cm="1">
        <f t="array" ref="T98">IF(OR(S98="",S98="draw"),INDEX(T,97,lang),S98)</f>
        <v>1D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1I</v>
      </c>
      <c r="T102" s="127" t="str" cm="1">
        <f t="array" ref="T102">IF(OR(S102="",S102="draw"),INDEX(T,98,lang),S102)</f>
        <v>1I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2C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2C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1H</v>
      </c>
      <c r="T103" s="127" t="str" cm="1">
        <f t="array" ref="T103">IF(OR(S103="",S103="draw"),INDEX(T,99,lang),S103)</f>
        <v>1H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1D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1D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1I</v>
      </c>
      <c r="T111" s="127" t="str">
        <f>S111</f>
        <v>1I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102</v>
      </c>
      <c r="C3" s="121" t="str">
        <f>'2026 World Cup'!AR91</f>
        <v>BCEFGIJL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3D06-2413-447E-A35C-72E9640D373A}">
  <sheetPr>
    <tabColor rgb="FF92D050"/>
  </sheetPr>
  <dimension ref="A1"/>
  <sheetViews>
    <sheetView workbookViewId="0">
      <selection activeCell="E37" sqref="E37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6F7F-F9B2-4CEC-B426-D758AD7D1918}">
  <dimension ref="B2:N167"/>
  <sheetViews>
    <sheetView showGridLines="0" view="pageBreakPreview" topLeftCell="A7" zoomScaleNormal="100" zoomScaleSheetLayoutView="100" workbookViewId="0">
      <selection activeCell="I81" sqref="I81"/>
    </sheetView>
  </sheetViews>
  <sheetFormatPr defaultRowHeight="12.75" x14ac:dyDescent="0.2"/>
  <cols>
    <col min="1" max="1" width="3.140625" style="131" customWidth="1"/>
    <col min="2" max="2" width="9.140625" style="131"/>
    <col min="3" max="3" width="14" style="131" customWidth="1"/>
    <col min="4" max="4" width="16.42578125" style="131" bestFit="1" customWidth="1"/>
    <col min="5" max="5" width="12.5703125" style="131" customWidth="1"/>
    <col min="6" max="6" width="14.42578125" style="131" bestFit="1" customWidth="1"/>
    <col min="7" max="9" width="9.140625" style="131"/>
    <col min="10" max="10" width="12.140625" style="131" customWidth="1"/>
    <col min="11" max="13" width="9.140625" style="131"/>
    <col min="14" max="14" width="4.5703125" style="131" customWidth="1"/>
    <col min="15" max="16384" width="9.140625" style="131"/>
  </cols>
  <sheetData>
    <row r="2" spans="2:14" x14ac:dyDescent="0.2">
      <c r="B2" s="131" t="s">
        <v>3698</v>
      </c>
    </row>
    <row r="3" spans="2:14" x14ac:dyDescent="0.2">
      <c r="B3" s="132" t="s">
        <v>3699</v>
      </c>
      <c r="C3" s="133" t="s">
        <v>3700</v>
      </c>
      <c r="D3" s="133" t="s">
        <v>3701</v>
      </c>
      <c r="E3" s="132" t="s">
        <v>3702</v>
      </c>
      <c r="I3" s="131" t="s">
        <v>3703</v>
      </c>
    </row>
    <row r="4" spans="2:14" x14ac:dyDescent="0.2">
      <c r="B4" s="132">
        <v>1</v>
      </c>
      <c r="C4" s="133" t="str">
        <f>+'2026 World Cup'!E7</f>
        <v>Mexico</v>
      </c>
      <c r="D4" s="133" t="str">
        <f>+'2026 World Cup'!H7</f>
        <v>Sør-Afrika</v>
      </c>
      <c r="E4" s="134" t="str">
        <f>+IF('2026 World Cup'!F7&gt;'2026 World Cup'!G7,"H",IF('2026 World Cup'!F7='2026 World Cup'!G7,"U",IF('2026 World Cup'!G7&gt;'2026 World Cup'!F7,"B",0)))</f>
        <v>H</v>
      </c>
      <c r="I4" s="135" t="s">
        <v>3704</v>
      </c>
      <c r="J4" s="136"/>
      <c r="K4" s="136"/>
      <c r="L4" s="136" t="s">
        <v>3705</v>
      </c>
      <c r="M4" s="136"/>
      <c r="N4" s="137"/>
    </row>
    <row r="5" spans="2:14" x14ac:dyDescent="0.2">
      <c r="B5" s="132">
        <f>+B4+1</f>
        <v>2</v>
      </c>
      <c r="C5" s="133" t="str">
        <f>+'2026 World Cup'!E8</f>
        <v>Sør-Korea</v>
      </c>
      <c r="D5" s="133" t="str">
        <f>+'2026 World Cup'!H8</f>
        <v>Tsjekkia</v>
      </c>
      <c r="E5" s="134" t="str">
        <f>+IF('2026 World Cup'!F8&gt;'2026 World Cup'!G8,"H",IF('2026 World Cup'!F8='2026 World Cup'!G8,"U",IF('2026 World Cup'!G8&gt;'2026 World Cup'!F8,"B",0)))</f>
        <v>H</v>
      </c>
      <c r="I5" s="138" t="str">
        <f>+B2</f>
        <v>Resultater gruppespill</v>
      </c>
      <c r="J5" s="139"/>
      <c r="K5" s="139"/>
      <c r="L5" s="139" t="s">
        <v>3706</v>
      </c>
      <c r="M5" s="139"/>
      <c r="N5" s="140"/>
    </row>
    <row r="6" spans="2:14" x14ac:dyDescent="0.2">
      <c r="B6" s="132">
        <f t="shared" ref="B6:B69" si="0">+B5+1</f>
        <v>3</v>
      </c>
      <c r="C6" s="133" t="str">
        <f>+'2026 World Cup'!E9</f>
        <v>Canada</v>
      </c>
      <c r="D6" s="133" t="str">
        <f>+'2026 World Cup'!H9</f>
        <v>Bosnia-Hercegovina</v>
      </c>
      <c r="E6" s="134" t="str">
        <f>+IF('2026 World Cup'!F9&gt;'2026 World Cup'!G9,"H",IF('2026 World Cup'!F9='2026 World Cup'!G9,"U",IF('2026 World Cup'!G9&gt;'2026 World Cup'!F9,"B",0)))</f>
        <v>U</v>
      </c>
      <c r="I6" s="138" t="str">
        <f>+D77</f>
        <v>Gruppevinnere</v>
      </c>
      <c r="J6" s="139"/>
      <c r="K6" s="139"/>
      <c r="L6" s="139" t="s">
        <v>3707</v>
      </c>
      <c r="M6" s="139"/>
      <c r="N6" s="140"/>
    </row>
    <row r="7" spans="2:14" x14ac:dyDescent="0.2">
      <c r="B7" s="132">
        <f t="shared" si="0"/>
        <v>4</v>
      </c>
      <c r="C7" s="133" t="str">
        <f>+'2026 World Cup'!E10</f>
        <v>USA</v>
      </c>
      <c r="D7" s="133" t="str">
        <f>+'2026 World Cup'!H10</f>
        <v>Paraguay</v>
      </c>
      <c r="E7" s="134" t="str">
        <f>+IF('2026 World Cup'!F10&gt;'2026 World Cup'!G10,"H",IF('2026 World Cup'!F10='2026 World Cup'!G10,"U",IF('2026 World Cup'!G10&gt;'2026 World Cup'!F10,"B",0)))</f>
        <v>H</v>
      </c>
      <c r="I7" s="138" t="s">
        <v>3731</v>
      </c>
      <c r="J7" s="139"/>
      <c r="K7" s="139"/>
      <c r="L7" s="139" t="s">
        <v>3706</v>
      </c>
      <c r="M7" s="139"/>
      <c r="N7" s="139"/>
    </row>
    <row r="8" spans="2:14" x14ac:dyDescent="0.2">
      <c r="B8" s="132">
        <f t="shared" si="0"/>
        <v>5</v>
      </c>
      <c r="C8" s="133" t="str">
        <f>+'2026 World Cup'!E11</f>
        <v>Haiti</v>
      </c>
      <c r="D8" s="133" t="str">
        <f>+'2026 World Cup'!H11</f>
        <v>Skottland</v>
      </c>
      <c r="E8" s="134" t="str">
        <f>+IF('2026 World Cup'!F11&gt;'2026 World Cup'!G11,"H",IF('2026 World Cup'!F11='2026 World Cup'!G11,"U",IF('2026 World Cup'!G11&gt;'2026 World Cup'!F11,"B",0)))</f>
        <v>B</v>
      </c>
      <c r="I8" s="138" t="str">
        <f>+D125</f>
        <v>Land videre til 8-dels finale</v>
      </c>
      <c r="J8" s="139"/>
      <c r="K8" s="139"/>
      <c r="L8" s="139" t="s">
        <v>3708</v>
      </c>
      <c r="M8" s="139"/>
      <c r="N8" s="140"/>
    </row>
    <row r="9" spans="2:14" x14ac:dyDescent="0.2">
      <c r="B9" s="132">
        <f t="shared" si="0"/>
        <v>6</v>
      </c>
      <c r="C9" s="133" t="str">
        <f>+'2026 World Cup'!E12</f>
        <v>Australia</v>
      </c>
      <c r="D9" s="133" t="str">
        <f>+'2026 World Cup'!H12</f>
        <v>Tyrkia</v>
      </c>
      <c r="E9" s="134" t="str">
        <f>+IF('2026 World Cup'!F12&gt;'2026 World Cup'!G12,"H",IF('2026 World Cup'!F12='2026 World Cup'!G12,"U",IF('2026 World Cup'!G12&gt;'2026 World Cup'!F12,"B",0)))</f>
        <v>H</v>
      </c>
      <c r="I9" s="138" t="s">
        <v>3709</v>
      </c>
      <c r="J9" s="139"/>
      <c r="K9" s="139"/>
      <c r="L9" s="139" t="s">
        <v>3707</v>
      </c>
      <c r="M9" s="139"/>
      <c r="N9" s="140"/>
    </row>
    <row r="10" spans="2:14" x14ac:dyDescent="0.2">
      <c r="B10" s="132">
        <f t="shared" si="0"/>
        <v>7</v>
      </c>
      <c r="C10" s="133" t="str">
        <f>+'2026 World Cup'!E13</f>
        <v>Brasil</v>
      </c>
      <c r="D10" s="133" t="str">
        <f>+'2026 World Cup'!H13</f>
        <v>Marokko</v>
      </c>
      <c r="E10" s="134" t="str">
        <f>+IF('2026 World Cup'!F13&gt;'2026 World Cup'!G13,"H",IF('2026 World Cup'!F13='2026 World Cup'!G13,"U",IF('2026 World Cup'!G13&gt;'2026 World Cup'!F13,"B",0)))</f>
        <v>U</v>
      </c>
      <c r="I10" s="138" t="s">
        <v>3710</v>
      </c>
      <c r="J10" s="139"/>
      <c r="K10" s="139"/>
      <c r="L10" s="139" t="s">
        <v>3711</v>
      </c>
      <c r="M10" s="139"/>
      <c r="N10" s="140"/>
    </row>
    <row r="11" spans="2:14" x14ac:dyDescent="0.2">
      <c r="B11" s="132">
        <f t="shared" si="0"/>
        <v>8</v>
      </c>
      <c r="C11" s="133" t="str">
        <f>+'2026 World Cup'!E14</f>
        <v>Qatar</v>
      </c>
      <c r="D11" s="133" t="str">
        <f>+'2026 World Cup'!H14</f>
        <v>Sveits</v>
      </c>
      <c r="E11" s="134" t="str">
        <f>+IF('2026 World Cup'!F14&gt;'2026 World Cup'!G14,"H",IF('2026 World Cup'!F14='2026 World Cup'!G14,"U",IF('2026 World Cup'!G14&gt;'2026 World Cup'!F14,"B",0)))</f>
        <v>U</v>
      </c>
      <c r="I11" s="138" t="s">
        <v>3712</v>
      </c>
      <c r="J11" s="139"/>
      <c r="K11" s="139"/>
      <c r="L11" s="139" t="s">
        <v>3706</v>
      </c>
      <c r="M11" s="139"/>
      <c r="N11" s="140"/>
    </row>
    <row r="12" spans="2:14" x14ac:dyDescent="0.2">
      <c r="B12" s="132">
        <f t="shared" si="0"/>
        <v>9</v>
      </c>
      <c r="C12" s="133" t="str">
        <f>+'2026 World Cup'!E15</f>
        <v>Elfenbenskysten</v>
      </c>
      <c r="D12" s="133" t="str">
        <f>+'2026 World Cup'!H15</f>
        <v>Ecuador</v>
      </c>
      <c r="E12" s="134" t="str">
        <f>+IF('2026 World Cup'!F15&gt;'2026 World Cup'!G15,"H",IF('2026 World Cup'!F15='2026 World Cup'!G15,"U",IF('2026 World Cup'!G15&gt;'2026 World Cup'!F15,"B",0)))</f>
        <v>U</v>
      </c>
      <c r="I12" s="138" t="s">
        <v>3713</v>
      </c>
      <c r="J12" s="139"/>
      <c r="K12" s="139"/>
      <c r="L12" s="139" t="s">
        <v>3714</v>
      </c>
      <c r="M12" s="139"/>
      <c r="N12" s="140"/>
    </row>
    <row r="13" spans="2:14" x14ac:dyDescent="0.2">
      <c r="B13" s="132">
        <f t="shared" si="0"/>
        <v>10</v>
      </c>
      <c r="C13" s="133" t="str">
        <f>+'2026 World Cup'!E16</f>
        <v>Tyskland</v>
      </c>
      <c r="D13" s="133" t="str">
        <f>+'2026 World Cup'!H16</f>
        <v>Curaçao</v>
      </c>
      <c r="E13" s="134" t="str">
        <f>+IF('2026 World Cup'!F16&gt;'2026 World Cup'!G16,"H",IF('2026 World Cup'!F16='2026 World Cup'!G16,"U",IF('2026 World Cup'!G16&gt;'2026 World Cup'!F16,"B",0)))</f>
        <v>U</v>
      </c>
      <c r="I13" s="138" t="s">
        <v>3715</v>
      </c>
      <c r="J13" s="139"/>
      <c r="K13" s="139"/>
      <c r="L13" s="139" t="s">
        <v>3716</v>
      </c>
      <c r="M13" s="139"/>
      <c r="N13" s="140"/>
    </row>
    <row r="14" spans="2:14" x14ac:dyDescent="0.2">
      <c r="B14" s="132">
        <f t="shared" si="0"/>
        <v>11</v>
      </c>
      <c r="C14" s="133" t="str">
        <f>+'2026 World Cup'!E17</f>
        <v>Nederland</v>
      </c>
      <c r="D14" s="133" t="str">
        <f>+'2026 World Cup'!H17</f>
        <v>Japan</v>
      </c>
      <c r="E14" s="134" t="str">
        <f>+IF('2026 World Cup'!F17&gt;'2026 World Cup'!G17,"H",IF('2026 World Cup'!F17='2026 World Cup'!G17,"U",IF('2026 World Cup'!G17&gt;'2026 World Cup'!F17,"B",0)))</f>
        <v>U</v>
      </c>
      <c r="I14" s="138" t="s">
        <v>3717</v>
      </c>
      <c r="J14" s="139"/>
      <c r="K14" s="139"/>
      <c r="L14" s="139" t="s">
        <v>3718</v>
      </c>
      <c r="M14" s="139"/>
      <c r="N14" s="140"/>
    </row>
    <row r="15" spans="2:14" x14ac:dyDescent="0.2">
      <c r="B15" s="132">
        <f t="shared" si="0"/>
        <v>12</v>
      </c>
      <c r="C15" s="133" t="str">
        <f>+'2026 World Cup'!E18</f>
        <v>Sverige</v>
      </c>
      <c r="D15" s="133" t="str">
        <f>+'2026 World Cup'!H18</f>
        <v>Tunisia</v>
      </c>
      <c r="E15" s="134" t="str">
        <f>+IF('2026 World Cup'!F18&gt;'2026 World Cup'!G18,"H",IF('2026 World Cup'!F18='2026 World Cup'!G18,"U",IF('2026 World Cup'!G18&gt;'2026 World Cup'!F18,"B",0)))</f>
        <v>U</v>
      </c>
      <c r="I15" s="138"/>
      <c r="J15" s="139"/>
      <c r="K15" s="139"/>
      <c r="L15" s="139"/>
      <c r="M15" s="139"/>
      <c r="N15" s="140"/>
    </row>
    <row r="16" spans="2:14" x14ac:dyDescent="0.2">
      <c r="B16" s="132">
        <f t="shared" si="0"/>
        <v>13</v>
      </c>
      <c r="C16" s="133" t="str">
        <f>+'2026 World Cup'!E19</f>
        <v>Saudi-Arabia</v>
      </c>
      <c r="D16" s="133" t="str">
        <f>+'2026 World Cup'!H19</f>
        <v>Uruguay</v>
      </c>
      <c r="E16" s="134" t="str">
        <f>+IF('2026 World Cup'!F19&gt;'2026 World Cup'!G19,"H",IF('2026 World Cup'!F19='2026 World Cup'!G19,"U",IF('2026 World Cup'!G19&gt;'2026 World Cup'!F19,"B",0)))</f>
        <v>U</v>
      </c>
      <c r="I16" s="138" t="s">
        <v>3719</v>
      </c>
      <c r="J16" s="139"/>
      <c r="K16" s="139"/>
      <c r="L16" s="139" t="s">
        <v>3705</v>
      </c>
      <c r="M16" s="139"/>
      <c r="N16" s="140"/>
    </row>
    <row r="17" spans="2:14" x14ac:dyDescent="0.2">
      <c r="B17" s="132">
        <f t="shared" si="0"/>
        <v>14</v>
      </c>
      <c r="C17" s="133" t="str">
        <f>+'2026 World Cup'!E20</f>
        <v>Spania</v>
      </c>
      <c r="D17" s="133" t="str">
        <f>+'2026 World Cup'!H20</f>
        <v>Kapp Verde</v>
      </c>
      <c r="E17" s="134" t="str">
        <f>+IF('2026 World Cup'!F20&gt;'2026 World Cup'!G20,"H",IF('2026 World Cup'!F20='2026 World Cup'!G20,"U",IF('2026 World Cup'!G20&gt;'2026 World Cup'!F20,"B",0)))</f>
        <v>U</v>
      </c>
      <c r="I17" s="138" t="s">
        <v>3720</v>
      </c>
      <c r="J17" s="139"/>
      <c r="K17" s="139"/>
      <c r="L17" s="139" t="s">
        <v>3718</v>
      </c>
      <c r="M17" s="139"/>
      <c r="N17" s="140"/>
    </row>
    <row r="18" spans="2:14" x14ac:dyDescent="0.2">
      <c r="B18" s="132">
        <f t="shared" si="0"/>
        <v>15</v>
      </c>
      <c r="C18" s="133" t="str">
        <f>+'2026 World Cup'!E21</f>
        <v>Iran</v>
      </c>
      <c r="D18" s="133" t="str">
        <f>+'2026 World Cup'!H21</f>
        <v>New Zealand</v>
      </c>
      <c r="E18" s="134" t="str">
        <f>+IF('2026 World Cup'!F21&gt;'2026 World Cup'!G21,"H",IF('2026 World Cup'!F21='2026 World Cup'!G21,"U",IF('2026 World Cup'!G21&gt;'2026 World Cup'!F21,"B",0)))</f>
        <v>U</v>
      </c>
      <c r="I18" s="138" t="s">
        <v>3721</v>
      </c>
      <c r="J18" s="139"/>
      <c r="K18" s="139"/>
      <c r="L18" s="139" t="s">
        <v>3722</v>
      </c>
      <c r="M18" s="139"/>
      <c r="N18" s="140"/>
    </row>
    <row r="19" spans="2:14" x14ac:dyDescent="0.2">
      <c r="B19" s="132">
        <f t="shared" si="0"/>
        <v>16</v>
      </c>
      <c r="C19" s="133" t="str">
        <f>+'2026 World Cup'!E22</f>
        <v>Belgia</v>
      </c>
      <c r="D19" s="133" t="str">
        <f>+'2026 World Cup'!H22</f>
        <v>Egypt</v>
      </c>
      <c r="E19" s="134" t="str">
        <f>+IF('2026 World Cup'!F22&gt;'2026 World Cup'!G22,"H",IF('2026 World Cup'!F22='2026 World Cup'!G22,"U",IF('2026 World Cup'!G22&gt;'2026 World Cup'!F22,"B",0)))</f>
        <v>U</v>
      </c>
      <c r="I19" s="138" t="s">
        <v>3723</v>
      </c>
      <c r="J19" s="139"/>
      <c r="K19" s="139"/>
      <c r="L19" s="139" t="s">
        <v>3724</v>
      </c>
      <c r="M19" s="139"/>
      <c r="N19" s="140"/>
    </row>
    <row r="20" spans="2:14" x14ac:dyDescent="0.2">
      <c r="B20" s="132">
        <f t="shared" si="0"/>
        <v>17</v>
      </c>
      <c r="C20" s="133" t="str">
        <f>+'2026 World Cup'!E23</f>
        <v>Frankrike</v>
      </c>
      <c r="D20" s="133" t="str">
        <f>+'2026 World Cup'!H23</f>
        <v>Senegal</v>
      </c>
      <c r="E20" s="134" t="str">
        <f>+IF('2026 World Cup'!F23&gt;'2026 World Cup'!G23,"H",IF('2026 World Cup'!F23='2026 World Cup'!G23,"U",IF('2026 World Cup'!G23&gt;'2026 World Cup'!F23,"B",0)))</f>
        <v>U</v>
      </c>
      <c r="I20" s="138" t="s">
        <v>3725</v>
      </c>
      <c r="J20" s="139"/>
      <c r="K20" s="139"/>
      <c r="L20" s="139" t="s">
        <v>3724</v>
      </c>
      <c r="M20" s="139"/>
      <c r="N20" s="139"/>
    </row>
    <row r="21" spans="2:14" x14ac:dyDescent="0.2">
      <c r="B21" s="132">
        <f t="shared" si="0"/>
        <v>18</v>
      </c>
      <c r="C21" s="133" t="str">
        <f>+'2026 World Cup'!E24</f>
        <v>Irak</v>
      </c>
      <c r="D21" s="133" t="str">
        <f>+'2026 World Cup'!H24</f>
        <v>Norge</v>
      </c>
      <c r="E21" s="134" t="str">
        <f>+IF('2026 World Cup'!F24&gt;'2026 World Cup'!G24,"H",IF('2026 World Cup'!F24='2026 World Cup'!G24,"U",IF('2026 World Cup'!G24&gt;'2026 World Cup'!F24,"B",0)))</f>
        <v>U</v>
      </c>
      <c r="I21" s="138"/>
      <c r="J21" s="139"/>
      <c r="K21" s="139"/>
      <c r="L21" s="139"/>
      <c r="M21" s="139"/>
      <c r="N21" s="139"/>
    </row>
    <row r="22" spans="2:14" x14ac:dyDescent="0.2">
      <c r="B22" s="132">
        <f t="shared" si="0"/>
        <v>19</v>
      </c>
      <c r="C22" s="133" t="str">
        <f>+'2026 World Cup'!E25</f>
        <v>Argentina</v>
      </c>
      <c r="D22" s="133" t="str">
        <f>+'2026 World Cup'!H25</f>
        <v>Algerie</v>
      </c>
      <c r="E22" s="134" t="str">
        <f>+IF('2026 World Cup'!F25&gt;'2026 World Cup'!G25,"H",IF('2026 World Cup'!F25='2026 World Cup'!G25,"U",IF('2026 World Cup'!G25&gt;'2026 World Cup'!F25,"B",0)))</f>
        <v>U</v>
      </c>
      <c r="I22" s="138" t="s">
        <v>3751</v>
      </c>
      <c r="J22" s="139"/>
      <c r="K22" s="139"/>
      <c r="L22" s="139"/>
      <c r="M22" s="139"/>
      <c r="N22" s="139"/>
    </row>
    <row r="23" spans="2:14" x14ac:dyDescent="0.2">
      <c r="B23" s="132">
        <f t="shared" si="0"/>
        <v>20</v>
      </c>
      <c r="C23" s="133" t="str">
        <f>+'2026 World Cup'!E26</f>
        <v>Østerrike</v>
      </c>
      <c r="D23" s="133" t="str">
        <f>+'2026 World Cup'!H26</f>
        <v>Jordan</v>
      </c>
      <c r="E23" s="134" t="str">
        <f>+IF('2026 World Cup'!F26&gt;'2026 World Cup'!G26,"H",IF('2026 World Cup'!F26='2026 World Cup'!G26,"U",IF('2026 World Cup'!G26&gt;'2026 World Cup'!F26,"B",0)))</f>
        <v>U</v>
      </c>
      <c r="I23" s="141" t="s">
        <v>3726</v>
      </c>
      <c r="J23" s="142"/>
      <c r="K23" s="142"/>
      <c r="L23" s="142"/>
      <c r="M23" s="142"/>
      <c r="N23" s="143"/>
    </row>
    <row r="24" spans="2:14" x14ac:dyDescent="0.2">
      <c r="B24" s="132">
        <f t="shared" si="0"/>
        <v>21</v>
      </c>
      <c r="C24" s="133" t="str">
        <f>+'2026 World Cup'!E27</f>
        <v>Ghana</v>
      </c>
      <c r="D24" s="133" t="str">
        <f>+'2026 World Cup'!H27</f>
        <v>Panama</v>
      </c>
      <c r="E24" s="134" t="str">
        <f>+IF('2026 World Cup'!F27&gt;'2026 World Cup'!G27,"H",IF('2026 World Cup'!F27='2026 World Cup'!G27,"U",IF('2026 World Cup'!G27&gt;'2026 World Cup'!F27,"B",0)))</f>
        <v>U</v>
      </c>
    </row>
    <row r="25" spans="2:14" x14ac:dyDescent="0.2">
      <c r="B25" s="132">
        <f t="shared" si="0"/>
        <v>22</v>
      </c>
      <c r="C25" s="133" t="str">
        <f>+'2026 World Cup'!E28</f>
        <v>England</v>
      </c>
      <c r="D25" s="133" t="str">
        <f>+'2026 World Cup'!H28</f>
        <v>Kroatia</v>
      </c>
      <c r="E25" s="134" t="str">
        <f>+IF('2026 World Cup'!F28&gt;'2026 World Cup'!G28,"H",IF('2026 World Cup'!F28='2026 World Cup'!G28,"U",IF('2026 World Cup'!G28&gt;'2026 World Cup'!F28,"B",0)))</f>
        <v>U</v>
      </c>
      <c r="I25" s="131" t="s">
        <v>3719</v>
      </c>
      <c r="K25" s="147" t="s">
        <v>3734</v>
      </c>
    </row>
    <row r="26" spans="2:14" x14ac:dyDescent="0.2">
      <c r="B26" s="132">
        <f t="shared" si="0"/>
        <v>23</v>
      </c>
      <c r="C26" s="133" t="str">
        <f>+'2026 World Cup'!E29</f>
        <v>Portugal</v>
      </c>
      <c r="D26" s="133" t="str">
        <f>+'2026 World Cup'!H29</f>
        <v>DR Kongo</v>
      </c>
      <c r="E26" s="134" t="str">
        <f>+IF('2026 World Cup'!F29&gt;'2026 World Cup'!G29,"H",IF('2026 World Cup'!F29='2026 World Cup'!G29,"U",IF('2026 World Cup'!G29&gt;'2026 World Cup'!F29,"B",0)))</f>
        <v>U</v>
      </c>
      <c r="I26" s="144" t="s">
        <v>3720</v>
      </c>
      <c r="J26" s="145"/>
      <c r="K26" s="148"/>
    </row>
    <row r="27" spans="2:14" x14ac:dyDescent="0.2">
      <c r="B27" s="132">
        <f t="shared" si="0"/>
        <v>24</v>
      </c>
      <c r="C27" s="133" t="str">
        <f>+'2026 World Cup'!E30</f>
        <v>Usbekistan</v>
      </c>
      <c r="D27" s="133" t="str">
        <f>+'2026 World Cup'!H30</f>
        <v>Colombia</v>
      </c>
      <c r="E27" s="134" t="str">
        <f>+IF('2026 World Cup'!F30&gt;'2026 World Cup'!G30,"H",IF('2026 World Cup'!F30='2026 World Cup'!G30,"U",IF('2026 World Cup'!G30&gt;'2026 World Cup'!F30,"B",0)))</f>
        <v>U</v>
      </c>
      <c r="I27" s="144" t="s">
        <v>3721</v>
      </c>
      <c r="J27" s="145"/>
      <c r="K27" s="148"/>
    </row>
    <row r="28" spans="2:14" x14ac:dyDescent="0.2">
      <c r="B28" s="132">
        <f t="shared" si="0"/>
        <v>25</v>
      </c>
      <c r="C28" s="133" t="str">
        <f>+'2026 World Cup'!E31</f>
        <v>Tsjekkia</v>
      </c>
      <c r="D28" s="133" t="str">
        <f>+'2026 World Cup'!H31</f>
        <v>Sør-Afrika</v>
      </c>
      <c r="E28" s="134" t="str">
        <f>+IF('2026 World Cup'!F31&gt;'2026 World Cup'!G31,"H",IF('2026 World Cup'!F31='2026 World Cup'!G31,"U",IF('2026 World Cup'!G31&gt;'2026 World Cup'!F31,"B",0)))</f>
        <v>U</v>
      </c>
      <c r="I28" s="144" t="s">
        <v>3723</v>
      </c>
      <c r="J28" s="145"/>
      <c r="K28" s="148"/>
    </row>
    <row r="29" spans="2:14" x14ac:dyDescent="0.2">
      <c r="B29" s="132">
        <f t="shared" si="0"/>
        <v>26</v>
      </c>
      <c r="C29" s="133" t="str">
        <f>+'2026 World Cup'!E32</f>
        <v>Sveits</v>
      </c>
      <c r="D29" s="133" t="str">
        <f>+'2026 World Cup'!H32</f>
        <v>Bosnia-Hercegovina</v>
      </c>
      <c r="E29" s="134" t="str">
        <f>+IF('2026 World Cup'!F32&gt;'2026 World Cup'!G32,"H",IF('2026 World Cup'!F32='2026 World Cup'!G32,"U",IF('2026 World Cup'!G32&gt;'2026 World Cup'!F32,"B",0)))</f>
        <v>U</v>
      </c>
      <c r="I29" s="144" t="s">
        <v>3725</v>
      </c>
      <c r="J29" s="145"/>
      <c r="K29" s="148"/>
    </row>
    <row r="30" spans="2:14" x14ac:dyDescent="0.2">
      <c r="B30" s="132">
        <f t="shared" si="0"/>
        <v>27</v>
      </c>
      <c r="C30" s="133" t="str">
        <f>+'2026 World Cup'!E33</f>
        <v>Canada</v>
      </c>
      <c r="D30" s="133" t="str">
        <f>+'2026 World Cup'!H33</f>
        <v>Qatar</v>
      </c>
      <c r="E30" s="134" t="str">
        <f>+IF('2026 World Cup'!F33&gt;'2026 World Cup'!G33,"H",IF('2026 World Cup'!F33='2026 World Cup'!G33,"U",IF('2026 World Cup'!G33&gt;'2026 World Cup'!F33,"B",0)))</f>
        <v>U</v>
      </c>
    </row>
    <row r="31" spans="2:14" x14ac:dyDescent="0.2">
      <c r="B31" s="132">
        <f t="shared" si="0"/>
        <v>28</v>
      </c>
      <c r="C31" s="133" t="str">
        <f>+'2026 World Cup'!E34</f>
        <v>Mexico</v>
      </c>
      <c r="D31" s="133" t="str">
        <f>+'2026 World Cup'!H34</f>
        <v>Sør-Korea</v>
      </c>
      <c r="E31" s="134" t="str">
        <f>+IF('2026 World Cup'!F34&gt;'2026 World Cup'!G34,"H",IF('2026 World Cup'!F34='2026 World Cup'!G34,"U",IF('2026 World Cup'!G34&gt;'2026 World Cup'!F34,"B",0)))</f>
        <v>U</v>
      </c>
    </row>
    <row r="32" spans="2:14" x14ac:dyDescent="0.2">
      <c r="B32" s="132">
        <f t="shared" si="0"/>
        <v>29</v>
      </c>
      <c r="C32" s="133" t="str">
        <f>+'2026 World Cup'!E35</f>
        <v>Brasil</v>
      </c>
      <c r="D32" s="133" t="str">
        <f>+'2026 World Cup'!H35</f>
        <v>Haiti</v>
      </c>
      <c r="E32" s="134" t="str">
        <f>+IF('2026 World Cup'!F35&gt;'2026 World Cup'!G35,"H",IF('2026 World Cup'!F35='2026 World Cup'!G35,"U",IF('2026 World Cup'!G35&gt;'2026 World Cup'!F35,"B",0)))</f>
        <v>U</v>
      </c>
    </row>
    <row r="33" spans="2:5" x14ac:dyDescent="0.2">
      <c r="B33" s="132">
        <f t="shared" si="0"/>
        <v>30</v>
      </c>
      <c r="C33" s="133" t="str">
        <f>+'2026 World Cup'!E36</f>
        <v>Skottland</v>
      </c>
      <c r="D33" s="133" t="str">
        <f>+'2026 World Cup'!H36</f>
        <v>Marokko</v>
      </c>
      <c r="E33" s="134" t="str">
        <f>+IF('2026 World Cup'!F36&gt;'2026 World Cup'!G36,"H",IF('2026 World Cup'!F36='2026 World Cup'!G36,"U",IF('2026 World Cup'!G36&gt;'2026 World Cup'!F36,"B",0)))</f>
        <v>U</v>
      </c>
    </row>
    <row r="34" spans="2:5" x14ac:dyDescent="0.2">
      <c r="B34" s="132">
        <f t="shared" si="0"/>
        <v>31</v>
      </c>
      <c r="C34" s="133" t="str">
        <f>+'2026 World Cup'!E37</f>
        <v>USA</v>
      </c>
      <c r="D34" s="133" t="str">
        <f>+'2026 World Cup'!H37</f>
        <v>Australia</v>
      </c>
      <c r="E34" s="134" t="str">
        <f>+IF('2026 World Cup'!F37&gt;'2026 World Cup'!G37,"H",IF('2026 World Cup'!F37='2026 World Cup'!G37,"U",IF('2026 World Cup'!G37&gt;'2026 World Cup'!F37,"B",0)))</f>
        <v>U</v>
      </c>
    </row>
    <row r="35" spans="2:5" x14ac:dyDescent="0.2">
      <c r="B35" s="132">
        <f t="shared" si="0"/>
        <v>32</v>
      </c>
      <c r="C35" s="133" t="str">
        <f>+'2026 World Cup'!E38</f>
        <v>Tyrkia</v>
      </c>
      <c r="D35" s="133" t="str">
        <f>+'2026 World Cup'!H38</f>
        <v>Paraguay</v>
      </c>
      <c r="E35" s="134" t="str">
        <f>+IF('2026 World Cup'!F38&gt;'2026 World Cup'!G38,"H",IF('2026 World Cup'!F38='2026 World Cup'!G38,"U",IF('2026 World Cup'!G38&gt;'2026 World Cup'!F38,"B",0)))</f>
        <v>U</v>
      </c>
    </row>
    <row r="36" spans="2:5" x14ac:dyDescent="0.2">
      <c r="B36" s="132">
        <f t="shared" si="0"/>
        <v>33</v>
      </c>
      <c r="C36" s="133" t="str">
        <f>+'2026 World Cup'!E39</f>
        <v>Tyskland</v>
      </c>
      <c r="D36" s="133" t="str">
        <f>+'2026 World Cup'!H39</f>
        <v>Elfenbenskysten</v>
      </c>
      <c r="E36" s="134" t="str">
        <f>+IF('2026 World Cup'!F39&gt;'2026 World Cup'!G39,"H",IF('2026 World Cup'!F39='2026 World Cup'!G39,"U",IF('2026 World Cup'!G39&gt;'2026 World Cup'!F39,"B",0)))</f>
        <v>U</v>
      </c>
    </row>
    <row r="37" spans="2:5" x14ac:dyDescent="0.2">
      <c r="B37" s="132">
        <f t="shared" si="0"/>
        <v>34</v>
      </c>
      <c r="C37" s="133" t="str">
        <f>+'2026 World Cup'!E40</f>
        <v>Ecuador</v>
      </c>
      <c r="D37" s="133" t="str">
        <f>+'2026 World Cup'!H40</f>
        <v>Curaçao</v>
      </c>
      <c r="E37" s="134" t="str">
        <f>+IF('2026 World Cup'!F40&gt;'2026 World Cup'!G40,"H",IF('2026 World Cup'!F40='2026 World Cup'!G40,"U",IF('2026 World Cup'!G40&gt;'2026 World Cup'!F40,"B",0)))</f>
        <v>U</v>
      </c>
    </row>
    <row r="38" spans="2:5" x14ac:dyDescent="0.2">
      <c r="B38" s="132">
        <f t="shared" si="0"/>
        <v>35</v>
      </c>
      <c r="C38" s="133" t="str">
        <f>+'2026 World Cup'!E41</f>
        <v>Nederland</v>
      </c>
      <c r="D38" s="133" t="str">
        <f>+'2026 World Cup'!H41</f>
        <v>Sverige</v>
      </c>
      <c r="E38" s="134" t="str">
        <f>+IF('2026 World Cup'!F41&gt;'2026 World Cup'!G41,"H",IF('2026 World Cup'!F41='2026 World Cup'!G41,"U",IF('2026 World Cup'!G41&gt;'2026 World Cup'!F41,"B",0)))</f>
        <v>U</v>
      </c>
    </row>
    <row r="39" spans="2:5" x14ac:dyDescent="0.2">
      <c r="B39" s="132">
        <f t="shared" si="0"/>
        <v>36</v>
      </c>
      <c r="C39" s="133" t="str">
        <f>+'2026 World Cup'!E42</f>
        <v>Tunisia</v>
      </c>
      <c r="D39" s="133" t="str">
        <f>+'2026 World Cup'!H42</f>
        <v>Japan</v>
      </c>
      <c r="E39" s="134" t="str">
        <f>+IF('2026 World Cup'!F42&gt;'2026 World Cup'!G42,"H",IF('2026 World Cup'!F42='2026 World Cup'!G42,"U",IF('2026 World Cup'!G42&gt;'2026 World Cup'!F42,"B",0)))</f>
        <v>U</v>
      </c>
    </row>
    <row r="40" spans="2:5" x14ac:dyDescent="0.2">
      <c r="B40" s="132">
        <f t="shared" si="0"/>
        <v>37</v>
      </c>
      <c r="C40" s="133" t="str">
        <f>+'2026 World Cup'!E43</f>
        <v>Uruguay</v>
      </c>
      <c r="D40" s="133" t="str">
        <f>+'2026 World Cup'!H43</f>
        <v>Kapp Verde</v>
      </c>
      <c r="E40" s="134" t="str">
        <f>+IF('2026 World Cup'!F43&gt;'2026 World Cup'!G43,"H",IF('2026 World Cup'!F43='2026 World Cup'!G43,"U",IF('2026 World Cup'!G43&gt;'2026 World Cup'!F43,"B",0)))</f>
        <v>U</v>
      </c>
    </row>
    <row r="41" spans="2:5" x14ac:dyDescent="0.2">
      <c r="B41" s="132">
        <f t="shared" si="0"/>
        <v>38</v>
      </c>
      <c r="C41" s="133" t="str">
        <f>+'2026 World Cup'!E44</f>
        <v>Spania</v>
      </c>
      <c r="D41" s="133" t="str">
        <f>+'2026 World Cup'!H44</f>
        <v>Saudi-Arabia</v>
      </c>
      <c r="E41" s="134" t="str">
        <f>+IF('2026 World Cup'!F44&gt;'2026 World Cup'!G44,"H",IF('2026 World Cup'!F44='2026 World Cup'!G44,"U",IF('2026 World Cup'!G44&gt;'2026 World Cup'!F44,"B",0)))</f>
        <v>U</v>
      </c>
    </row>
    <row r="42" spans="2:5" x14ac:dyDescent="0.2">
      <c r="B42" s="132">
        <f t="shared" si="0"/>
        <v>39</v>
      </c>
      <c r="C42" s="133" t="str">
        <f>+'2026 World Cup'!E45</f>
        <v>Belgia</v>
      </c>
      <c r="D42" s="133" t="str">
        <f>+'2026 World Cup'!H45</f>
        <v>Iran</v>
      </c>
      <c r="E42" s="134" t="str">
        <f>+IF('2026 World Cup'!F45&gt;'2026 World Cup'!G45,"H",IF('2026 World Cup'!F45='2026 World Cup'!G45,"U",IF('2026 World Cup'!G45&gt;'2026 World Cup'!F45,"B",0)))</f>
        <v>U</v>
      </c>
    </row>
    <row r="43" spans="2:5" x14ac:dyDescent="0.2">
      <c r="B43" s="132">
        <f t="shared" si="0"/>
        <v>40</v>
      </c>
      <c r="C43" s="133" t="str">
        <f>+'2026 World Cup'!E46</f>
        <v>New Zealand</v>
      </c>
      <c r="D43" s="133" t="str">
        <f>+'2026 World Cup'!H46</f>
        <v>Egypt</v>
      </c>
      <c r="E43" s="134" t="str">
        <f>+IF('2026 World Cup'!F46&gt;'2026 World Cup'!G46,"H",IF('2026 World Cup'!F46='2026 World Cup'!G46,"U",IF('2026 World Cup'!G46&gt;'2026 World Cup'!F46,"B",0)))</f>
        <v>U</v>
      </c>
    </row>
    <row r="44" spans="2:5" x14ac:dyDescent="0.2">
      <c r="B44" s="132">
        <f t="shared" si="0"/>
        <v>41</v>
      </c>
      <c r="C44" s="133" t="str">
        <f>+'2026 World Cup'!E47</f>
        <v>Norge</v>
      </c>
      <c r="D44" s="133" t="str">
        <f>+'2026 World Cup'!H47</f>
        <v>Senegal</v>
      </c>
      <c r="E44" s="134" t="str">
        <f>+IF('2026 World Cup'!F47&gt;'2026 World Cup'!G47,"H",IF('2026 World Cup'!F47='2026 World Cup'!G47,"U",IF('2026 World Cup'!G47&gt;'2026 World Cup'!F47,"B",0)))</f>
        <v>U</v>
      </c>
    </row>
    <row r="45" spans="2:5" x14ac:dyDescent="0.2">
      <c r="B45" s="132">
        <f t="shared" si="0"/>
        <v>42</v>
      </c>
      <c r="C45" s="133" t="str">
        <f>+'2026 World Cup'!E48</f>
        <v>Frankrike</v>
      </c>
      <c r="D45" s="133" t="str">
        <f>+'2026 World Cup'!H48</f>
        <v>Irak</v>
      </c>
      <c r="E45" s="134" t="str">
        <f>+IF('2026 World Cup'!F48&gt;'2026 World Cup'!G48,"H",IF('2026 World Cup'!F48='2026 World Cup'!G48,"U",IF('2026 World Cup'!G48&gt;'2026 World Cup'!F48,"B",0)))</f>
        <v>U</v>
      </c>
    </row>
    <row r="46" spans="2:5" x14ac:dyDescent="0.2">
      <c r="B46" s="132">
        <f t="shared" si="0"/>
        <v>43</v>
      </c>
      <c r="C46" s="133" t="str">
        <f>+'2026 World Cup'!E49</f>
        <v>Argentina</v>
      </c>
      <c r="D46" s="133" t="str">
        <f>+'2026 World Cup'!H49</f>
        <v>Østerrike</v>
      </c>
      <c r="E46" s="134" t="str">
        <f>+IF('2026 World Cup'!F49&gt;'2026 World Cup'!G49,"H",IF('2026 World Cup'!F49='2026 World Cup'!G49,"U",IF('2026 World Cup'!G49&gt;'2026 World Cup'!F49,"B",0)))</f>
        <v>U</v>
      </c>
    </row>
    <row r="47" spans="2:5" x14ac:dyDescent="0.2">
      <c r="B47" s="132">
        <f t="shared" si="0"/>
        <v>44</v>
      </c>
      <c r="C47" s="133" t="str">
        <f>+'2026 World Cup'!E50</f>
        <v>Jordan</v>
      </c>
      <c r="D47" s="133" t="str">
        <f>+'2026 World Cup'!H50</f>
        <v>Algerie</v>
      </c>
      <c r="E47" s="134" t="str">
        <f>+IF('2026 World Cup'!F50&gt;'2026 World Cup'!G50,"H",IF('2026 World Cup'!F50='2026 World Cup'!G50,"U",IF('2026 World Cup'!G50&gt;'2026 World Cup'!F50,"B",0)))</f>
        <v>U</v>
      </c>
    </row>
    <row r="48" spans="2:5" x14ac:dyDescent="0.2">
      <c r="B48" s="132">
        <f t="shared" si="0"/>
        <v>45</v>
      </c>
      <c r="C48" s="133" t="str">
        <f>+'2026 World Cup'!E51</f>
        <v>England</v>
      </c>
      <c r="D48" s="133" t="str">
        <f>+'2026 World Cup'!H51</f>
        <v>Ghana</v>
      </c>
      <c r="E48" s="134" t="str">
        <f>+IF('2026 World Cup'!F51&gt;'2026 World Cup'!G51,"H",IF('2026 World Cup'!F51='2026 World Cup'!G51,"U",IF('2026 World Cup'!G51&gt;'2026 World Cup'!F51,"B",0)))</f>
        <v>U</v>
      </c>
    </row>
    <row r="49" spans="2:5" x14ac:dyDescent="0.2">
      <c r="B49" s="132">
        <f t="shared" si="0"/>
        <v>46</v>
      </c>
      <c r="C49" s="133" t="str">
        <f>+'2026 World Cup'!E52</f>
        <v>Panama</v>
      </c>
      <c r="D49" s="133" t="str">
        <f>+'2026 World Cup'!H52</f>
        <v>Kroatia</v>
      </c>
      <c r="E49" s="134" t="str">
        <f>+IF('2026 World Cup'!F52&gt;'2026 World Cup'!G52,"H",IF('2026 World Cup'!F52='2026 World Cup'!G52,"U",IF('2026 World Cup'!G52&gt;'2026 World Cup'!F52,"B",0)))</f>
        <v>U</v>
      </c>
    </row>
    <row r="50" spans="2:5" x14ac:dyDescent="0.2">
      <c r="B50" s="132">
        <f t="shared" si="0"/>
        <v>47</v>
      </c>
      <c r="C50" s="133" t="str">
        <f>+'2026 World Cup'!E53</f>
        <v>Portugal</v>
      </c>
      <c r="D50" s="133" t="str">
        <f>+'2026 World Cup'!H53</f>
        <v>Usbekistan</v>
      </c>
      <c r="E50" s="134" t="str">
        <f>+IF('2026 World Cup'!F53&gt;'2026 World Cup'!G53,"H",IF('2026 World Cup'!F53='2026 World Cup'!G53,"U",IF('2026 World Cup'!G53&gt;'2026 World Cup'!F53,"B",0)))</f>
        <v>U</v>
      </c>
    </row>
    <row r="51" spans="2:5" x14ac:dyDescent="0.2">
      <c r="B51" s="132">
        <f t="shared" si="0"/>
        <v>48</v>
      </c>
      <c r="C51" s="133" t="str">
        <f>+'2026 World Cup'!E54</f>
        <v>Colombia</v>
      </c>
      <c r="D51" s="133" t="str">
        <f>+'2026 World Cup'!H54</f>
        <v>DR Kongo</v>
      </c>
      <c r="E51" s="134" t="str">
        <f>+IF('2026 World Cup'!F54&gt;'2026 World Cup'!G54,"H",IF('2026 World Cup'!F54='2026 World Cup'!G54,"U",IF('2026 World Cup'!G54&gt;'2026 World Cup'!F54,"B",0)))</f>
        <v>U</v>
      </c>
    </row>
    <row r="52" spans="2:5" x14ac:dyDescent="0.2">
      <c r="B52" s="132">
        <f t="shared" si="0"/>
        <v>49</v>
      </c>
      <c r="C52" s="133" t="str">
        <f>+'2026 World Cup'!E55</f>
        <v>Skottland</v>
      </c>
      <c r="D52" s="133" t="str">
        <f>+'2026 World Cup'!H55</f>
        <v>Brasil</v>
      </c>
      <c r="E52" s="134" t="str">
        <f>+IF('2026 World Cup'!F55&gt;'2026 World Cup'!G55,"H",IF('2026 World Cup'!F55='2026 World Cup'!G55,"U",IF('2026 World Cup'!G55&gt;'2026 World Cup'!F55,"B",0)))</f>
        <v>U</v>
      </c>
    </row>
    <row r="53" spans="2:5" x14ac:dyDescent="0.2">
      <c r="B53" s="132">
        <f t="shared" si="0"/>
        <v>50</v>
      </c>
      <c r="C53" s="133" t="str">
        <f>+'2026 World Cup'!E56</f>
        <v>Marokko</v>
      </c>
      <c r="D53" s="133" t="str">
        <f>+'2026 World Cup'!H56</f>
        <v>Haiti</v>
      </c>
      <c r="E53" s="134" t="str">
        <f>+IF('2026 World Cup'!F56&gt;'2026 World Cup'!G56,"H",IF('2026 World Cup'!F56='2026 World Cup'!G56,"U",IF('2026 World Cup'!G56&gt;'2026 World Cup'!F56,"B",0)))</f>
        <v>U</v>
      </c>
    </row>
    <row r="54" spans="2:5" x14ac:dyDescent="0.2">
      <c r="B54" s="132">
        <f t="shared" si="0"/>
        <v>51</v>
      </c>
      <c r="C54" s="133" t="str">
        <f>+'2026 World Cup'!E57</f>
        <v>Sveits</v>
      </c>
      <c r="D54" s="133" t="str">
        <f>+'2026 World Cup'!H57</f>
        <v>Canada</v>
      </c>
      <c r="E54" s="134" t="str">
        <f>+IF('2026 World Cup'!F57&gt;'2026 World Cup'!G57,"H",IF('2026 World Cup'!F57='2026 World Cup'!G57,"U",IF('2026 World Cup'!G57&gt;'2026 World Cup'!F57,"B",0)))</f>
        <v>U</v>
      </c>
    </row>
    <row r="55" spans="2:5" x14ac:dyDescent="0.2">
      <c r="B55" s="132">
        <f t="shared" si="0"/>
        <v>52</v>
      </c>
      <c r="C55" s="133" t="str">
        <f>+'2026 World Cup'!E58</f>
        <v>Bosnia-Hercegovina</v>
      </c>
      <c r="D55" s="133" t="str">
        <f>+'2026 World Cup'!H58</f>
        <v>Qatar</v>
      </c>
      <c r="E55" s="134" t="str">
        <f>+IF('2026 World Cup'!F58&gt;'2026 World Cup'!G58,"H",IF('2026 World Cup'!F58='2026 World Cup'!G58,"U",IF('2026 World Cup'!G58&gt;'2026 World Cup'!F58,"B",0)))</f>
        <v>U</v>
      </c>
    </row>
    <row r="56" spans="2:5" x14ac:dyDescent="0.2">
      <c r="B56" s="132">
        <f t="shared" si="0"/>
        <v>53</v>
      </c>
      <c r="C56" s="133" t="str">
        <f>+'2026 World Cup'!E59</f>
        <v>Tsjekkia</v>
      </c>
      <c r="D56" s="133" t="str">
        <f>+'2026 World Cup'!H59</f>
        <v>Mexico</v>
      </c>
      <c r="E56" s="134" t="str">
        <f>+IF('2026 World Cup'!F59&gt;'2026 World Cup'!G59,"H",IF('2026 World Cup'!F59='2026 World Cup'!G59,"U",IF('2026 World Cup'!G59&gt;'2026 World Cup'!F59,"B",0)))</f>
        <v>U</v>
      </c>
    </row>
    <row r="57" spans="2:5" x14ac:dyDescent="0.2">
      <c r="B57" s="132">
        <f t="shared" si="0"/>
        <v>54</v>
      </c>
      <c r="C57" s="133" t="str">
        <f>+'2026 World Cup'!E60</f>
        <v>Sør-Afrika</v>
      </c>
      <c r="D57" s="133" t="str">
        <f>+'2026 World Cup'!H60</f>
        <v>Sør-Korea</v>
      </c>
      <c r="E57" s="134" t="str">
        <f>+IF('2026 World Cup'!F60&gt;'2026 World Cup'!G60,"H",IF('2026 World Cup'!F60='2026 World Cup'!G60,"U",IF('2026 World Cup'!G60&gt;'2026 World Cup'!F60,"B",0)))</f>
        <v>U</v>
      </c>
    </row>
    <row r="58" spans="2:5" x14ac:dyDescent="0.2">
      <c r="B58" s="132">
        <f t="shared" si="0"/>
        <v>55</v>
      </c>
      <c r="C58" s="133" t="str">
        <f>+'2026 World Cup'!E61</f>
        <v>Curaçao</v>
      </c>
      <c r="D58" s="133" t="str">
        <f>+'2026 World Cup'!H61</f>
        <v>Elfenbenskysten</v>
      </c>
      <c r="E58" s="134" t="str">
        <f>+IF('2026 World Cup'!F61&gt;'2026 World Cup'!G61,"H",IF('2026 World Cup'!F61='2026 World Cup'!G61,"U",IF('2026 World Cup'!G61&gt;'2026 World Cup'!F61,"B",0)))</f>
        <v>U</v>
      </c>
    </row>
    <row r="59" spans="2:5" x14ac:dyDescent="0.2">
      <c r="B59" s="132">
        <f t="shared" si="0"/>
        <v>56</v>
      </c>
      <c r="C59" s="133" t="str">
        <f>+'2026 World Cup'!E62</f>
        <v>Ecuador</v>
      </c>
      <c r="D59" s="133" t="str">
        <f>+'2026 World Cup'!H62</f>
        <v>Tyskland</v>
      </c>
      <c r="E59" s="134" t="str">
        <f>+IF('2026 World Cup'!F62&gt;'2026 World Cup'!G62,"H",IF('2026 World Cup'!F62='2026 World Cup'!G62,"U",IF('2026 World Cup'!G62&gt;'2026 World Cup'!F62,"B",0)))</f>
        <v>U</v>
      </c>
    </row>
    <row r="60" spans="2:5" x14ac:dyDescent="0.2">
      <c r="B60" s="132">
        <f t="shared" si="0"/>
        <v>57</v>
      </c>
      <c r="C60" s="133" t="str">
        <f>+'2026 World Cup'!E63</f>
        <v>Japan</v>
      </c>
      <c r="D60" s="133" t="str">
        <f>+'2026 World Cup'!H63</f>
        <v>Sverige</v>
      </c>
      <c r="E60" s="134" t="str">
        <f>+IF('2026 World Cup'!F63&gt;'2026 World Cup'!G63,"H",IF('2026 World Cup'!F63='2026 World Cup'!G63,"U",IF('2026 World Cup'!G63&gt;'2026 World Cup'!F63,"B",0)))</f>
        <v>U</v>
      </c>
    </row>
    <row r="61" spans="2:5" x14ac:dyDescent="0.2">
      <c r="B61" s="132">
        <f t="shared" si="0"/>
        <v>58</v>
      </c>
      <c r="C61" s="133" t="str">
        <f>+'2026 World Cup'!E64</f>
        <v>Tunisia</v>
      </c>
      <c r="D61" s="133" t="str">
        <f>+'2026 World Cup'!H64</f>
        <v>Nederland</v>
      </c>
      <c r="E61" s="134" t="str">
        <f>+IF('2026 World Cup'!F64&gt;'2026 World Cup'!G64,"H",IF('2026 World Cup'!F64='2026 World Cup'!G64,"U",IF('2026 World Cup'!G64&gt;'2026 World Cup'!F64,"B",0)))</f>
        <v>U</v>
      </c>
    </row>
    <row r="62" spans="2:5" x14ac:dyDescent="0.2">
      <c r="B62" s="132">
        <f t="shared" si="0"/>
        <v>59</v>
      </c>
      <c r="C62" s="133" t="str">
        <f>+'2026 World Cup'!E65</f>
        <v>Tyrkia</v>
      </c>
      <c r="D62" s="133" t="str">
        <f>+'2026 World Cup'!H65</f>
        <v>USA</v>
      </c>
      <c r="E62" s="134" t="str">
        <f>+IF('2026 World Cup'!F65&gt;'2026 World Cup'!G65,"H",IF('2026 World Cup'!F65='2026 World Cup'!G65,"U",IF('2026 World Cup'!G65&gt;'2026 World Cup'!F65,"B",0)))</f>
        <v>U</v>
      </c>
    </row>
    <row r="63" spans="2:5" x14ac:dyDescent="0.2">
      <c r="B63" s="132">
        <f t="shared" si="0"/>
        <v>60</v>
      </c>
      <c r="C63" s="133" t="str">
        <f>+'2026 World Cup'!E66</f>
        <v>Paraguay</v>
      </c>
      <c r="D63" s="133" t="str">
        <f>+'2026 World Cup'!H66</f>
        <v>Australia</v>
      </c>
      <c r="E63" s="134" t="str">
        <f>+IF('2026 World Cup'!F66&gt;'2026 World Cup'!G66,"H",IF('2026 World Cup'!F66='2026 World Cup'!G66,"U",IF('2026 World Cup'!G66&gt;'2026 World Cup'!F66,"B",0)))</f>
        <v>U</v>
      </c>
    </row>
    <row r="64" spans="2:5" x14ac:dyDescent="0.2">
      <c r="B64" s="132">
        <f t="shared" si="0"/>
        <v>61</v>
      </c>
      <c r="C64" s="133" t="str">
        <f>+'2026 World Cup'!E67</f>
        <v>Norge</v>
      </c>
      <c r="D64" s="133" t="str">
        <f>+'2026 World Cup'!H67</f>
        <v>Frankrike</v>
      </c>
      <c r="E64" s="134" t="str">
        <f>+IF('2026 World Cup'!F67&gt;'2026 World Cup'!G67,"H",IF('2026 World Cup'!F67='2026 World Cup'!G67,"U",IF('2026 World Cup'!G67&gt;'2026 World Cup'!F67,"B",0)))</f>
        <v>U</v>
      </c>
    </row>
    <row r="65" spans="2:9" x14ac:dyDescent="0.2">
      <c r="B65" s="132">
        <f t="shared" si="0"/>
        <v>62</v>
      </c>
      <c r="C65" s="133" t="str">
        <f>+'2026 World Cup'!E68</f>
        <v>Senegal</v>
      </c>
      <c r="D65" s="133" t="str">
        <f>+'2026 World Cup'!H68</f>
        <v>Irak</v>
      </c>
      <c r="E65" s="134" t="str">
        <f>+IF('2026 World Cup'!F68&gt;'2026 World Cup'!G68,"H",IF('2026 World Cup'!F68='2026 World Cup'!G68,"U",IF('2026 World Cup'!G68&gt;'2026 World Cup'!F68,"B",0)))</f>
        <v>U</v>
      </c>
    </row>
    <row r="66" spans="2:9" x14ac:dyDescent="0.2">
      <c r="B66" s="132">
        <f t="shared" si="0"/>
        <v>63</v>
      </c>
      <c r="C66" s="133" t="str">
        <f>+'2026 World Cup'!E69</f>
        <v>Egypt</v>
      </c>
      <c r="D66" s="133" t="str">
        <f>+'2026 World Cup'!H69</f>
        <v>Iran</v>
      </c>
      <c r="E66" s="134" t="str">
        <f>+IF('2026 World Cup'!F69&gt;'2026 World Cup'!G69,"H",IF('2026 World Cup'!F69='2026 World Cup'!G69,"U",IF('2026 World Cup'!G69&gt;'2026 World Cup'!F69,"B",0)))</f>
        <v>U</v>
      </c>
    </row>
    <row r="67" spans="2:9" x14ac:dyDescent="0.2">
      <c r="B67" s="132">
        <f t="shared" si="0"/>
        <v>64</v>
      </c>
      <c r="C67" s="133" t="str">
        <f>+'2026 World Cup'!E70</f>
        <v>New Zealand</v>
      </c>
      <c r="D67" s="133" t="str">
        <f>+'2026 World Cup'!H70</f>
        <v>Belgia</v>
      </c>
      <c r="E67" s="134" t="str">
        <f>+IF('2026 World Cup'!F70&gt;'2026 World Cup'!G70,"H",IF('2026 World Cup'!F70='2026 World Cup'!G70,"U",IF('2026 World Cup'!G70&gt;'2026 World Cup'!F70,"B",0)))</f>
        <v>U</v>
      </c>
    </row>
    <row r="68" spans="2:9" x14ac:dyDescent="0.2">
      <c r="B68" s="132">
        <f t="shared" si="0"/>
        <v>65</v>
      </c>
      <c r="C68" s="133" t="str">
        <f>+'2026 World Cup'!E71</f>
        <v>Kapp Verde</v>
      </c>
      <c r="D68" s="133" t="str">
        <f>+'2026 World Cup'!H71</f>
        <v>Saudi-Arabia</v>
      </c>
      <c r="E68" s="134" t="str">
        <f>+IF('2026 World Cup'!F71&gt;'2026 World Cup'!G71,"H",IF('2026 World Cup'!F71='2026 World Cup'!G71,"U",IF('2026 World Cup'!G71&gt;'2026 World Cup'!F71,"B",0)))</f>
        <v>U</v>
      </c>
    </row>
    <row r="69" spans="2:9" x14ac:dyDescent="0.2">
      <c r="B69" s="132">
        <f t="shared" si="0"/>
        <v>66</v>
      </c>
      <c r="C69" s="133" t="str">
        <f>+'2026 World Cup'!E72</f>
        <v>Uruguay</v>
      </c>
      <c r="D69" s="133" t="str">
        <f>+'2026 World Cup'!H72</f>
        <v>Spania</v>
      </c>
      <c r="E69" s="134" t="str">
        <f>+IF('2026 World Cup'!F72&gt;'2026 World Cup'!G72,"H",IF('2026 World Cup'!F72='2026 World Cup'!G72,"U",IF('2026 World Cup'!G72&gt;'2026 World Cup'!F72,"B",0)))</f>
        <v>U</v>
      </c>
    </row>
    <row r="70" spans="2:9" x14ac:dyDescent="0.2">
      <c r="B70" s="132">
        <f t="shared" ref="B70:B75" si="1">+B69+1</f>
        <v>67</v>
      </c>
      <c r="C70" s="133" t="str">
        <f>+'2026 World Cup'!E73</f>
        <v>Panama</v>
      </c>
      <c r="D70" s="133" t="str">
        <f>+'2026 World Cup'!H73</f>
        <v>England</v>
      </c>
      <c r="E70" s="134" t="str">
        <f>+IF('2026 World Cup'!F73&gt;'2026 World Cup'!G73,"H",IF('2026 World Cup'!F73='2026 World Cup'!G73,"U",IF('2026 World Cup'!G73&gt;'2026 World Cup'!F73,"B",0)))</f>
        <v>U</v>
      </c>
    </row>
    <row r="71" spans="2:9" x14ac:dyDescent="0.2">
      <c r="B71" s="132">
        <f t="shared" si="1"/>
        <v>68</v>
      </c>
      <c r="C71" s="133" t="str">
        <f>+'2026 World Cup'!E74</f>
        <v>Kroatia</v>
      </c>
      <c r="D71" s="133" t="str">
        <f>+'2026 World Cup'!H74</f>
        <v>Ghana</v>
      </c>
      <c r="E71" s="134" t="str">
        <f>+IF('2026 World Cup'!F74&gt;'2026 World Cup'!G74,"H",IF('2026 World Cup'!F74='2026 World Cup'!G74,"U",IF('2026 World Cup'!G74&gt;'2026 World Cup'!F74,"B",0)))</f>
        <v>U</v>
      </c>
    </row>
    <row r="72" spans="2:9" x14ac:dyDescent="0.2">
      <c r="B72" s="132">
        <f t="shared" si="1"/>
        <v>69</v>
      </c>
      <c r="C72" s="133" t="str">
        <f>+'2026 World Cup'!E75</f>
        <v>Algerie</v>
      </c>
      <c r="D72" s="133" t="str">
        <f>+'2026 World Cup'!H75</f>
        <v>Østerrike</v>
      </c>
      <c r="E72" s="134" t="str">
        <f>+IF('2026 World Cup'!F75&gt;'2026 World Cup'!G75,"H",IF('2026 World Cup'!F75='2026 World Cup'!G75,"U",IF('2026 World Cup'!G75&gt;'2026 World Cup'!F75,"B",0)))</f>
        <v>U</v>
      </c>
    </row>
    <row r="73" spans="2:9" x14ac:dyDescent="0.2">
      <c r="B73" s="132">
        <f t="shared" si="1"/>
        <v>70</v>
      </c>
      <c r="C73" s="133" t="str">
        <f>+'2026 World Cup'!E76</f>
        <v>Jordan</v>
      </c>
      <c r="D73" s="133" t="str">
        <f>+'2026 World Cup'!H76</f>
        <v>Argentina</v>
      </c>
      <c r="E73" s="134" t="str">
        <f>+IF('2026 World Cup'!F76&gt;'2026 World Cup'!G76,"H",IF('2026 World Cup'!F76='2026 World Cup'!G76,"U",IF('2026 World Cup'!G76&gt;'2026 World Cup'!F76,"B",0)))</f>
        <v>U</v>
      </c>
    </row>
    <row r="74" spans="2:9" x14ac:dyDescent="0.2">
      <c r="B74" s="132">
        <f t="shared" si="1"/>
        <v>71</v>
      </c>
      <c r="C74" s="133" t="str">
        <f>+'2026 World Cup'!E77</f>
        <v>Colombia</v>
      </c>
      <c r="D74" s="133" t="str">
        <f>+'2026 World Cup'!H77</f>
        <v>Portugal</v>
      </c>
      <c r="E74" s="134" t="str">
        <f>+IF('2026 World Cup'!F77&gt;'2026 World Cup'!G77,"H",IF('2026 World Cup'!F77='2026 World Cup'!G77,"U",IF('2026 World Cup'!G77&gt;'2026 World Cup'!F77,"B",0)))</f>
        <v>U</v>
      </c>
    </row>
    <row r="75" spans="2:9" x14ac:dyDescent="0.2">
      <c r="B75" s="132">
        <f t="shared" si="1"/>
        <v>72</v>
      </c>
      <c r="C75" s="133" t="str">
        <f>+'2026 World Cup'!E78</f>
        <v>DR Kongo</v>
      </c>
      <c r="D75" s="133" t="str">
        <f>+'2026 World Cup'!H78</f>
        <v>Usbekistan</v>
      </c>
      <c r="E75" s="134" t="str">
        <f>+IF('2026 World Cup'!F78&gt;'2026 World Cup'!G78,"H",IF('2026 World Cup'!F78='2026 World Cup'!G78,"U",IF('2026 World Cup'!G78&gt;'2026 World Cup'!F78,"B",0)))</f>
        <v>U</v>
      </c>
    </row>
    <row r="77" spans="2:9" x14ac:dyDescent="0.2">
      <c r="D77" s="131" t="s">
        <v>3727</v>
      </c>
    </row>
    <row r="78" spans="2:9" x14ac:dyDescent="0.2">
      <c r="D78" s="133" t="str">
        <f>+'2026 World Cup'!J8</f>
        <v>Gruppe A</v>
      </c>
      <c r="E78" s="134" t="str">
        <f>+'2026 World Cup'!J9</f>
        <v>Mexico</v>
      </c>
    </row>
    <row r="79" spans="2:9" x14ac:dyDescent="0.2">
      <c r="D79" s="133" t="str">
        <f>+'2026 World Cup'!J14</f>
        <v>Gruppe B</v>
      </c>
      <c r="E79" s="134" t="str">
        <f>+'2026 World Cup'!J15</f>
        <v>Sveits</v>
      </c>
    </row>
    <row r="80" spans="2:9" x14ac:dyDescent="0.2">
      <c r="D80" s="133" t="str">
        <f>+'2026 World Cup'!J20</f>
        <v>Gruppe C</v>
      </c>
      <c r="E80" s="134" t="str">
        <f>+'2026 World Cup'!J21</f>
        <v>Skottland</v>
      </c>
      <c r="I80" s="131">
        <f>32+72</f>
        <v>104</v>
      </c>
    </row>
    <row r="81" spans="4:5" x14ac:dyDescent="0.2">
      <c r="D81" s="133" t="str">
        <f>+'2026 World Cup'!J26</f>
        <v>Gruppe D</v>
      </c>
      <c r="E81" s="134" t="str">
        <f>+'2026 World Cup'!J27</f>
        <v>USA</v>
      </c>
    </row>
    <row r="82" spans="4:5" x14ac:dyDescent="0.2">
      <c r="D82" s="133" t="str">
        <f>+'2026 World Cup'!J32</f>
        <v>Gruppe E</v>
      </c>
      <c r="E82" s="134" t="str">
        <f>+'2026 World Cup'!J33</f>
        <v>Tyskland</v>
      </c>
    </row>
    <row r="83" spans="4:5" x14ac:dyDescent="0.2">
      <c r="D83" s="133" t="str">
        <f>+'2026 World Cup'!J38</f>
        <v>Gruppe F</v>
      </c>
      <c r="E83" s="134" t="str">
        <f>+'2026 World Cup'!J39</f>
        <v>Nederland</v>
      </c>
    </row>
    <row r="84" spans="4:5" x14ac:dyDescent="0.2">
      <c r="D84" s="133" t="str">
        <f>+'2026 World Cup'!J44</f>
        <v>Gruppe G</v>
      </c>
      <c r="E84" s="134" t="str">
        <f>+'2026 World Cup'!J45</f>
        <v>Belgia</v>
      </c>
    </row>
    <row r="85" spans="4:5" x14ac:dyDescent="0.2">
      <c r="D85" s="133" t="str">
        <f>+'2026 World Cup'!J50</f>
        <v>Gruppe H</v>
      </c>
      <c r="E85" s="134" t="str">
        <f>+'2026 World Cup'!J51</f>
        <v>Spania</v>
      </c>
    </row>
    <row r="86" spans="4:5" x14ac:dyDescent="0.2">
      <c r="D86" s="133" t="str">
        <f>+'2026 World Cup'!J56</f>
        <v>Gruppe I</v>
      </c>
      <c r="E86" s="134" t="str">
        <f>+'2026 World Cup'!J57</f>
        <v>Frankrike</v>
      </c>
    </row>
    <row r="87" spans="4:5" x14ac:dyDescent="0.2">
      <c r="D87" s="133" t="str">
        <f>+'2026 World Cup'!J62</f>
        <v>Gruppe J</v>
      </c>
      <c r="E87" s="134" t="str">
        <f>+'2026 World Cup'!J63</f>
        <v>Argentina</v>
      </c>
    </row>
    <row r="88" spans="4:5" x14ac:dyDescent="0.2">
      <c r="D88" s="133" t="str">
        <f>+'2026 World Cup'!J68</f>
        <v>Gruppe K</v>
      </c>
      <c r="E88" s="134" t="str">
        <f>+'2026 World Cup'!J69</f>
        <v>Portugal</v>
      </c>
    </row>
    <row r="89" spans="4:5" x14ac:dyDescent="0.2">
      <c r="D89" s="133" t="str">
        <f>+'2026 World Cup'!J74</f>
        <v>Gruppe L</v>
      </c>
      <c r="E89" s="134" t="str">
        <f>+'2026 World Cup'!J75</f>
        <v>England</v>
      </c>
    </row>
    <row r="91" spans="4:5" x14ac:dyDescent="0.2">
      <c r="D91" s="131" t="s">
        <v>3731</v>
      </c>
    </row>
    <row r="92" spans="4:5" x14ac:dyDescent="0.2">
      <c r="D92" s="132">
        <v>1</v>
      </c>
      <c r="E92" s="134" t="str">
        <f>+'2026 World Cup'!BL10</f>
        <v>1E</v>
      </c>
    </row>
    <row r="93" spans="4:5" x14ac:dyDescent="0.2">
      <c r="D93" s="132">
        <v>2</v>
      </c>
      <c r="E93" s="134" t="str">
        <f>+'2026 World Cup'!BL11</f>
        <v>3rd Group A/B/C/D/F</v>
      </c>
    </row>
    <row r="94" spans="4:5" x14ac:dyDescent="0.2">
      <c r="D94" s="132">
        <v>3</v>
      </c>
      <c r="E94" s="134" t="str">
        <f>+'2026 World Cup'!BL14</f>
        <v>1I</v>
      </c>
    </row>
    <row r="95" spans="4:5" x14ac:dyDescent="0.2">
      <c r="D95" s="132">
        <v>4</v>
      </c>
      <c r="E95" s="134" t="str">
        <f>+'2026 World Cup'!BL15</f>
        <v>3rd Group C/D/F/G/H</v>
      </c>
    </row>
    <row r="96" spans="4:5" x14ac:dyDescent="0.2">
      <c r="D96" s="132">
        <f>+D95+1</f>
        <v>5</v>
      </c>
      <c r="E96" s="134" t="str">
        <f>+'2026 World Cup'!BL18</f>
        <v>2A</v>
      </c>
    </row>
    <row r="97" spans="4:5" x14ac:dyDescent="0.2">
      <c r="D97" s="132">
        <f t="shared" ref="D97:D123" si="2">+D96+1</f>
        <v>6</v>
      </c>
      <c r="E97" s="134" t="str">
        <f>+'2026 World Cup'!BL19</f>
        <v>2B</v>
      </c>
    </row>
    <row r="98" spans="4:5" x14ac:dyDescent="0.2">
      <c r="D98" s="132">
        <f t="shared" si="2"/>
        <v>7</v>
      </c>
      <c r="E98" s="134" t="str">
        <f>+'2026 World Cup'!BL22</f>
        <v>1F</v>
      </c>
    </row>
    <row r="99" spans="4:5" x14ac:dyDescent="0.2">
      <c r="D99" s="132">
        <f t="shared" si="2"/>
        <v>8</v>
      </c>
      <c r="E99" s="134" t="str">
        <f>+'2026 World Cup'!BL23</f>
        <v>2C</v>
      </c>
    </row>
    <row r="100" spans="4:5" x14ac:dyDescent="0.2">
      <c r="D100" s="132">
        <f t="shared" si="2"/>
        <v>9</v>
      </c>
      <c r="E100" s="134" t="str">
        <f>+'2026 World Cup'!BL26</f>
        <v>2K</v>
      </c>
    </row>
    <row r="101" spans="4:5" x14ac:dyDescent="0.2">
      <c r="D101" s="132">
        <f t="shared" si="2"/>
        <v>10</v>
      </c>
      <c r="E101" s="134" t="str">
        <f>+'2026 World Cup'!BL27</f>
        <v>2L</v>
      </c>
    </row>
    <row r="102" spans="4:5" x14ac:dyDescent="0.2">
      <c r="D102" s="132">
        <f t="shared" si="2"/>
        <v>11</v>
      </c>
      <c r="E102" s="134" t="str">
        <f>+'2026 World Cup'!BL30</f>
        <v>1H</v>
      </c>
    </row>
    <row r="103" spans="4:5" x14ac:dyDescent="0.2">
      <c r="D103" s="132">
        <f t="shared" si="2"/>
        <v>12</v>
      </c>
      <c r="E103" s="134" t="str">
        <f>+'2026 World Cup'!BL31</f>
        <v>2J</v>
      </c>
    </row>
    <row r="104" spans="4:5" x14ac:dyDescent="0.2">
      <c r="D104" s="132">
        <f t="shared" si="2"/>
        <v>13</v>
      </c>
      <c r="E104" s="134" t="str">
        <f>+'2026 World Cup'!BL34</f>
        <v>1D</v>
      </c>
    </row>
    <row r="105" spans="4:5" x14ac:dyDescent="0.2">
      <c r="D105" s="132">
        <f t="shared" si="2"/>
        <v>14</v>
      </c>
      <c r="E105" s="134" t="str">
        <f>+'2026 World Cup'!BL35</f>
        <v>3rd Group B/E/F/I/J</v>
      </c>
    </row>
    <row r="106" spans="4:5" x14ac:dyDescent="0.2">
      <c r="D106" s="132">
        <f t="shared" si="2"/>
        <v>15</v>
      </c>
      <c r="E106" s="134" t="str">
        <f>+'2026 World Cup'!BL38</f>
        <v>1G</v>
      </c>
    </row>
    <row r="107" spans="4:5" x14ac:dyDescent="0.2">
      <c r="D107" s="132">
        <f t="shared" si="2"/>
        <v>16</v>
      </c>
      <c r="E107" s="134" t="str">
        <f>+'2026 World Cup'!BL39</f>
        <v>3rd Group A/E/H/I/J</v>
      </c>
    </row>
    <row r="108" spans="4:5" x14ac:dyDescent="0.2">
      <c r="D108" s="132">
        <f t="shared" si="2"/>
        <v>17</v>
      </c>
      <c r="E108" s="134" t="str">
        <f>+'2026 World Cup'!BL42</f>
        <v>1C</v>
      </c>
    </row>
    <row r="109" spans="4:5" x14ac:dyDescent="0.2">
      <c r="D109" s="132">
        <f t="shared" si="2"/>
        <v>18</v>
      </c>
      <c r="E109" s="134" t="str">
        <f>+'2026 World Cup'!BL43</f>
        <v>2F</v>
      </c>
    </row>
    <row r="110" spans="4:5" x14ac:dyDescent="0.2">
      <c r="D110" s="132">
        <f t="shared" si="2"/>
        <v>19</v>
      </c>
      <c r="E110" s="134" t="str">
        <f>+'2026 World Cup'!BL46</f>
        <v>2E</v>
      </c>
    </row>
    <row r="111" spans="4:5" x14ac:dyDescent="0.2">
      <c r="D111" s="132">
        <f t="shared" si="2"/>
        <v>20</v>
      </c>
      <c r="E111" s="134" t="str">
        <f>+'2026 World Cup'!BL47</f>
        <v>2I</v>
      </c>
    </row>
    <row r="112" spans="4:5" x14ac:dyDescent="0.2">
      <c r="D112" s="132">
        <f t="shared" si="2"/>
        <v>21</v>
      </c>
      <c r="E112" s="134" t="str">
        <f>+'2026 World Cup'!BL50</f>
        <v>1A</v>
      </c>
    </row>
    <row r="113" spans="4:5" x14ac:dyDescent="0.2">
      <c r="D113" s="132">
        <f t="shared" si="2"/>
        <v>22</v>
      </c>
      <c r="E113" s="134" t="str">
        <f>+'2026 World Cup'!BL51</f>
        <v>3rd Group C/E/F/H/I</v>
      </c>
    </row>
    <row r="114" spans="4:5" x14ac:dyDescent="0.2">
      <c r="D114" s="132">
        <f t="shared" si="2"/>
        <v>23</v>
      </c>
      <c r="E114" s="134" t="str">
        <f>+'2026 World Cup'!BL54</f>
        <v>1L</v>
      </c>
    </row>
    <row r="115" spans="4:5" x14ac:dyDescent="0.2">
      <c r="D115" s="132">
        <f t="shared" si="2"/>
        <v>24</v>
      </c>
      <c r="E115" s="134" t="str">
        <f>+'2026 World Cup'!BL55</f>
        <v>3rd Group E/H/I/J/K</v>
      </c>
    </row>
    <row r="116" spans="4:5" x14ac:dyDescent="0.2">
      <c r="D116" s="132">
        <f t="shared" si="2"/>
        <v>25</v>
      </c>
      <c r="E116" s="134" t="str">
        <f>+'2026 World Cup'!BL58</f>
        <v>1J</v>
      </c>
    </row>
    <row r="117" spans="4:5" x14ac:dyDescent="0.2">
      <c r="D117" s="132">
        <f t="shared" si="2"/>
        <v>26</v>
      </c>
      <c r="E117" s="134" t="str">
        <f>+'2026 World Cup'!BL59</f>
        <v>2H</v>
      </c>
    </row>
    <row r="118" spans="4:5" x14ac:dyDescent="0.2">
      <c r="D118" s="132">
        <f t="shared" si="2"/>
        <v>27</v>
      </c>
      <c r="E118" s="134" t="str">
        <f>+'2026 World Cup'!BL62</f>
        <v>2D</v>
      </c>
    </row>
    <row r="119" spans="4:5" x14ac:dyDescent="0.2">
      <c r="D119" s="132">
        <f t="shared" si="2"/>
        <v>28</v>
      </c>
      <c r="E119" s="134" t="str">
        <f>+'2026 World Cup'!BL63</f>
        <v>2G</v>
      </c>
    </row>
    <row r="120" spans="4:5" x14ac:dyDescent="0.2">
      <c r="D120" s="132">
        <f t="shared" si="2"/>
        <v>29</v>
      </c>
      <c r="E120" s="134" t="str">
        <f>+'2026 World Cup'!BL66</f>
        <v>1B</v>
      </c>
    </row>
    <row r="121" spans="4:5" x14ac:dyDescent="0.2">
      <c r="D121" s="132">
        <f t="shared" si="2"/>
        <v>30</v>
      </c>
      <c r="E121" s="134" t="str">
        <f>+'2026 World Cup'!BL67</f>
        <v>3rd Group E/F/G/I/J</v>
      </c>
    </row>
    <row r="122" spans="4:5" x14ac:dyDescent="0.2">
      <c r="D122" s="132">
        <f t="shared" si="2"/>
        <v>31</v>
      </c>
      <c r="E122" s="134" t="str">
        <f>+'2026 World Cup'!BL70</f>
        <v>1K</v>
      </c>
    </row>
    <row r="123" spans="4:5" x14ac:dyDescent="0.2">
      <c r="D123" s="132">
        <f t="shared" si="2"/>
        <v>32</v>
      </c>
      <c r="E123" s="134" t="str">
        <f>+'2026 World Cup'!BL71</f>
        <v>3rd Group D/E/I/J/L</v>
      </c>
    </row>
    <row r="124" spans="4:5" x14ac:dyDescent="0.2">
      <c r="D124" s="146"/>
    </row>
    <row r="125" spans="4:5" x14ac:dyDescent="0.2">
      <c r="D125" s="131" t="s">
        <v>3728</v>
      </c>
    </row>
    <row r="126" spans="4:5" x14ac:dyDescent="0.2">
      <c r="D126" s="132">
        <v>1</v>
      </c>
      <c r="E126" s="134" t="str">
        <f>+'2026 World Cup'!BS12</f>
        <v>1E</v>
      </c>
    </row>
    <row r="127" spans="4:5" x14ac:dyDescent="0.2">
      <c r="D127" s="132">
        <v>2</v>
      </c>
      <c r="E127" s="134" t="str">
        <f>+'2026 World Cup'!BS13</f>
        <v>1I</v>
      </c>
    </row>
    <row r="128" spans="4:5" x14ac:dyDescent="0.2">
      <c r="D128" s="132">
        <v>3</v>
      </c>
      <c r="E128" s="134" t="str">
        <f>+'2026 World Cup'!BS20</f>
        <v>2B</v>
      </c>
    </row>
    <row r="129" spans="4:5" x14ac:dyDescent="0.2">
      <c r="D129" s="132">
        <v>4</v>
      </c>
      <c r="E129" s="134" t="str">
        <f>+'2026 World Cup'!BS21</f>
        <v>2C</v>
      </c>
    </row>
    <row r="130" spans="4:5" x14ac:dyDescent="0.2">
      <c r="D130" s="132">
        <f>+D129+1</f>
        <v>5</v>
      </c>
      <c r="E130" s="134" t="str">
        <f>+'2026 World Cup'!BS28</f>
        <v>2K</v>
      </c>
    </row>
    <row r="131" spans="4:5" x14ac:dyDescent="0.2">
      <c r="D131" s="132">
        <f t="shared" ref="D131:D141" si="3">+D130+1</f>
        <v>6</v>
      </c>
      <c r="E131" s="134" t="str">
        <f>+'2026 World Cup'!BS29</f>
        <v>1H</v>
      </c>
    </row>
    <row r="132" spans="4:5" x14ac:dyDescent="0.2">
      <c r="D132" s="132">
        <f t="shared" si="3"/>
        <v>7</v>
      </c>
      <c r="E132" s="134" t="str">
        <f>+'2026 World Cup'!BS36</f>
        <v>1D</v>
      </c>
    </row>
    <row r="133" spans="4:5" x14ac:dyDescent="0.2">
      <c r="D133" s="132">
        <f t="shared" si="3"/>
        <v>8</v>
      </c>
      <c r="E133" s="134" t="str">
        <f>+'2026 World Cup'!BS37</f>
        <v>1G</v>
      </c>
    </row>
    <row r="134" spans="4:5" x14ac:dyDescent="0.2">
      <c r="D134" s="132">
        <f t="shared" si="3"/>
        <v>9</v>
      </c>
      <c r="E134" s="134" t="str">
        <f>+'2026 World Cup'!BS44</f>
        <v>1C</v>
      </c>
    </row>
    <row r="135" spans="4:5" x14ac:dyDescent="0.2">
      <c r="D135" s="132">
        <f t="shared" si="3"/>
        <v>10</v>
      </c>
      <c r="E135" s="134" t="str">
        <f>+'2026 World Cup'!BS45</f>
        <v>2I</v>
      </c>
    </row>
    <row r="136" spans="4:5" x14ac:dyDescent="0.2">
      <c r="D136" s="132">
        <f t="shared" si="3"/>
        <v>11</v>
      </c>
      <c r="E136" s="134" t="str">
        <f>+'2026 World Cup'!BS52</f>
        <v>1A</v>
      </c>
    </row>
    <row r="137" spans="4:5" x14ac:dyDescent="0.2">
      <c r="D137" s="132">
        <f t="shared" si="3"/>
        <v>12</v>
      </c>
      <c r="E137" s="134" t="str">
        <f>+'2026 World Cup'!BS53</f>
        <v>1L</v>
      </c>
    </row>
    <row r="138" spans="4:5" x14ac:dyDescent="0.2">
      <c r="D138" s="132">
        <f t="shared" si="3"/>
        <v>13</v>
      </c>
      <c r="E138" s="134" t="str">
        <f>+'2026 World Cup'!BS60</f>
        <v>1J</v>
      </c>
    </row>
    <row r="139" spans="4:5" x14ac:dyDescent="0.2">
      <c r="D139" s="132">
        <f t="shared" si="3"/>
        <v>14</v>
      </c>
      <c r="E139" s="134" t="str">
        <f>+'2026 World Cup'!BS61</f>
        <v>2G</v>
      </c>
    </row>
    <row r="140" spans="4:5" x14ac:dyDescent="0.2">
      <c r="D140" s="132">
        <f t="shared" si="3"/>
        <v>15</v>
      </c>
      <c r="E140" s="134" t="str">
        <f>+'2026 World Cup'!BS68</f>
        <v>1B</v>
      </c>
    </row>
    <row r="141" spans="4:5" x14ac:dyDescent="0.2">
      <c r="D141" s="132">
        <f t="shared" si="3"/>
        <v>16</v>
      </c>
      <c r="E141" s="134" t="str">
        <f>+'2026 World Cup'!BS69</f>
        <v>1K</v>
      </c>
    </row>
    <row r="143" spans="4:5" x14ac:dyDescent="0.2">
      <c r="D143" s="131" t="s">
        <v>3709</v>
      </c>
    </row>
    <row r="144" spans="4:5" x14ac:dyDescent="0.2">
      <c r="D144" s="132">
        <v>1</v>
      </c>
      <c r="E144" s="134" t="str">
        <f>+'2026 World Cup'!BZ16</f>
        <v>1I</v>
      </c>
    </row>
    <row r="145" spans="3:5" x14ac:dyDescent="0.2">
      <c r="C145" s="131" t="s">
        <v>3732</v>
      </c>
      <c r="D145" s="132">
        <f t="shared" ref="D145:D151" si="4">+D144+1</f>
        <v>2</v>
      </c>
      <c r="E145" s="134" t="str">
        <f>+'2026 World Cup'!BZ17</f>
        <v>2C</v>
      </c>
    </row>
    <row r="146" spans="3:5" x14ac:dyDescent="0.2">
      <c r="D146" s="132">
        <f t="shared" si="4"/>
        <v>3</v>
      </c>
      <c r="E146" s="134" t="str">
        <f>+'2026 World Cup'!BZ32</f>
        <v>1H</v>
      </c>
    </row>
    <row r="147" spans="3:5" x14ac:dyDescent="0.2">
      <c r="D147" s="132">
        <f t="shared" si="4"/>
        <v>4</v>
      </c>
      <c r="E147" s="134" t="str">
        <f>+'2026 World Cup'!BZ33</f>
        <v>1D</v>
      </c>
    </row>
    <row r="148" spans="3:5" x14ac:dyDescent="0.2">
      <c r="D148" s="132">
        <f t="shared" si="4"/>
        <v>5</v>
      </c>
      <c r="E148" s="134" t="str">
        <f>+'2026 World Cup'!BZ48</f>
        <v>2I</v>
      </c>
    </row>
    <row r="149" spans="3:5" x14ac:dyDescent="0.2">
      <c r="D149" s="132">
        <f t="shared" si="4"/>
        <v>6</v>
      </c>
      <c r="E149" s="134" t="str">
        <f>+'2026 World Cup'!BZ49</f>
        <v>1L</v>
      </c>
    </row>
    <row r="150" spans="3:5" x14ac:dyDescent="0.2">
      <c r="D150" s="132">
        <f t="shared" si="4"/>
        <v>7</v>
      </c>
      <c r="E150" s="134" t="str">
        <f>+'2026 World Cup'!BZ64</f>
        <v>1J</v>
      </c>
    </row>
    <row r="151" spans="3:5" x14ac:dyDescent="0.2">
      <c r="D151" s="132">
        <f t="shared" si="4"/>
        <v>8</v>
      </c>
      <c r="E151" s="134" t="str">
        <f>+'2026 World Cup'!BZ65</f>
        <v>1K</v>
      </c>
    </row>
    <row r="153" spans="3:5" x14ac:dyDescent="0.2">
      <c r="D153" s="131" t="str">
        <f>+I10</f>
        <v>Land videre til semifinale</v>
      </c>
    </row>
    <row r="154" spans="3:5" x14ac:dyDescent="0.2">
      <c r="D154" s="132">
        <v>1</v>
      </c>
      <c r="E154" s="134" t="str">
        <f>+'2026 World Cup'!CG23</f>
        <v>1I</v>
      </c>
    </row>
    <row r="155" spans="3:5" x14ac:dyDescent="0.2">
      <c r="D155" s="132">
        <f>+D154+1</f>
        <v>2</v>
      </c>
      <c r="E155" s="134" t="str">
        <f>+'2026 World Cup'!CG24</f>
        <v>1H</v>
      </c>
    </row>
    <row r="156" spans="3:5" x14ac:dyDescent="0.2">
      <c r="D156" s="132">
        <f>+D155+1</f>
        <v>3</v>
      </c>
      <c r="E156" s="134" t="str">
        <f>+'2026 World Cup'!CG55</f>
        <v>1L</v>
      </c>
    </row>
    <row r="157" spans="3:5" x14ac:dyDescent="0.2">
      <c r="D157" s="132">
        <f>+D156+1</f>
        <v>4</v>
      </c>
      <c r="E157" s="134" t="str">
        <f>+'2026 World Cup'!CG56</f>
        <v>1J</v>
      </c>
    </row>
    <row r="159" spans="3:5" x14ac:dyDescent="0.2">
      <c r="D159" s="131" t="s">
        <v>3712</v>
      </c>
    </row>
    <row r="160" spans="3:5" x14ac:dyDescent="0.2">
      <c r="D160" s="132">
        <v>1</v>
      </c>
      <c r="E160" s="134" t="str">
        <f>+'2026 World Cup'!CN48</f>
        <v>1H</v>
      </c>
    </row>
    <row r="161" spans="4:5" x14ac:dyDescent="0.2">
      <c r="D161" s="132">
        <f>+D160+1</f>
        <v>2</v>
      </c>
      <c r="E161" s="134" t="str">
        <f>+'2026 World Cup'!CN49</f>
        <v>1J</v>
      </c>
    </row>
    <row r="162" spans="4:5" x14ac:dyDescent="0.2">
      <c r="D162" s="132" t="s">
        <v>3729</v>
      </c>
      <c r="E162" s="134" t="str">
        <f>+IF('2026 World Cup'!CO48&gt;'2026 World Cup'!CO49,'2026 World Cup'!CN48,IF('2026 World Cup'!CO48&lt;'2026 World Cup'!CP49,'2026 World Cup'!CN49))</f>
        <v>1H</v>
      </c>
    </row>
    <row r="164" spans="4:5" x14ac:dyDescent="0.2">
      <c r="D164" s="131" t="str">
        <f>+I13</f>
        <v>Land i finalen</v>
      </c>
    </row>
    <row r="165" spans="4:5" x14ac:dyDescent="0.2">
      <c r="D165" s="132">
        <v>1</v>
      </c>
      <c r="E165" s="134" t="str">
        <f>+'2026 World Cup'!CN37</f>
        <v>1I</v>
      </c>
    </row>
    <row r="166" spans="4:5" x14ac:dyDescent="0.2">
      <c r="D166" s="132">
        <f>+D165+1</f>
        <v>2</v>
      </c>
      <c r="E166" s="134" t="str">
        <f>+'2026 World Cup'!CN38</f>
        <v>1L</v>
      </c>
    </row>
    <row r="167" spans="4:5" x14ac:dyDescent="0.2">
      <c r="D167" s="132" t="s">
        <v>3730</v>
      </c>
      <c r="E167" s="134" t="str">
        <f>+'2026 World Cup'!CK68</f>
        <v>1L</v>
      </c>
    </row>
  </sheetData>
  <pageMargins left="0.7" right="0.7" top="0.75" bottom="0.75" header="0.3" footer="0.3"/>
  <pageSetup paperSize="9" scale="54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F5F2-2D1A-4946-913F-182B06E8C9B2}">
  <dimension ref="B1:AS201"/>
  <sheetViews>
    <sheetView showGridLines="0" tabSelected="1" view="pageBreakPreview" topLeftCell="Z1" zoomScaleNormal="100" zoomScaleSheetLayoutView="160" workbookViewId="0">
      <selection activeCell="AK94" sqref="AK94:AL114"/>
    </sheetView>
  </sheetViews>
  <sheetFormatPr defaultRowHeight="12.75" x14ac:dyDescent="0.2"/>
  <cols>
    <col min="1" max="1" width="3.28515625" style="149" customWidth="1"/>
    <col min="2" max="2" width="23.5703125" style="149" bestFit="1" customWidth="1"/>
    <col min="3" max="3" width="22.140625" style="149" bestFit="1" customWidth="1"/>
    <col min="4" max="4" width="14.28515625" style="149" customWidth="1"/>
    <col min="5" max="29" width="9.42578125" style="149" customWidth="1"/>
    <col min="30" max="30" width="9.140625" style="149"/>
    <col min="31" max="31" width="11" style="149" bestFit="1" customWidth="1"/>
    <col min="32" max="33" width="14.5703125" style="149" bestFit="1" customWidth="1"/>
    <col min="34" max="37" width="6.42578125" style="151" customWidth="1"/>
    <col min="38" max="38" width="10.42578125" style="149" bestFit="1" customWidth="1"/>
    <col min="39" max="39" width="10.42578125" style="149" customWidth="1"/>
    <col min="40" max="40" width="13.140625" style="149" bestFit="1" customWidth="1"/>
    <col min="41" max="41" width="10.42578125" style="149" bestFit="1" customWidth="1"/>
    <col min="42" max="16384" width="9.140625" style="149"/>
  </cols>
  <sheetData>
    <row r="1" spans="2:45" ht="12.75" customHeight="1" x14ac:dyDescent="0.2">
      <c r="R1" s="149" t="s">
        <v>3762</v>
      </c>
      <c r="S1" s="150">
        <v>8</v>
      </c>
      <c r="T1" s="200"/>
    </row>
    <row r="2" spans="2:45" ht="12.75" customHeight="1" x14ac:dyDescent="0.2">
      <c r="B2" s="149" t="s">
        <v>3698</v>
      </c>
      <c r="R2" s="152" t="s">
        <v>3736</v>
      </c>
      <c r="S2" s="153">
        <f t="shared" ref="S2:AA2" si="0">+SUM(S4:S166)</f>
        <v>5</v>
      </c>
      <c r="T2" s="153">
        <f>+SUM(T4:T166)</f>
        <v>3</v>
      </c>
      <c r="U2" s="153">
        <f t="shared" si="0"/>
        <v>4</v>
      </c>
      <c r="V2" s="153">
        <f t="shared" si="0"/>
        <v>4</v>
      </c>
      <c r="W2" s="153">
        <f t="shared" si="0"/>
        <v>3</v>
      </c>
      <c r="X2" s="153">
        <f t="shared" si="0"/>
        <v>3</v>
      </c>
      <c r="Y2" s="153">
        <f t="shared" si="0"/>
        <v>4</v>
      </c>
      <c r="Z2" s="153">
        <f t="shared" si="0"/>
        <v>4</v>
      </c>
      <c r="AA2" s="153">
        <f t="shared" si="0"/>
        <v>2</v>
      </c>
      <c r="AB2" s="153">
        <f>+SUM(AB4:AB166)</f>
        <v>3</v>
      </c>
      <c r="AC2" s="153">
        <f>+SUM(AC4:AC166)</f>
        <v>3</v>
      </c>
      <c r="AE2" s="149" t="s">
        <v>3737</v>
      </c>
      <c r="AH2" s="151" t="s">
        <v>3738</v>
      </c>
      <c r="AN2" s="149" t="s">
        <v>3703</v>
      </c>
    </row>
    <row r="3" spans="2:45" ht="12.75" customHeight="1" x14ac:dyDescent="0.2">
      <c r="B3" s="154" t="s">
        <v>3699</v>
      </c>
      <c r="C3" s="155" t="s">
        <v>3700</v>
      </c>
      <c r="D3" s="155" t="s">
        <v>3701</v>
      </c>
      <c r="E3" s="154" t="s">
        <v>3752</v>
      </c>
      <c r="F3" s="154" t="s">
        <v>3741</v>
      </c>
      <c r="G3" s="154" t="s">
        <v>3753</v>
      </c>
      <c r="H3" s="154" t="s">
        <v>3739</v>
      </c>
      <c r="I3" s="154" t="s">
        <v>3754</v>
      </c>
      <c r="J3" s="154" t="s">
        <v>3743</v>
      </c>
      <c r="K3" s="154" t="s">
        <v>3757</v>
      </c>
      <c r="L3" s="154" t="s">
        <v>3742</v>
      </c>
      <c r="M3" s="154" t="s">
        <v>3758</v>
      </c>
      <c r="N3" s="154" t="s">
        <v>3740</v>
      </c>
      <c r="O3" s="154" t="s">
        <v>3744</v>
      </c>
      <c r="P3" s="154" t="s">
        <v>3702</v>
      </c>
      <c r="Q3" s="154" t="s">
        <v>3745</v>
      </c>
      <c r="R3" s="154" t="s">
        <v>3735</v>
      </c>
      <c r="S3" s="154" t="str">
        <f>+E3</f>
        <v>Simon</v>
      </c>
      <c r="T3" s="154" t="str">
        <f t="shared" ref="T3:AC3" si="1">+F3</f>
        <v>Ringstad</v>
      </c>
      <c r="U3" s="154" t="str">
        <f t="shared" si="1"/>
        <v xml:space="preserve">Andrè </v>
      </c>
      <c r="V3" s="154" t="str">
        <f t="shared" si="1"/>
        <v>Marius</v>
      </c>
      <c r="W3" s="154" t="str">
        <f t="shared" si="1"/>
        <v>Tobias</v>
      </c>
      <c r="X3" s="154" t="str">
        <f t="shared" si="1"/>
        <v>Håkon</v>
      </c>
      <c r="Y3" s="154" t="str">
        <f t="shared" si="1"/>
        <v>Jonas</v>
      </c>
      <c r="Z3" s="154" t="str">
        <f t="shared" si="1"/>
        <v>Bjørn</v>
      </c>
      <c r="AA3" s="154" t="str">
        <f t="shared" si="1"/>
        <v>Robin</v>
      </c>
      <c r="AB3" s="154" t="str">
        <f t="shared" si="1"/>
        <v>Øystein</v>
      </c>
      <c r="AC3" s="154" t="str">
        <f t="shared" si="1"/>
        <v>Arya</v>
      </c>
      <c r="AD3" s="156"/>
      <c r="AE3" s="155"/>
      <c r="AF3" s="155" t="s">
        <v>3700</v>
      </c>
      <c r="AG3" s="155" t="s">
        <v>3701</v>
      </c>
      <c r="AH3" s="154" t="s">
        <v>397</v>
      </c>
      <c r="AI3" s="154" t="s">
        <v>384</v>
      </c>
      <c r="AJ3" s="154" t="s">
        <v>416</v>
      </c>
      <c r="AK3" s="154" t="s">
        <v>3746</v>
      </c>
      <c r="AL3" s="154" t="s">
        <v>458</v>
      </c>
      <c r="AM3" s="156"/>
      <c r="AN3" s="157" t="s">
        <v>3704</v>
      </c>
      <c r="AO3" s="158"/>
      <c r="AP3" s="158"/>
      <c r="AQ3" s="158" t="s">
        <v>3705</v>
      </c>
      <c r="AR3" s="158"/>
      <c r="AS3" s="159"/>
    </row>
    <row r="4" spans="2:45" ht="12.75" customHeight="1" x14ac:dyDescent="0.2">
      <c r="B4" s="154">
        <f>+Resultater!B4</f>
        <v>1</v>
      </c>
      <c r="C4" s="155" t="str">
        <f>+'2026 World Cup'!E7</f>
        <v>Mexico</v>
      </c>
      <c r="D4" s="155" t="str">
        <f>+'2026 World Cup'!H7</f>
        <v>Sør-Afrika</v>
      </c>
      <c r="E4" s="160" t="s">
        <v>397</v>
      </c>
      <c r="F4" s="160" t="s">
        <v>397</v>
      </c>
      <c r="G4" s="160" t="s">
        <v>397</v>
      </c>
      <c r="H4" s="134" t="s">
        <v>397</v>
      </c>
      <c r="I4" s="134" t="s">
        <v>397</v>
      </c>
      <c r="J4" s="134" t="s">
        <v>397</v>
      </c>
      <c r="K4" s="160" t="s">
        <v>397</v>
      </c>
      <c r="L4" s="161" t="s">
        <v>397</v>
      </c>
      <c r="M4" s="161" t="s">
        <v>397</v>
      </c>
      <c r="N4" s="160" t="s">
        <v>397</v>
      </c>
      <c r="O4" s="160" t="s">
        <v>397</v>
      </c>
      <c r="P4" s="162" t="str">
        <f>+Resultater!E4</f>
        <v>H</v>
      </c>
      <c r="Q4" s="150">
        <v>1</v>
      </c>
      <c r="R4" s="154">
        <f t="shared" ref="R4:R108" si="2">+B4</f>
        <v>1</v>
      </c>
      <c r="S4" s="163">
        <f>+IF($S$1&gt;=$B4,IF($P4=E4,$Q4,0),0)</f>
        <v>1</v>
      </c>
      <c r="T4" s="163">
        <f t="shared" ref="T4:T67" si="3">+IF($S$1&gt;=$B4,IF($P4=F4,$Q4,0),0)</f>
        <v>1</v>
      </c>
      <c r="U4" s="163">
        <f t="shared" ref="U4:U67" si="4">+IF($S$1&gt;=$B4,IF($P4=G4,$Q4,0),0)</f>
        <v>1</v>
      </c>
      <c r="V4" s="163">
        <f t="shared" ref="V4:V67" si="5">+IF($S$1&gt;=$B4,IF($P4=H4,$Q4,0),0)</f>
        <v>1</v>
      </c>
      <c r="W4" s="163">
        <f t="shared" ref="W4:W67" si="6">+IF($S$1&gt;=$B4,IF($P4=I4,$Q4,0),0)</f>
        <v>1</v>
      </c>
      <c r="X4" s="163">
        <f t="shared" ref="X4:X67" si="7">+IF($S$1&gt;=$B4,IF($P4=J4,$Q4,0),0)</f>
        <v>1</v>
      </c>
      <c r="Y4" s="163">
        <f t="shared" ref="Y4:Y67" si="8">+IF($S$1&gt;=$B4,IF($P4=K4,$Q4,0),0)</f>
        <v>1</v>
      </c>
      <c r="Z4" s="163">
        <f t="shared" ref="Z4:Z67" si="9">+IF($S$1&gt;=$B4,IF($P4=L4,$Q4,0),0)</f>
        <v>1</v>
      </c>
      <c r="AA4" s="163">
        <f t="shared" ref="AA4:AA67" si="10">+IF($S$1&gt;=$B4,IF($P4=M4,$Q4,0),0)</f>
        <v>1</v>
      </c>
      <c r="AB4" s="163">
        <f t="shared" ref="AB4:AB67" si="11">+IF($S$1&gt;=$B4,IF($P4=N4,$Q4,0),0)</f>
        <v>1</v>
      </c>
      <c r="AC4" s="163">
        <f t="shared" ref="AC4:AC67" si="12">+IF($S$1&gt;=$B4,IF($P4=O4,$Q4,0),0)</f>
        <v>1</v>
      </c>
      <c r="AD4" s="163"/>
      <c r="AE4" s="164" t="str">
        <f>+'2026 World Cup'!C7</f>
        <v>Jun 11, 2026</v>
      </c>
      <c r="AF4" s="155" t="str">
        <f t="shared" ref="AF4:AF35" si="13">+C4&amp;" -"</f>
        <v>Mexico -</v>
      </c>
      <c r="AG4" s="155" t="str">
        <f t="shared" ref="AG4:AG35" si="14">+D4</f>
        <v>Sør-Afrika</v>
      </c>
      <c r="AH4" s="201">
        <f t="shared" ref="AH4:AJ23" si="15">+COUNTIF($E4:$O4,AH$3)/COUNTA($E4:$O4)</f>
        <v>1</v>
      </c>
      <c r="AI4" s="165">
        <f t="shared" si="15"/>
        <v>0</v>
      </c>
      <c r="AJ4" s="165">
        <f t="shared" si="15"/>
        <v>0</v>
      </c>
      <c r="AK4" s="154">
        <v>6</v>
      </c>
      <c r="AL4" s="166">
        <v>3</v>
      </c>
      <c r="AM4" s="156"/>
      <c r="AN4" s="167" t="s">
        <v>3698</v>
      </c>
      <c r="AO4" s="168"/>
      <c r="AP4" s="168"/>
      <c r="AQ4" s="168" t="s">
        <v>3706</v>
      </c>
      <c r="AR4" s="168"/>
      <c r="AS4" s="169"/>
    </row>
    <row r="5" spans="2:45" ht="12.75" customHeight="1" x14ac:dyDescent="0.2">
      <c r="B5" s="154">
        <f>+Resultater!B5</f>
        <v>2</v>
      </c>
      <c r="C5" s="155" t="str">
        <f>+'2026 World Cup'!E8</f>
        <v>Sør-Korea</v>
      </c>
      <c r="D5" s="155" t="str">
        <f>+'2026 World Cup'!H8</f>
        <v>Tsjekkia</v>
      </c>
      <c r="E5" s="160" t="s">
        <v>384</v>
      </c>
      <c r="F5" s="160" t="s">
        <v>384</v>
      </c>
      <c r="G5" s="160" t="s">
        <v>384</v>
      </c>
      <c r="H5" s="134" t="s">
        <v>384</v>
      </c>
      <c r="I5" s="134" t="s">
        <v>416</v>
      </c>
      <c r="J5" s="134" t="s">
        <v>384</v>
      </c>
      <c r="K5" s="160" t="s">
        <v>384</v>
      </c>
      <c r="L5" s="161" t="s">
        <v>397</v>
      </c>
      <c r="M5" s="161" t="s">
        <v>416</v>
      </c>
      <c r="N5" s="160" t="s">
        <v>416</v>
      </c>
      <c r="O5" s="160" t="s">
        <v>397</v>
      </c>
      <c r="P5" s="162" t="str">
        <f>+Resultater!E5</f>
        <v>H</v>
      </c>
      <c r="Q5" s="150">
        <v>1</v>
      </c>
      <c r="R5" s="154">
        <f t="shared" si="2"/>
        <v>2</v>
      </c>
      <c r="S5" s="163">
        <f t="shared" ref="S5:S68" si="16">+IF($S$1&gt;=$B5,IF($P5=E5,$Q5,0),0)</f>
        <v>0</v>
      </c>
      <c r="T5" s="163">
        <f t="shared" si="3"/>
        <v>0</v>
      </c>
      <c r="U5" s="163">
        <f t="shared" si="4"/>
        <v>0</v>
      </c>
      <c r="V5" s="163">
        <f t="shared" si="5"/>
        <v>0</v>
      </c>
      <c r="W5" s="163">
        <f t="shared" si="6"/>
        <v>0</v>
      </c>
      <c r="X5" s="163">
        <f t="shared" si="7"/>
        <v>0</v>
      </c>
      <c r="Y5" s="163">
        <f t="shared" si="8"/>
        <v>0</v>
      </c>
      <c r="Z5" s="163">
        <f t="shared" si="9"/>
        <v>1</v>
      </c>
      <c r="AA5" s="163">
        <f t="shared" si="10"/>
        <v>0</v>
      </c>
      <c r="AB5" s="163">
        <f t="shared" si="11"/>
        <v>0</v>
      </c>
      <c r="AC5" s="163">
        <f t="shared" si="12"/>
        <v>1</v>
      </c>
      <c r="AD5" s="163"/>
      <c r="AE5" s="155" t="str">
        <f>+'2026 World Cup'!C8</f>
        <v>Jun 12, 2026</v>
      </c>
      <c r="AF5" s="155" t="str">
        <f t="shared" si="13"/>
        <v>Sør-Korea -</v>
      </c>
      <c r="AG5" s="155" t="str">
        <f t="shared" si="14"/>
        <v>Tsjekkia</v>
      </c>
      <c r="AH5" s="201">
        <f t="shared" si="15"/>
        <v>0.18181818181818182</v>
      </c>
      <c r="AI5" s="165">
        <f t="shared" si="15"/>
        <v>0.54545454545454541</v>
      </c>
      <c r="AJ5" s="165">
        <f t="shared" si="15"/>
        <v>0.27272727272727271</v>
      </c>
      <c r="AK5" s="154">
        <v>1</v>
      </c>
      <c r="AL5" s="166">
        <v>3</v>
      </c>
      <c r="AN5" s="167" t="s">
        <v>3727</v>
      </c>
      <c r="AO5" s="168"/>
      <c r="AP5" s="168"/>
      <c r="AQ5" s="168" t="s">
        <v>3707</v>
      </c>
      <c r="AR5" s="168"/>
      <c r="AS5" s="169"/>
    </row>
    <row r="6" spans="2:45" ht="12.75" customHeight="1" x14ac:dyDescent="0.2">
      <c r="B6" s="154">
        <f>+Resultater!B6</f>
        <v>3</v>
      </c>
      <c r="C6" s="155" t="str">
        <f>+'2026 World Cup'!E9</f>
        <v>Canada</v>
      </c>
      <c r="D6" s="155" t="str">
        <f>+'2026 World Cup'!H9</f>
        <v>Bosnia-Hercegovina</v>
      </c>
      <c r="E6" s="160" t="s">
        <v>384</v>
      </c>
      <c r="F6" s="160" t="s">
        <v>384</v>
      </c>
      <c r="G6" s="160" t="s">
        <v>416</v>
      </c>
      <c r="H6" s="134" t="s">
        <v>416</v>
      </c>
      <c r="I6" s="134" t="s">
        <v>397</v>
      </c>
      <c r="J6" s="134" t="s">
        <v>416</v>
      </c>
      <c r="K6" s="160" t="s">
        <v>384</v>
      </c>
      <c r="L6" s="161" t="s">
        <v>397</v>
      </c>
      <c r="M6" s="161" t="s">
        <v>397</v>
      </c>
      <c r="N6" s="160" t="s">
        <v>397</v>
      </c>
      <c r="O6" s="160" t="s">
        <v>397</v>
      </c>
      <c r="P6" s="162" t="str">
        <f>+Resultater!E6</f>
        <v>U</v>
      </c>
      <c r="Q6" s="150">
        <v>1</v>
      </c>
      <c r="R6" s="154">
        <f t="shared" si="2"/>
        <v>3</v>
      </c>
      <c r="S6" s="163">
        <f t="shared" si="16"/>
        <v>1</v>
      </c>
      <c r="T6" s="163">
        <f t="shared" si="3"/>
        <v>1</v>
      </c>
      <c r="U6" s="163">
        <f t="shared" si="4"/>
        <v>0</v>
      </c>
      <c r="V6" s="163">
        <f t="shared" si="5"/>
        <v>0</v>
      </c>
      <c r="W6" s="163">
        <f t="shared" si="6"/>
        <v>0</v>
      </c>
      <c r="X6" s="163">
        <f t="shared" si="7"/>
        <v>0</v>
      </c>
      <c r="Y6" s="163">
        <f t="shared" si="8"/>
        <v>1</v>
      </c>
      <c r="Z6" s="163">
        <f t="shared" si="9"/>
        <v>0</v>
      </c>
      <c r="AA6" s="163">
        <f t="shared" si="10"/>
        <v>0</v>
      </c>
      <c r="AB6" s="163">
        <f t="shared" si="11"/>
        <v>0</v>
      </c>
      <c r="AC6" s="163">
        <f t="shared" si="12"/>
        <v>0</v>
      </c>
      <c r="AD6" s="163"/>
      <c r="AE6" s="155" t="str">
        <f>+'2026 World Cup'!C9</f>
        <v>Jun 12, 2026</v>
      </c>
      <c r="AF6" s="155" t="str">
        <f t="shared" si="13"/>
        <v>Canada -</v>
      </c>
      <c r="AG6" s="155" t="str">
        <f t="shared" si="14"/>
        <v>Bosnia-Hercegovina</v>
      </c>
      <c r="AH6" s="165">
        <f t="shared" si="15"/>
        <v>0.45454545454545453</v>
      </c>
      <c r="AI6" s="201">
        <f t="shared" si="15"/>
        <v>0.27272727272727271</v>
      </c>
      <c r="AJ6" s="165">
        <f t="shared" si="15"/>
        <v>0.27272727272727271</v>
      </c>
      <c r="AK6" s="154">
        <v>2</v>
      </c>
      <c r="AL6" s="166">
        <v>2</v>
      </c>
      <c r="AN6" s="167" t="s">
        <v>3731</v>
      </c>
      <c r="AO6" s="168"/>
      <c r="AP6" s="168"/>
      <c r="AQ6" s="168" t="s">
        <v>3706</v>
      </c>
      <c r="AR6" s="168"/>
      <c r="AS6" s="169"/>
    </row>
    <row r="7" spans="2:45" ht="12.75" customHeight="1" x14ac:dyDescent="0.2">
      <c r="B7" s="154">
        <f>+Resultater!B7</f>
        <v>4</v>
      </c>
      <c r="C7" s="155" t="str">
        <f>+'2026 World Cup'!E10</f>
        <v>USA</v>
      </c>
      <c r="D7" s="155" t="str">
        <f>+'2026 World Cup'!H10</f>
        <v>Paraguay</v>
      </c>
      <c r="E7" s="160" t="s">
        <v>397</v>
      </c>
      <c r="F7" s="160" t="s">
        <v>384</v>
      </c>
      <c r="G7" s="160" t="s">
        <v>397</v>
      </c>
      <c r="H7" s="134" t="s">
        <v>397</v>
      </c>
      <c r="I7" s="134" t="s">
        <v>397</v>
      </c>
      <c r="J7" s="134" t="s">
        <v>397</v>
      </c>
      <c r="K7" s="160" t="s">
        <v>397</v>
      </c>
      <c r="L7" s="161" t="s">
        <v>397</v>
      </c>
      <c r="M7" s="161" t="s">
        <v>384</v>
      </c>
      <c r="N7" s="160" t="s">
        <v>397</v>
      </c>
      <c r="O7" s="160" t="s">
        <v>384</v>
      </c>
      <c r="P7" s="162" t="str">
        <f>+Resultater!E7</f>
        <v>H</v>
      </c>
      <c r="Q7" s="150">
        <v>1</v>
      </c>
      <c r="R7" s="154">
        <f t="shared" si="2"/>
        <v>4</v>
      </c>
      <c r="S7" s="163">
        <f t="shared" si="16"/>
        <v>1</v>
      </c>
      <c r="T7" s="163">
        <f t="shared" si="3"/>
        <v>0</v>
      </c>
      <c r="U7" s="163">
        <f t="shared" si="4"/>
        <v>1</v>
      </c>
      <c r="V7" s="163">
        <f t="shared" si="5"/>
        <v>1</v>
      </c>
      <c r="W7" s="163">
        <f t="shared" si="6"/>
        <v>1</v>
      </c>
      <c r="X7" s="163">
        <f t="shared" si="7"/>
        <v>1</v>
      </c>
      <c r="Y7" s="163">
        <f t="shared" si="8"/>
        <v>1</v>
      </c>
      <c r="Z7" s="163">
        <f t="shared" si="9"/>
        <v>1</v>
      </c>
      <c r="AA7" s="163">
        <f t="shared" si="10"/>
        <v>0</v>
      </c>
      <c r="AB7" s="163">
        <f t="shared" si="11"/>
        <v>1</v>
      </c>
      <c r="AC7" s="163">
        <f t="shared" si="12"/>
        <v>0</v>
      </c>
      <c r="AD7" s="163"/>
      <c r="AE7" s="155" t="str">
        <f>+'2026 World Cup'!C10</f>
        <v>Jun 13, 2026</v>
      </c>
      <c r="AF7" s="155" t="str">
        <f t="shared" si="13"/>
        <v>USA -</v>
      </c>
      <c r="AG7" s="155" t="str">
        <f t="shared" si="14"/>
        <v>Paraguay</v>
      </c>
      <c r="AH7" s="201">
        <f t="shared" si="15"/>
        <v>0.72727272727272729</v>
      </c>
      <c r="AI7" s="165">
        <f>+COUNTIF($E7:$O7,AI$3)/COUNTA($E7:$O7)</f>
        <v>0.27272727272727271</v>
      </c>
      <c r="AJ7" s="165">
        <f t="shared" si="15"/>
        <v>0</v>
      </c>
      <c r="AK7" s="154">
        <v>5</v>
      </c>
      <c r="AL7" s="166">
        <v>5</v>
      </c>
      <c r="AN7" s="167" t="s">
        <v>3728</v>
      </c>
      <c r="AO7" s="168"/>
      <c r="AP7" s="168"/>
      <c r="AQ7" s="168" t="s">
        <v>3708</v>
      </c>
      <c r="AR7" s="168"/>
      <c r="AS7" s="169"/>
    </row>
    <row r="8" spans="2:45" ht="12.75" customHeight="1" x14ac:dyDescent="0.2">
      <c r="B8" s="154">
        <f>+Resultater!B8</f>
        <v>5</v>
      </c>
      <c r="C8" s="155" t="str">
        <f>+'2026 World Cup'!E11</f>
        <v>Haiti</v>
      </c>
      <c r="D8" s="155" t="str">
        <f>+'2026 World Cup'!H11</f>
        <v>Skottland</v>
      </c>
      <c r="E8" s="160" t="s">
        <v>416</v>
      </c>
      <c r="F8" s="160" t="s">
        <v>416</v>
      </c>
      <c r="G8" s="160" t="s">
        <v>416</v>
      </c>
      <c r="H8" s="134" t="s">
        <v>416</v>
      </c>
      <c r="I8" s="134" t="s">
        <v>416</v>
      </c>
      <c r="J8" s="134" t="s">
        <v>416</v>
      </c>
      <c r="K8" s="160" t="s">
        <v>416</v>
      </c>
      <c r="L8" s="161" t="s">
        <v>416</v>
      </c>
      <c r="M8" s="161" t="s">
        <v>416</v>
      </c>
      <c r="N8" s="160" t="s">
        <v>416</v>
      </c>
      <c r="O8" s="160" t="s">
        <v>416</v>
      </c>
      <c r="P8" s="162" t="str">
        <f>+Resultater!E8</f>
        <v>B</v>
      </c>
      <c r="Q8" s="150">
        <v>1</v>
      </c>
      <c r="R8" s="154">
        <f t="shared" si="2"/>
        <v>5</v>
      </c>
      <c r="S8" s="163">
        <f t="shared" si="16"/>
        <v>1</v>
      </c>
      <c r="T8" s="163">
        <f t="shared" si="3"/>
        <v>1</v>
      </c>
      <c r="U8" s="163">
        <f t="shared" si="4"/>
        <v>1</v>
      </c>
      <c r="V8" s="163">
        <f t="shared" si="5"/>
        <v>1</v>
      </c>
      <c r="W8" s="163">
        <f t="shared" si="6"/>
        <v>1</v>
      </c>
      <c r="X8" s="163">
        <f t="shared" si="7"/>
        <v>1</v>
      </c>
      <c r="Y8" s="163">
        <f t="shared" si="8"/>
        <v>1</v>
      </c>
      <c r="Z8" s="163">
        <f t="shared" si="9"/>
        <v>1</v>
      </c>
      <c r="AA8" s="163">
        <f t="shared" si="10"/>
        <v>1</v>
      </c>
      <c r="AB8" s="163">
        <f t="shared" si="11"/>
        <v>1</v>
      </c>
      <c r="AC8" s="163">
        <f t="shared" si="12"/>
        <v>1</v>
      </c>
      <c r="AD8" s="163"/>
      <c r="AE8" s="155" t="str">
        <f>+'2026 World Cup'!C11</f>
        <v>Jun 14, 2026</v>
      </c>
      <c r="AF8" s="155" t="str">
        <f t="shared" si="13"/>
        <v>Haiti -</v>
      </c>
      <c r="AG8" s="155" t="str">
        <f t="shared" si="14"/>
        <v>Skottland</v>
      </c>
      <c r="AH8" s="165">
        <f t="shared" si="15"/>
        <v>0</v>
      </c>
      <c r="AI8" s="165">
        <f t="shared" si="15"/>
        <v>0</v>
      </c>
      <c r="AJ8" s="201">
        <f t="shared" si="15"/>
        <v>1</v>
      </c>
      <c r="AK8" s="154"/>
      <c r="AL8" s="154">
        <v>1</v>
      </c>
      <c r="AN8" s="167" t="s">
        <v>3709</v>
      </c>
      <c r="AO8" s="168"/>
      <c r="AP8" s="168"/>
      <c r="AQ8" s="168" t="s">
        <v>3707</v>
      </c>
      <c r="AR8" s="168"/>
      <c r="AS8" s="169"/>
    </row>
    <row r="9" spans="2:45" ht="12.75" customHeight="1" x14ac:dyDescent="0.2">
      <c r="B9" s="154">
        <f>+Resultater!B9</f>
        <v>6</v>
      </c>
      <c r="C9" s="155" t="str">
        <f>+'2026 World Cup'!E12</f>
        <v>Australia</v>
      </c>
      <c r="D9" s="155" t="str">
        <f>+'2026 World Cup'!H12</f>
        <v>Tyrkia</v>
      </c>
      <c r="E9" s="160" t="s">
        <v>416</v>
      </c>
      <c r="F9" s="160" t="s">
        <v>416</v>
      </c>
      <c r="G9" s="160" t="s">
        <v>416</v>
      </c>
      <c r="H9" s="134" t="s">
        <v>416</v>
      </c>
      <c r="I9" s="134" t="s">
        <v>384</v>
      </c>
      <c r="J9" s="134" t="s">
        <v>416</v>
      </c>
      <c r="K9" s="160" t="s">
        <v>384</v>
      </c>
      <c r="L9" s="161" t="s">
        <v>416</v>
      </c>
      <c r="M9" s="161" t="s">
        <v>384</v>
      </c>
      <c r="N9" s="160" t="s">
        <v>416</v>
      </c>
      <c r="O9" s="160" t="s">
        <v>416</v>
      </c>
      <c r="P9" s="162" t="str">
        <f>+Resultater!E9</f>
        <v>H</v>
      </c>
      <c r="Q9" s="150">
        <v>1</v>
      </c>
      <c r="R9" s="154">
        <f t="shared" si="2"/>
        <v>6</v>
      </c>
      <c r="S9" s="163">
        <f t="shared" si="16"/>
        <v>0</v>
      </c>
      <c r="T9" s="163">
        <f t="shared" si="3"/>
        <v>0</v>
      </c>
      <c r="U9" s="163">
        <f t="shared" si="4"/>
        <v>0</v>
      </c>
      <c r="V9" s="163">
        <f t="shared" si="5"/>
        <v>0</v>
      </c>
      <c r="W9" s="163">
        <f t="shared" si="6"/>
        <v>0</v>
      </c>
      <c r="X9" s="163">
        <f t="shared" si="7"/>
        <v>0</v>
      </c>
      <c r="Y9" s="163">
        <f t="shared" si="8"/>
        <v>0</v>
      </c>
      <c r="Z9" s="163">
        <f t="shared" si="9"/>
        <v>0</v>
      </c>
      <c r="AA9" s="163">
        <f t="shared" si="10"/>
        <v>0</v>
      </c>
      <c r="AB9" s="163">
        <f t="shared" si="11"/>
        <v>0</v>
      </c>
      <c r="AC9" s="163">
        <f t="shared" si="12"/>
        <v>0</v>
      </c>
      <c r="AD9" s="163"/>
      <c r="AE9" s="155" t="str">
        <f>+'2026 World Cup'!C12</f>
        <v>Jun 14, 2026</v>
      </c>
      <c r="AF9" s="155" t="str">
        <f t="shared" si="13"/>
        <v>Australia -</v>
      </c>
      <c r="AG9" s="155" t="str">
        <f t="shared" si="14"/>
        <v>Tyrkia</v>
      </c>
      <c r="AH9" s="201">
        <f t="shared" si="15"/>
        <v>0</v>
      </c>
      <c r="AI9" s="165">
        <f t="shared" si="15"/>
        <v>0.27272727272727271</v>
      </c>
      <c r="AJ9" s="165">
        <f t="shared" si="15"/>
        <v>0.72727272727272729</v>
      </c>
      <c r="AK9" s="154"/>
      <c r="AL9" s="154">
        <v>2</v>
      </c>
      <c r="AN9" s="167" t="s">
        <v>3710</v>
      </c>
      <c r="AO9" s="168"/>
      <c r="AP9" s="168"/>
      <c r="AQ9" s="168" t="s">
        <v>3711</v>
      </c>
      <c r="AR9" s="168"/>
      <c r="AS9" s="169"/>
    </row>
    <row r="10" spans="2:45" ht="12.75" customHeight="1" x14ac:dyDescent="0.2">
      <c r="B10" s="154">
        <f>+Resultater!B10</f>
        <v>7</v>
      </c>
      <c r="C10" s="155" t="str">
        <f>+'2026 World Cup'!E13</f>
        <v>Brasil</v>
      </c>
      <c r="D10" s="155" t="str">
        <f>+'2026 World Cup'!H13</f>
        <v>Marokko</v>
      </c>
      <c r="E10" s="160" t="s">
        <v>384</v>
      </c>
      <c r="F10" s="160" t="s">
        <v>397</v>
      </c>
      <c r="G10" s="160" t="s">
        <v>397</v>
      </c>
      <c r="H10" s="134" t="s">
        <v>384</v>
      </c>
      <c r="I10" s="134" t="s">
        <v>397</v>
      </c>
      <c r="J10" s="134" t="s">
        <v>397</v>
      </c>
      <c r="K10" s="160" t="s">
        <v>397</v>
      </c>
      <c r="L10" s="161" t="s">
        <v>397</v>
      </c>
      <c r="M10" s="161" t="s">
        <v>397</v>
      </c>
      <c r="N10" s="160" t="s">
        <v>397</v>
      </c>
      <c r="O10" s="160" t="s">
        <v>397</v>
      </c>
      <c r="P10" s="162" t="str">
        <f>+Resultater!E10</f>
        <v>U</v>
      </c>
      <c r="Q10" s="150">
        <v>1</v>
      </c>
      <c r="R10" s="154">
        <f t="shared" si="2"/>
        <v>7</v>
      </c>
      <c r="S10" s="163">
        <f t="shared" si="16"/>
        <v>1</v>
      </c>
      <c r="T10" s="163">
        <f t="shared" si="3"/>
        <v>0</v>
      </c>
      <c r="U10" s="163">
        <f t="shared" si="4"/>
        <v>0</v>
      </c>
      <c r="V10" s="163">
        <f t="shared" si="5"/>
        <v>1</v>
      </c>
      <c r="W10" s="163">
        <f t="shared" si="6"/>
        <v>0</v>
      </c>
      <c r="X10" s="163">
        <f t="shared" si="7"/>
        <v>0</v>
      </c>
      <c r="Y10" s="163">
        <f t="shared" si="8"/>
        <v>0</v>
      </c>
      <c r="Z10" s="163">
        <f t="shared" si="9"/>
        <v>0</v>
      </c>
      <c r="AA10" s="163">
        <f t="shared" si="10"/>
        <v>0</v>
      </c>
      <c r="AB10" s="163">
        <f t="shared" si="11"/>
        <v>0</v>
      </c>
      <c r="AC10" s="163">
        <f t="shared" si="12"/>
        <v>0</v>
      </c>
      <c r="AD10" s="163"/>
      <c r="AE10" s="155" t="str">
        <f>+'2026 World Cup'!C13</f>
        <v>Jun 13, 2026</v>
      </c>
      <c r="AF10" s="155" t="str">
        <f t="shared" si="13"/>
        <v>Brasil -</v>
      </c>
      <c r="AG10" s="155" t="str">
        <f t="shared" si="14"/>
        <v>Marokko</v>
      </c>
      <c r="AH10" s="165">
        <f t="shared" si="15"/>
        <v>0.81818181818181823</v>
      </c>
      <c r="AI10" s="201">
        <f t="shared" si="15"/>
        <v>0.18181818181818182</v>
      </c>
      <c r="AJ10" s="165">
        <f t="shared" si="15"/>
        <v>0</v>
      </c>
      <c r="AK10" s="154"/>
      <c r="AL10" s="154">
        <v>2</v>
      </c>
      <c r="AN10" s="167" t="s">
        <v>3712</v>
      </c>
      <c r="AO10" s="168"/>
      <c r="AP10" s="168"/>
      <c r="AQ10" s="168" t="s">
        <v>3706</v>
      </c>
      <c r="AR10" s="168"/>
      <c r="AS10" s="169"/>
    </row>
    <row r="11" spans="2:45" ht="12.75" customHeight="1" x14ac:dyDescent="0.2">
      <c r="B11" s="154">
        <f>+Resultater!B11</f>
        <v>8</v>
      </c>
      <c r="C11" s="155" t="str">
        <f>+'2026 World Cup'!E14</f>
        <v>Qatar</v>
      </c>
      <c r="D11" s="155" t="str">
        <f>+'2026 World Cup'!H14</f>
        <v>Sveits</v>
      </c>
      <c r="E11" s="160" t="s">
        <v>416</v>
      </c>
      <c r="F11" s="160" t="s">
        <v>416</v>
      </c>
      <c r="G11" s="160" t="s">
        <v>384</v>
      </c>
      <c r="H11" s="134" t="s">
        <v>416</v>
      </c>
      <c r="I11" s="134" t="s">
        <v>416</v>
      </c>
      <c r="J11" s="134" t="s">
        <v>416</v>
      </c>
      <c r="K11" s="160" t="s">
        <v>416</v>
      </c>
      <c r="L11" s="161" t="s">
        <v>416</v>
      </c>
      <c r="M11" s="161" t="s">
        <v>416</v>
      </c>
      <c r="N11" s="160" t="s">
        <v>416</v>
      </c>
      <c r="O11" s="160" t="s">
        <v>416</v>
      </c>
      <c r="P11" s="162" t="str">
        <f>+Resultater!E11</f>
        <v>U</v>
      </c>
      <c r="Q11" s="150">
        <v>1</v>
      </c>
      <c r="R11" s="154">
        <f t="shared" si="2"/>
        <v>8</v>
      </c>
      <c r="S11" s="163">
        <f t="shared" si="16"/>
        <v>0</v>
      </c>
      <c r="T11" s="163">
        <f t="shared" si="3"/>
        <v>0</v>
      </c>
      <c r="U11" s="163">
        <f t="shared" si="4"/>
        <v>1</v>
      </c>
      <c r="V11" s="163">
        <f t="shared" si="5"/>
        <v>0</v>
      </c>
      <c r="W11" s="163">
        <f t="shared" si="6"/>
        <v>0</v>
      </c>
      <c r="X11" s="163">
        <f t="shared" si="7"/>
        <v>0</v>
      </c>
      <c r="Y11" s="163">
        <f t="shared" si="8"/>
        <v>0</v>
      </c>
      <c r="Z11" s="163">
        <f t="shared" si="9"/>
        <v>0</v>
      </c>
      <c r="AA11" s="163">
        <f t="shared" si="10"/>
        <v>0</v>
      </c>
      <c r="AB11" s="163">
        <f t="shared" si="11"/>
        <v>0</v>
      </c>
      <c r="AC11" s="163">
        <f t="shared" si="12"/>
        <v>0</v>
      </c>
      <c r="AD11" s="163"/>
      <c r="AE11" s="155" t="str">
        <f>+'2026 World Cup'!C14</f>
        <v>Jun 13, 2026</v>
      </c>
      <c r="AF11" s="155" t="str">
        <f t="shared" si="13"/>
        <v>Qatar -</v>
      </c>
      <c r="AG11" s="155" t="str">
        <f t="shared" si="14"/>
        <v>Sveits</v>
      </c>
      <c r="AH11" s="165">
        <f t="shared" si="15"/>
        <v>0</v>
      </c>
      <c r="AI11" s="201">
        <f t="shared" si="15"/>
        <v>9.0909090909090912E-2</v>
      </c>
      <c r="AJ11" s="165">
        <f t="shared" si="15"/>
        <v>0.90909090909090906</v>
      </c>
      <c r="AK11" s="154"/>
      <c r="AL11" s="154">
        <v>2</v>
      </c>
      <c r="AN11" s="167" t="s">
        <v>3713</v>
      </c>
      <c r="AO11" s="168"/>
      <c r="AP11" s="168"/>
      <c r="AQ11" s="168" t="s">
        <v>3714</v>
      </c>
      <c r="AR11" s="168"/>
      <c r="AS11" s="169"/>
    </row>
    <row r="12" spans="2:45" ht="12.75" customHeight="1" x14ac:dyDescent="0.2">
      <c r="B12" s="154">
        <f>+Resultater!B12</f>
        <v>9</v>
      </c>
      <c r="C12" s="155" t="str">
        <f>+'2026 World Cup'!E15</f>
        <v>Elfenbenskysten</v>
      </c>
      <c r="D12" s="155" t="str">
        <f>+'2026 World Cup'!H15</f>
        <v>Ecuador</v>
      </c>
      <c r="E12" s="160" t="s">
        <v>384</v>
      </c>
      <c r="F12" s="160" t="s">
        <v>384</v>
      </c>
      <c r="G12" s="160" t="s">
        <v>416</v>
      </c>
      <c r="H12" s="134" t="s">
        <v>384</v>
      </c>
      <c r="I12" s="134" t="s">
        <v>397</v>
      </c>
      <c r="J12" s="134" t="s">
        <v>384</v>
      </c>
      <c r="K12" s="160" t="s">
        <v>416</v>
      </c>
      <c r="L12" s="161" t="s">
        <v>384</v>
      </c>
      <c r="M12" s="161" t="s">
        <v>384</v>
      </c>
      <c r="N12" s="160" t="s">
        <v>384</v>
      </c>
      <c r="O12" s="160" t="s">
        <v>384</v>
      </c>
      <c r="P12" s="162" t="str">
        <f>+Resultater!E12</f>
        <v>U</v>
      </c>
      <c r="Q12" s="150">
        <v>1</v>
      </c>
      <c r="R12" s="154">
        <f t="shared" si="2"/>
        <v>9</v>
      </c>
      <c r="S12" s="163">
        <f t="shared" si="16"/>
        <v>0</v>
      </c>
      <c r="T12" s="163">
        <f t="shared" si="3"/>
        <v>0</v>
      </c>
      <c r="U12" s="163">
        <f t="shared" si="4"/>
        <v>0</v>
      </c>
      <c r="V12" s="163">
        <f t="shared" si="5"/>
        <v>0</v>
      </c>
      <c r="W12" s="163">
        <f t="shared" si="6"/>
        <v>0</v>
      </c>
      <c r="X12" s="163">
        <f t="shared" si="7"/>
        <v>0</v>
      </c>
      <c r="Y12" s="163">
        <f t="shared" si="8"/>
        <v>0</v>
      </c>
      <c r="Z12" s="163">
        <f t="shared" si="9"/>
        <v>0</v>
      </c>
      <c r="AA12" s="163">
        <f t="shared" si="10"/>
        <v>0</v>
      </c>
      <c r="AB12" s="163">
        <f t="shared" si="11"/>
        <v>0</v>
      </c>
      <c r="AC12" s="163">
        <f t="shared" si="12"/>
        <v>0</v>
      </c>
      <c r="AD12" s="163"/>
      <c r="AE12" s="155" t="str">
        <f>+'2026 World Cup'!C15</f>
        <v>Jun 14, 2026</v>
      </c>
      <c r="AF12" s="155" t="str">
        <f t="shared" si="13"/>
        <v>Elfenbenskysten -</v>
      </c>
      <c r="AG12" s="155" t="str">
        <f t="shared" si="14"/>
        <v>Ecuador</v>
      </c>
      <c r="AH12" s="165">
        <f t="shared" si="15"/>
        <v>9.0909090909090912E-2</v>
      </c>
      <c r="AI12" s="165">
        <f t="shared" si="15"/>
        <v>0.72727272727272729</v>
      </c>
      <c r="AJ12" s="165">
        <f t="shared" si="15"/>
        <v>0.18181818181818182</v>
      </c>
      <c r="AK12" s="154"/>
      <c r="AL12" s="154"/>
      <c r="AN12" s="167" t="s">
        <v>3715</v>
      </c>
      <c r="AO12" s="168"/>
      <c r="AP12" s="168"/>
      <c r="AQ12" s="168" t="s">
        <v>3716</v>
      </c>
      <c r="AR12" s="168"/>
      <c r="AS12" s="169"/>
    </row>
    <row r="13" spans="2:45" ht="12.75" customHeight="1" x14ac:dyDescent="0.2">
      <c r="B13" s="154">
        <f>+Resultater!B13</f>
        <v>10</v>
      </c>
      <c r="C13" s="155" t="str">
        <f>+'2026 World Cup'!E16</f>
        <v>Tyskland</v>
      </c>
      <c r="D13" s="155" t="str">
        <f>+'2026 World Cup'!H16</f>
        <v>Curaçao</v>
      </c>
      <c r="E13" s="160" t="s">
        <v>397</v>
      </c>
      <c r="F13" s="160" t="s">
        <v>397</v>
      </c>
      <c r="G13" s="160" t="s">
        <v>397</v>
      </c>
      <c r="H13" s="134" t="s">
        <v>397</v>
      </c>
      <c r="I13" s="134" t="s">
        <v>397</v>
      </c>
      <c r="J13" s="134" t="s">
        <v>397</v>
      </c>
      <c r="K13" s="160" t="s">
        <v>397</v>
      </c>
      <c r="L13" s="161" t="s">
        <v>397</v>
      </c>
      <c r="M13" s="161" t="s">
        <v>397</v>
      </c>
      <c r="N13" s="160" t="s">
        <v>397</v>
      </c>
      <c r="O13" s="160" t="s">
        <v>397</v>
      </c>
      <c r="P13" s="162" t="str">
        <f>+Resultater!E13</f>
        <v>U</v>
      </c>
      <c r="Q13" s="150">
        <v>1</v>
      </c>
      <c r="R13" s="154">
        <f t="shared" si="2"/>
        <v>10</v>
      </c>
      <c r="S13" s="163">
        <f t="shared" si="16"/>
        <v>0</v>
      </c>
      <c r="T13" s="163">
        <f t="shared" si="3"/>
        <v>0</v>
      </c>
      <c r="U13" s="163">
        <f t="shared" si="4"/>
        <v>0</v>
      </c>
      <c r="V13" s="163">
        <f t="shared" si="5"/>
        <v>0</v>
      </c>
      <c r="W13" s="163">
        <f t="shared" si="6"/>
        <v>0</v>
      </c>
      <c r="X13" s="163">
        <f t="shared" si="7"/>
        <v>0</v>
      </c>
      <c r="Y13" s="163">
        <f t="shared" si="8"/>
        <v>0</v>
      </c>
      <c r="Z13" s="163">
        <f t="shared" si="9"/>
        <v>0</v>
      </c>
      <c r="AA13" s="163">
        <f t="shared" si="10"/>
        <v>0</v>
      </c>
      <c r="AB13" s="163">
        <f t="shared" si="11"/>
        <v>0</v>
      </c>
      <c r="AC13" s="163">
        <f t="shared" si="12"/>
        <v>0</v>
      </c>
      <c r="AD13" s="163"/>
      <c r="AE13" s="155" t="str">
        <f>+'2026 World Cup'!C16</f>
        <v>Jun 14, 2026</v>
      </c>
      <c r="AF13" s="155" t="str">
        <f t="shared" si="13"/>
        <v>Tyskland -</v>
      </c>
      <c r="AG13" s="155" t="str">
        <f t="shared" si="14"/>
        <v>Curaçao</v>
      </c>
      <c r="AH13" s="201">
        <f t="shared" si="15"/>
        <v>1</v>
      </c>
      <c r="AI13" s="165">
        <f t="shared" si="15"/>
        <v>0</v>
      </c>
      <c r="AJ13" s="165">
        <f t="shared" si="15"/>
        <v>0</v>
      </c>
      <c r="AK13" s="154"/>
      <c r="AL13" s="154">
        <v>8</v>
      </c>
      <c r="AN13" s="167" t="s">
        <v>3717</v>
      </c>
      <c r="AO13" s="168"/>
      <c r="AP13" s="168"/>
      <c r="AQ13" s="168" t="s">
        <v>3718</v>
      </c>
      <c r="AR13" s="168"/>
      <c r="AS13" s="169"/>
    </row>
    <row r="14" spans="2:45" ht="12.75" customHeight="1" x14ac:dyDescent="0.2">
      <c r="B14" s="154">
        <f>+Resultater!B14</f>
        <v>11</v>
      </c>
      <c r="C14" s="155" t="str">
        <f>+'2026 World Cup'!E17</f>
        <v>Nederland</v>
      </c>
      <c r="D14" s="155" t="str">
        <f>+'2026 World Cup'!H17</f>
        <v>Japan</v>
      </c>
      <c r="E14" s="160" t="s">
        <v>416</v>
      </c>
      <c r="F14" s="160" t="s">
        <v>397</v>
      </c>
      <c r="G14" s="160" t="s">
        <v>397</v>
      </c>
      <c r="H14" s="134" t="s">
        <v>397</v>
      </c>
      <c r="I14" s="134" t="s">
        <v>397</v>
      </c>
      <c r="J14" s="134" t="s">
        <v>397</v>
      </c>
      <c r="K14" s="160" t="s">
        <v>397</v>
      </c>
      <c r="L14" s="161" t="s">
        <v>397</v>
      </c>
      <c r="M14" s="161" t="s">
        <v>397</v>
      </c>
      <c r="N14" s="160" t="s">
        <v>397</v>
      </c>
      <c r="O14" s="160" t="s">
        <v>397</v>
      </c>
      <c r="P14" s="162" t="str">
        <f>+Resultater!E14</f>
        <v>U</v>
      </c>
      <c r="Q14" s="150">
        <v>1</v>
      </c>
      <c r="R14" s="154">
        <f t="shared" si="2"/>
        <v>11</v>
      </c>
      <c r="S14" s="163">
        <f t="shared" si="16"/>
        <v>0</v>
      </c>
      <c r="T14" s="163">
        <f t="shared" si="3"/>
        <v>0</v>
      </c>
      <c r="U14" s="163">
        <f t="shared" si="4"/>
        <v>0</v>
      </c>
      <c r="V14" s="163">
        <f t="shared" si="5"/>
        <v>0</v>
      </c>
      <c r="W14" s="163">
        <f t="shared" si="6"/>
        <v>0</v>
      </c>
      <c r="X14" s="163">
        <f t="shared" si="7"/>
        <v>0</v>
      </c>
      <c r="Y14" s="163">
        <f t="shared" si="8"/>
        <v>0</v>
      </c>
      <c r="Z14" s="163">
        <f t="shared" si="9"/>
        <v>0</v>
      </c>
      <c r="AA14" s="163">
        <f t="shared" si="10"/>
        <v>0</v>
      </c>
      <c r="AB14" s="163">
        <f t="shared" si="11"/>
        <v>0</v>
      </c>
      <c r="AC14" s="163">
        <f t="shared" si="12"/>
        <v>0</v>
      </c>
      <c r="AD14" s="163"/>
      <c r="AE14" s="155" t="str">
        <f>+'2026 World Cup'!C17</f>
        <v>Jun 14, 2026</v>
      </c>
      <c r="AF14" s="155" t="str">
        <f t="shared" si="13"/>
        <v>Nederland -</v>
      </c>
      <c r="AG14" s="155" t="str">
        <f t="shared" si="14"/>
        <v>Japan</v>
      </c>
      <c r="AH14" s="165">
        <f t="shared" si="15"/>
        <v>0.90909090909090906</v>
      </c>
      <c r="AI14" s="165">
        <f t="shared" si="15"/>
        <v>0</v>
      </c>
      <c r="AJ14" s="165">
        <f t="shared" si="15"/>
        <v>9.0909090909090912E-2</v>
      </c>
      <c r="AK14" s="154"/>
      <c r="AL14" s="166"/>
      <c r="AN14" s="167"/>
      <c r="AO14" s="168"/>
      <c r="AP14" s="168"/>
      <c r="AQ14" s="168"/>
      <c r="AR14" s="168"/>
      <c r="AS14" s="169"/>
    </row>
    <row r="15" spans="2:45" ht="12.75" customHeight="1" x14ac:dyDescent="0.2">
      <c r="B15" s="154">
        <f>+Resultater!B15</f>
        <v>12</v>
      </c>
      <c r="C15" s="155" t="str">
        <f>+'2026 World Cup'!E18</f>
        <v>Sverige</v>
      </c>
      <c r="D15" s="155" t="str">
        <f>+'2026 World Cup'!H18</f>
        <v>Tunisia</v>
      </c>
      <c r="E15" s="160" t="s">
        <v>397</v>
      </c>
      <c r="F15" s="160" t="s">
        <v>384</v>
      </c>
      <c r="G15" s="160" t="s">
        <v>384</v>
      </c>
      <c r="H15" s="134" t="s">
        <v>384</v>
      </c>
      <c r="I15" s="134" t="s">
        <v>397</v>
      </c>
      <c r="J15" s="134" t="s">
        <v>397</v>
      </c>
      <c r="K15" s="160" t="s">
        <v>397</v>
      </c>
      <c r="L15" s="161" t="s">
        <v>384</v>
      </c>
      <c r="M15" s="161" t="s">
        <v>416</v>
      </c>
      <c r="N15" s="160" t="s">
        <v>384</v>
      </c>
      <c r="O15" s="160" t="s">
        <v>397</v>
      </c>
      <c r="P15" s="162" t="str">
        <f>+Resultater!E15</f>
        <v>U</v>
      </c>
      <c r="Q15" s="150">
        <v>1</v>
      </c>
      <c r="R15" s="154">
        <f t="shared" si="2"/>
        <v>12</v>
      </c>
      <c r="S15" s="163">
        <f t="shared" si="16"/>
        <v>0</v>
      </c>
      <c r="T15" s="163">
        <f t="shared" si="3"/>
        <v>0</v>
      </c>
      <c r="U15" s="163">
        <f t="shared" si="4"/>
        <v>0</v>
      </c>
      <c r="V15" s="163">
        <f t="shared" si="5"/>
        <v>0</v>
      </c>
      <c r="W15" s="163">
        <f t="shared" si="6"/>
        <v>0</v>
      </c>
      <c r="X15" s="163">
        <f t="shared" si="7"/>
        <v>0</v>
      </c>
      <c r="Y15" s="163">
        <f t="shared" si="8"/>
        <v>0</v>
      </c>
      <c r="Z15" s="163">
        <f t="shared" si="9"/>
        <v>0</v>
      </c>
      <c r="AA15" s="163">
        <f t="shared" si="10"/>
        <v>0</v>
      </c>
      <c r="AB15" s="163">
        <f t="shared" si="11"/>
        <v>0</v>
      </c>
      <c r="AC15" s="163">
        <f t="shared" si="12"/>
        <v>0</v>
      </c>
      <c r="AD15" s="163"/>
      <c r="AE15" s="155" t="str">
        <f>+'2026 World Cup'!C18</f>
        <v>Jun 15, 2026</v>
      </c>
      <c r="AF15" s="155" t="str">
        <f t="shared" si="13"/>
        <v>Sverige -</v>
      </c>
      <c r="AG15" s="155" t="str">
        <f t="shared" si="14"/>
        <v>Tunisia</v>
      </c>
      <c r="AH15" s="165">
        <f t="shared" si="15"/>
        <v>0.45454545454545453</v>
      </c>
      <c r="AI15" s="165">
        <f t="shared" si="15"/>
        <v>0.45454545454545453</v>
      </c>
      <c r="AJ15" s="165">
        <f t="shared" si="15"/>
        <v>9.0909090909090912E-2</v>
      </c>
      <c r="AK15" s="154"/>
      <c r="AL15" s="166"/>
      <c r="AN15" s="167" t="s">
        <v>3719</v>
      </c>
      <c r="AO15" s="168"/>
      <c r="AP15" s="168"/>
      <c r="AQ15" s="168" t="s">
        <v>3705</v>
      </c>
      <c r="AR15" s="168"/>
      <c r="AS15" s="169"/>
    </row>
    <row r="16" spans="2:45" ht="12.75" customHeight="1" x14ac:dyDescent="0.2">
      <c r="B16" s="154">
        <f>+Resultater!B16</f>
        <v>13</v>
      </c>
      <c r="C16" s="155" t="str">
        <f>+'2026 World Cup'!E19</f>
        <v>Saudi-Arabia</v>
      </c>
      <c r="D16" s="155" t="str">
        <f>+'2026 World Cup'!H19</f>
        <v>Uruguay</v>
      </c>
      <c r="E16" s="160" t="s">
        <v>416</v>
      </c>
      <c r="F16" s="160" t="s">
        <v>416</v>
      </c>
      <c r="G16" s="160" t="s">
        <v>416</v>
      </c>
      <c r="H16" s="134" t="s">
        <v>416</v>
      </c>
      <c r="I16" s="134" t="s">
        <v>384</v>
      </c>
      <c r="J16" s="134" t="s">
        <v>416</v>
      </c>
      <c r="K16" s="160" t="s">
        <v>416</v>
      </c>
      <c r="L16" s="161" t="s">
        <v>416</v>
      </c>
      <c r="M16" s="161" t="s">
        <v>416</v>
      </c>
      <c r="N16" s="160" t="s">
        <v>416</v>
      </c>
      <c r="O16" s="160" t="s">
        <v>416</v>
      </c>
      <c r="P16" s="162" t="str">
        <f>+Resultater!E16</f>
        <v>U</v>
      </c>
      <c r="Q16" s="150">
        <v>1</v>
      </c>
      <c r="R16" s="154">
        <f t="shared" si="2"/>
        <v>13</v>
      </c>
      <c r="S16" s="163">
        <f t="shared" si="16"/>
        <v>0</v>
      </c>
      <c r="T16" s="163">
        <f t="shared" si="3"/>
        <v>0</v>
      </c>
      <c r="U16" s="163">
        <f t="shared" si="4"/>
        <v>0</v>
      </c>
      <c r="V16" s="163">
        <f t="shared" si="5"/>
        <v>0</v>
      </c>
      <c r="W16" s="163">
        <f t="shared" si="6"/>
        <v>0</v>
      </c>
      <c r="X16" s="163">
        <f t="shared" si="7"/>
        <v>0</v>
      </c>
      <c r="Y16" s="163">
        <f t="shared" si="8"/>
        <v>0</v>
      </c>
      <c r="Z16" s="163">
        <f t="shared" si="9"/>
        <v>0</v>
      </c>
      <c r="AA16" s="163">
        <f t="shared" si="10"/>
        <v>0</v>
      </c>
      <c r="AB16" s="163">
        <f t="shared" si="11"/>
        <v>0</v>
      </c>
      <c r="AC16" s="163">
        <f t="shared" si="12"/>
        <v>0</v>
      </c>
      <c r="AD16" s="163"/>
      <c r="AE16" s="155" t="str">
        <f>+'2026 World Cup'!C19</f>
        <v>Jun 15, 2026</v>
      </c>
      <c r="AF16" s="155" t="str">
        <f t="shared" si="13"/>
        <v>Saudi-Arabia -</v>
      </c>
      <c r="AG16" s="155" t="str">
        <f t="shared" si="14"/>
        <v>Uruguay</v>
      </c>
      <c r="AH16" s="165">
        <f t="shared" si="15"/>
        <v>0</v>
      </c>
      <c r="AI16" s="165">
        <f t="shared" si="15"/>
        <v>9.0909090909090912E-2</v>
      </c>
      <c r="AJ16" s="165">
        <f t="shared" si="15"/>
        <v>0.90909090909090906</v>
      </c>
      <c r="AK16" s="154"/>
      <c r="AL16" s="166"/>
      <c r="AN16" s="167" t="s">
        <v>3720</v>
      </c>
      <c r="AO16" s="168"/>
      <c r="AP16" s="168"/>
      <c r="AQ16" s="168" t="s">
        <v>3718</v>
      </c>
      <c r="AR16" s="168"/>
      <c r="AS16" s="169"/>
    </row>
    <row r="17" spans="2:45" ht="12.75" customHeight="1" x14ac:dyDescent="0.2">
      <c r="B17" s="154">
        <f>+Resultater!B17</f>
        <v>14</v>
      </c>
      <c r="C17" s="155" t="str">
        <f>+'2026 World Cup'!E20</f>
        <v>Spania</v>
      </c>
      <c r="D17" s="155" t="str">
        <f>+'2026 World Cup'!H20</f>
        <v>Kapp Verde</v>
      </c>
      <c r="E17" s="160" t="s">
        <v>397</v>
      </c>
      <c r="F17" s="160" t="s">
        <v>397</v>
      </c>
      <c r="G17" s="160" t="s">
        <v>397</v>
      </c>
      <c r="H17" s="134" t="s">
        <v>397</v>
      </c>
      <c r="I17" s="134" t="s">
        <v>397</v>
      </c>
      <c r="J17" s="134" t="s">
        <v>397</v>
      </c>
      <c r="K17" s="160" t="s">
        <v>397</v>
      </c>
      <c r="L17" s="161" t="s">
        <v>397</v>
      </c>
      <c r="M17" s="161" t="s">
        <v>397</v>
      </c>
      <c r="N17" s="160" t="s">
        <v>397</v>
      </c>
      <c r="O17" s="160" t="s">
        <v>397</v>
      </c>
      <c r="P17" s="162" t="str">
        <f>+Resultater!E17</f>
        <v>U</v>
      </c>
      <c r="Q17" s="150">
        <v>1</v>
      </c>
      <c r="R17" s="154">
        <f t="shared" si="2"/>
        <v>14</v>
      </c>
      <c r="S17" s="163">
        <f t="shared" si="16"/>
        <v>0</v>
      </c>
      <c r="T17" s="163">
        <f t="shared" si="3"/>
        <v>0</v>
      </c>
      <c r="U17" s="163">
        <f t="shared" si="4"/>
        <v>0</v>
      </c>
      <c r="V17" s="163">
        <f t="shared" si="5"/>
        <v>0</v>
      </c>
      <c r="W17" s="163">
        <f t="shared" si="6"/>
        <v>0</v>
      </c>
      <c r="X17" s="163">
        <f t="shared" si="7"/>
        <v>0</v>
      </c>
      <c r="Y17" s="163">
        <f t="shared" si="8"/>
        <v>0</v>
      </c>
      <c r="Z17" s="163">
        <f t="shared" si="9"/>
        <v>0</v>
      </c>
      <c r="AA17" s="163">
        <f t="shared" si="10"/>
        <v>0</v>
      </c>
      <c r="AB17" s="163">
        <f t="shared" si="11"/>
        <v>0</v>
      </c>
      <c r="AC17" s="163">
        <f t="shared" si="12"/>
        <v>0</v>
      </c>
      <c r="AD17" s="163"/>
      <c r="AE17" s="155" t="str">
        <f>+'2026 World Cup'!C20</f>
        <v>Jun 15, 2026</v>
      </c>
      <c r="AF17" s="155" t="str">
        <f t="shared" si="13"/>
        <v>Spania -</v>
      </c>
      <c r="AG17" s="155" t="str">
        <f t="shared" si="14"/>
        <v>Kapp Verde</v>
      </c>
      <c r="AH17" s="165">
        <f t="shared" si="15"/>
        <v>1</v>
      </c>
      <c r="AI17" s="165">
        <f t="shared" si="15"/>
        <v>0</v>
      </c>
      <c r="AJ17" s="165">
        <f t="shared" si="15"/>
        <v>0</v>
      </c>
      <c r="AK17" s="154"/>
      <c r="AL17" s="166"/>
      <c r="AN17" s="167" t="s">
        <v>3721</v>
      </c>
      <c r="AO17" s="168"/>
      <c r="AP17" s="168"/>
      <c r="AQ17" s="168" t="s">
        <v>3722</v>
      </c>
      <c r="AR17" s="168"/>
      <c r="AS17" s="169"/>
    </row>
    <row r="18" spans="2:45" ht="12.75" customHeight="1" x14ac:dyDescent="0.2">
      <c r="B18" s="154">
        <f>+Resultater!B18</f>
        <v>15</v>
      </c>
      <c r="C18" s="155" t="str">
        <f>+'2026 World Cup'!E21</f>
        <v>Iran</v>
      </c>
      <c r="D18" s="155" t="str">
        <f>+'2026 World Cup'!H21</f>
        <v>New Zealand</v>
      </c>
      <c r="E18" s="160" t="s">
        <v>397</v>
      </c>
      <c r="F18" s="160" t="s">
        <v>397</v>
      </c>
      <c r="G18" s="160" t="s">
        <v>397</v>
      </c>
      <c r="H18" s="134" t="s">
        <v>397</v>
      </c>
      <c r="I18" s="134" t="s">
        <v>397</v>
      </c>
      <c r="J18" s="134" t="s">
        <v>384</v>
      </c>
      <c r="K18" s="160" t="s">
        <v>416</v>
      </c>
      <c r="L18" s="161" t="s">
        <v>397</v>
      </c>
      <c r="M18" s="161" t="s">
        <v>416</v>
      </c>
      <c r="N18" s="160" t="s">
        <v>397</v>
      </c>
      <c r="O18" s="160" t="s">
        <v>397</v>
      </c>
      <c r="P18" s="162" t="str">
        <f>+Resultater!E18</f>
        <v>U</v>
      </c>
      <c r="Q18" s="150">
        <v>1</v>
      </c>
      <c r="R18" s="154">
        <f t="shared" si="2"/>
        <v>15</v>
      </c>
      <c r="S18" s="163">
        <f t="shared" si="16"/>
        <v>0</v>
      </c>
      <c r="T18" s="163">
        <f t="shared" si="3"/>
        <v>0</v>
      </c>
      <c r="U18" s="163">
        <f t="shared" si="4"/>
        <v>0</v>
      </c>
      <c r="V18" s="163">
        <f t="shared" si="5"/>
        <v>0</v>
      </c>
      <c r="W18" s="163">
        <f t="shared" si="6"/>
        <v>0</v>
      </c>
      <c r="X18" s="163">
        <f t="shared" si="7"/>
        <v>0</v>
      </c>
      <c r="Y18" s="163">
        <f t="shared" si="8"/>
        <v>0</v>
      </c>
      <c r="Z18" s="163">
        <f t="shared" si="9"/>
        <v>0</v>
      </c>
      <c r="AA18" s="163">
        <f t="shared" si="10"/>
        <v>0</v>
      </c>
      <c r="AB18" s="163">
        <f t="shared" si="11"/>
        <v>0</v>
      </c>
      <c r="AC18" s="163">
        <f t="shared" si="12"/>
        <v>0</v>
      </c>
      <c r="AD18" s="163"/>
      <c r="AE18" s="155" t="str">
        <f>+'2026 World Cup'!C21</f>
        <v>Jun 16, 2026</v>
      </c>
      <c r="AF18" s="155" t="str">
        <f t="shared" si="13"/>
        <v>Iran -</v>
      </c>
      <c r="AG18" s="155" t="str">
        <f t="shared" si="14"/>
        <v>New Zealand</v>
      </c>
      <c r="AH18" s="165">
        <f t="shared" si="15"/>
        <v>0.72727272727272729</v>
      </c>
      <c r="AI18" s="165">
        <f t="shared" si="15"/>
        <v>9.0909090909090912E-2</v>
      </c>
      <c r="AJ18" s="165">
        <f t="shared" si="15"/>
        <v>0.18181818181818182</v>
      </c>
      <c r="AK18" s="154"/>
      <c r="AL18" s="166"/>
      <c r="AN18" s="167" t="s">
        <v>3723</v>
      </c>
      <c r="AO18" s="168"/>
      <c r="AP18" s="168"/>
      <c r="AQ18" s="168" t="s">
        <v>3724</v>
      </c>
      <c r="AR18" s="168"/>
      <c r="AS18" s="169"/>
    </row>
    <row r="19" spans="2:45" ht="12.75" customHeight="1" x14ac:dyDescent="0.2">
      <c r="B19" s="154">
        <f>+Resultater!B19</f>
        <v>16</v>
      </c>
      <c r="C19" s="155" t="str">
        <f>+'2026 World Cup'!E22</f>
        <v>Belgia</v>
      </c>
      <c r="D19" s="155" t="str">
        <f>+'2026 World Cup'!H22</f>
        <v>Egypt</v>
      </c>
      <c r="E19" s="160" t="s">
        <v>397</v>
      </c>
      <c r="F19" s="160" t="s">
        <v>397</v>
      </c>
      <c r="G19" s="160" t="s">
        <v>397</v>
      </c>
      <c r="H19" s="134" t="s">
        <v>397</v>
      </c>
      <c r="I19" s="134" t="s">
        <v>397</v>
      </c>
      <c r="J19" s="134" t="s">
        <v>384</v>
      </c>
      <c r="K19" s="160" t="s">
        <v>397</v>
      </c>
      <c r="L19" s="161" t="s">
        <v>397</v>
      </c>
      <c r="M19" s="161" t="s">
        <v>397</v>
      </c>
      <c r="N19" s="160" t="s">
        <v>397</v>
      </c>
      <c r="O19" s="160" t="s">
        <v>397</v>
      </c>
      <c r="P19" s="162" t="str">
        <f>+Resultater!E19</f>
        <v>U</v>
      </c>
      <c r="Q19" s="150">
        <v>1</v>
      </c>
      <c r="R19" s="154">
        <f t="shared" si="2"/>
        <v>16</v>
      </c>
      <c r="S19" s="163">
        <f t="shared" si="16"/>
        <v>0</v>
      </c>
      <c r="T19" s="163">
        <f t="shared" si="3"/>
        <v>0</v>
      </c>
      <c r="U19" s="163">
        <f t="shared" si="4"/>
        <v>0</v>
      </c>
      <c r="V19" s="163">
        <f t="shared" si="5"/>
        <v>0</v>
      </c>
      <c r="W19" s="163">
        <f t="shared" si="6"/>
        <v>0</v>
      </c>
      <c r="X19" s="163">
        <f t="shared" si="7"/>
        <v>0</v>
      </c>
      <c r="Y19" s="163">
        <f t="shared" si="8"/>
        <v>0</v>
      </c>
      <c r="Z19" s="163">
        <f t="shared" si="9"/>
        <v>0</v>
      </c>
      <c r="AA19" s="163">
        <f t="shared" si="10"/>
        <v>0</v>
      </c>
      <c r="AB19" s="163">
        <f t="shared" si="11"/>
        <v>0</v>
      </c>
      <c r="AC19" s="163">
        <f t="shared" si="12"/>
        <v>0</v>
      </c>
      <c r="AD19" s="163"/>
      <c r="AE19" s="155" t="str">
        <f>+'2026 World Cup'!C22</f>
        <v>Jun 15, 2026</v>
      </c>
      <c r="AF19" s="155" t="str">
        <f t="shared" si="13"/>
        <v>Belgia -</v>
      </c>
      <c r="AG19" s="155" t="str">
        <f t="shared" si="14"/>
        <v>Egypt</v>
      </c>
      <c r="AH19" s="165">
        <f t="shared" si="15"/>
        <v>0.90909090909090906</v>
      </c>
      <c r="AI19" s="165">
        <f t="shared" si="15"/>
        <v>9.0909090909090912E-2</v>
      </c>
      <c r="AJ19" s="165">
        <f t="shared" si="15"/>
        <v>0</v>
      </c>
      <c r="AK19" s="154"/>
      <c r="AL19" s="166"/>
      <c r="AN19" s="170" t="s">
        <v>3725</v>
      </c>
      <c r="AO19" s="171"/>
      <c r="AP19" s="171"/>
      <c r="AQ19" s="171" t="s">
        <v>3724</v>
      </c>
      <c r="AR19" s="171"/>
      <c r="AS19" s="172"/>
    </row>
    <row r="20" spans="2:45" ht="12.75" customHeight="1" x14ac:dyDescent="0.2">
      <c r="B20" s="154">
        <f>+Resultater!B20</f>
        <v>17</v>
      </c>
      <c r="C20" s="155" t="str">
        <f>+'2026 World Cup'!E23</f>
        <v>Frankrike</v>
      </c>
      <c r="D20" s="155" t="str">
        <f>+'2026 World Cup'!H23</f>
        <v>Senegal</v>
      </c>
      <c r="E20" s="160" t="s">
        <v>397</v>
      </c>
      <c r="F20" s="160" t="s">
        <v>397</v>
      </c>
      <c r="G20" s="160" t="s">
        <v>397</v>
      </c>
      <c r="H20" s="134" t="s">
        <v>397</v>
      </c>
      <c r="I20" s="134" t="s">
        <v>397</v>
      </c>
      <c r="J20" s="134" t="s">
        <v>397</v>
      </c>
      <c r="K20" s="160" t="s">
        <v>397</v>
      </c>
      <c r="L20" s="161" t="s">
        <v>397</v>
      </c>
      <c r="M20" s="161" t="s">
        <v>397</v>
      </c>
      <c r="N20" s="160" t="s">
        <v>397</v>
      </c>
      <c r="O20" s="160" t="s">
        <v>397</v>
      </c>
      <c r="P20" s="162" t="str">
        <f>+Resultater!E20</f>
        <v>U</v>
      </c>
      <c r="Q20" s="150">
        <v>1</v>
      </c>
      <c r="R20" s="154">
        <f t="shared" si="2"/>
        <v>17</v>
      </c>
      <c r="S20" s="163">
        <f t="shared" si="16"/>
        <v>0</v>
      </c>
      <c r="T20" s="163">
        <f t="shared" si="3"/>
        <v>0</v>
      </c>
      <c r="U20" s="163">
        <f t="shared" si="4"/>
        <v>0</v>
      </c>
      <c r="V20" s="163">
        <f t="shared" si="5"/>
        <v>0</v>
      </c>
      <c r="W20" s="163">
        <f t="shared" si="6"/>
        <v>0</v>
      </c>
      <c r="X20" s="163">
        <f t="shared" si="7"/>
        <v>0</v>
      </c>
      <c r="Y20" s="163">
        <f t="shared" si="8"/>
        <v>0</v>
      </c>
      <c r="Z20" s="163">
        <f t="shared" si="9"/>
        <v>0</v>
      </c>
      <c r="AA20" s="163">
        <f t="shared" si="10"/>
        <v>0</v>
      </c>
      <c r="AB20" s="163">
        <f t="shared" si="11"/>
        <v>0</v>
      </c>
      <c r="AC20" s="163">
        <f t="shared" si="12"/>
        <v>0</v>
      </c>
      <c r="AD20" s="163"/>
      <c r="AE20" s="155" t="str">
        <f>+'2026 World Cup'!C23</f>
        <v>Jun 16, 2026</v>
      </c>
      <c r="AF20" s="155" t="str">
        <f t="shared" si="13"/>
        <v>Frankrike -</v>
      </c>
      <c r="AG20" s="155" t="str">
        <f t="shared" si="14"/>
        <v>Senegal</v>
      </c>
      <c r="AH20" s="165">
        <f t="shared" si="15"/>
        <v>1</v>
      </c>
      <c r="AI20" s="165">
        <f t="shared" si="15"/>
        <v>0</v>
      </c>
      <c r="AJ20" s="165">
        <f t="shared" si="15"/>
        <v>0</v>
      </c>
      <c r="AK20" s="154"/>
      <c r="AL20" s="166"/>
    </row>
    <row r="21" spans="2:45" ht="12.75" customHeight="1" x14ac:dyDescent="0.2">
      <c r="B21" s="154">
        <f>+Resultater!B21</f>
        <v>18</v>
      </c>
      <c r="C21" s="155" t="str">
        <f>+'2026 World Cup'!E24</f>
        <v>Irak</v>
      </c>
      <c r="D21" s="155" t="str">
        <f>+'2026 World Cup'!H24</f>
        <v>Norge</v>
      </c>
      <c r="E21" s="160" t="s">
        <v>416</v>
      </c>
      <c r="F21" s="160" t="s">
        <v>416</v>
      </c>
      <c r="G21" s="160" t="s">
        <v>416</v>
      </c>
      <c r="H21" s="134" t="s">
        <v>416</v>
      </c>
      <c r="I21" s="134" t="s">
        <v>416</v>
      </c>
      <c r="J21" s="134" t="s">
        <v>416</v>
      </c>
      <c r="K21" s="160" t="s">
        <v>416</v>
      </c>
      <c r="L21" s="161" t="s">
        <v>416</v>
      </c>
      <c r="M21" s="161" t="s">
        <v>416</v>
      </c>
      <c r="N21" s="160" t="s">
        <v>416</v>
      </c>
      <c r="O21" s="160" t="s">
        <v>416</v>
      </c>
      <c r="P21" s="162" t="str">
        <f>+Resultater!E21</f>
        <v>U</v>
      </c>
      <c r="Q21" s="150">
        <v>1</v>
      </c>
      <c r="R21" s="154">
        <f t="shared" si="2"/>
        <v>18</v>
      </c>
      <c r="S21" s="163">
        <f t="shared" si="16"/>
        <v>0</v>
      </c>
      <c r="T21" s="163">
        <f t="shared" si="3"/>
        <v>0</v>
      </c>
      <c r="U21" s="163">
        <f t="shared" si="4"/>
        <v>0</v>
      </c>
      <c r="V21" s="163">
        <f t="shared" si="5"/>
        <v>0</v>
      </c>
      <c r="W21" s="163">
        <f t="shared" si="6"/>
        <v>0</v>
      </c>
      <c r="X21" s="163">
        <f t="shared" si="7"/>
        <v>0</v>
      </c>
      <c r="Y21" s="163">
        <f t="shared" si="8"/>
        <v>0</v>
      </c>
      <c r="Z21" s="163">
        <f t="shared" si="9"/>
        <v>0</v>
      </c>
      <c r="AA21" s="163">
        <f t="shared" si="10"/>
        <v>0</v>
      </c>
      <c r="AB21" s="163">
        <f t="shared" si="11"/>
        <v>0</v>
      </c>
      <c r="AC21" s="163">
        <f t="shared" si="12"/>
        <v>0</v>
      </c>
      <c r="AD21" s="163"/>
      <c r="AE21" s="155" t="str">
        <f>+'2026 World Cup'!C24</f>
        <v>Jun 16, 2026</v>
      </c>
      <c r="AF21" s="155" t="str">
        <f t="shared" si="13"/>
        <v>Irak -</v>
      </c>
      <c r="AG21" s="155" t="str">
        <f t="shared" si="14"/>
        <v>Norge</v>
      </c>
      <c r="AH21" s="165">
        <f t="shared" si="15"/>
        <v>0</v>
      </c>
      <c r="AI21" s="165">
        <f t="shared" si="15"/>
        <v>0</v>
      </c>
      <c r="AJ21" s="165">
        <f t="shared" si="15"/>
        <v>1</v>
      </c>
      <c r="AK21" s="154"/>
      <c r="AL21" s="166"/>
      <c r="AN21" s="149" t="s">
        <v>3751</v>
      </c>
    </row>
    <row r="22" spans="2:45" ht="12.75" customHeight="1" x14ac:dyDescent="0.2">
      <c r="B22" s="154">
        <f>+Resultater!B22</f>
        <v>19</v>
      </c>
      <c r="C22" s="155" t="str">
        <f>+'2026 World Cup'!E25</f>
        <v>Argentina</v>
      </c>
      <c r="D22" s="155" t="str">
        <f>+'2026 World Cup'!H25</f>
        <v>Algerie</v>
      </c>
      <c r="E22" s="160" t="s">
        <v>397</v>
      </c>
      <c r="F22" s="160" t="s">
        <v>397</v>
      </c>
      <c r="G22" s="160" t="s">
        <v>397</v>
      </c>
      <c r="H22" s="134" t="s">
        <v>397</v>
      </c>
      <c r="I22" s="134" t="s">
        <v>397</v>
      </c>
      <c r="J22" s="134" t="s">
        <v>397</v>
      </c>
      <c r="K22" s="160" t="s">
        <v>397</v>
      </c>
      <c r="L22" s="161" t="s">
        <v>397</v>
      </c>
      <c r="M22" s="161" t="s">
        <v>397</v>
      </c>
      <c r="N22" s="160" t="s">
        <v>397</v>
      </c>
      <c r="O22" s="160" t="s">
        <v>397</v>
      </c>
      <c r="P22" s="162" t="str">
        <f>+Resultater!E22</f>
        <v>U</v>
      </c>
      <c r="Q22" s="150">
        <v>1</v>
      </c>
      <c r="R22" s="154">
        <f t="shared" si="2"/>
        <v>19</v>
      </c>
      <c r="S22" s="163">
        <f t="shared" si="16"/>
        <v>0</v>
      </c>
      <c r="T22" s="163">
        <f t="shared" si="3"/>
        <v>0</v>
      </c>
      <c r="U22" s="163">
        <f t="shared" si="4"/>
        <v>0</v>
      </c>
      <c r="V22" s="163">
        <f t="shared" si="5"/>
        <v>0</v>
      </c>
      <c r="W22" s="163">
        <f t="shared" si="6"/>
        <v>0</v>
      </c>
      <c r="X22" s="163">
        <f t="shared" si="7"/>
        <v>0</v>
      </c>
      <c r="Y22" s="163">
        <f t="shared" si="8"/>
        <v>0</v>
      </c>
      <c r="Z22" s="163">
        <f t="shared" si="9"/>
        <v>0</v>
      </c>
      <c r="AA22" s="163">
        <f t="shared" si="10"/>
        <v>0</v>
      </c>
      <c r="AB22" s="163">
        <f t="shared" si="11"/>
        <v>0</v>
      </c>
      <c r="AC22" s="163">
        <f t="shared" si="12"/>
        <v>0</v>
      </c>
      <c r="AD22" s="163"/>
      <c r="AE22" s="155" t="str">
        <f>+'2026 World Cup'!C25</f>
        <v>Jun 17, 2026</v>
      </c>
      <c r="AF22" s="155" t="str">
        <f t="shared" si="13"/>
        <v>Argentina -</v>
      </c>
      <c r="AG22" s="155" t="str">
        <f t="shared" si="14"/>
        <v>Algerie</v>
      </c>
      <c r="AH22" s="165">
        <f t="shared" si="15"/>
        <v>1</v>
      </c>
      <c r="AI22" s="165">
        <f t="shared" si="15"/>
        <v>0</v>
      </c>
      <c r="AJ22" s="165">
        <f t="shared" si="15"/>
        <v>0</v>
      </c>
      <c r="AK22" s="154"/>
      <c r="AL22" s="166"/>
      <c r="AN22" s="149" t="s">
        <v>3726</v>
      </c>
    </row>
    <row r="23" spans="2:45" ht="12.75" customHeight="1" x14ac:dyDescent="0.2">
      <c r="B23" s="154">
        <f>+Resultater!B23</f>
        <v>20</v>
      </c>
      <c r="C23" s="155" t="str">
        <f>+'2026 World Cup'!E26</f>
        <v>Østerrike</v>
      </c>
      <c r="D23" s="155" t="str">
        <f>+'2026 World Cup'!H26</f>
        <v>Jordan</v>
      </c>
      <c r="E23" s="160" t="s">
        <v>397</v>
      </c>
      <c r="F23" s="160" t="s">
        <v>397</v>
      </c>
      <c r="G23" s="160" t="s">
        <v>397</v>
      </c>
      <c r="H23" s="134" t="s">
        <v>397</v>
      </c>
      <c r="I23" s="134" t="s">
        <v>397</v>
      </c>
      <c r="J23" s="134" t="s">
        <v>397</v>
      </c>
      <c r="K23" s="160" t="s">
        <v>397</v>
      </c>
      <c r="L23" s="161" t="s">
        <v>397</v>
      </c>
      <c r="M23" s="161" t="s">
        <v>397</v>
      </c>
      <c r="N23" s="160" t="s">
        <v>397</v>
      </c>
      <c r="O23" s="160" t="s">
        <v>397</v>
      </c>
      <c r="P23" s="162" t="str">
        <f>+Resultater!E23</f>
        <v>U</v>
      </c>
      <c r="Q23" s="150">
        <v>1</v>
      </c>
      <c r="R23" s="154">
        <f t="shared" si="2"/>
        <v>20</v>
      </c>
      <c r="S23" s="163">
        <f t="shared" si="16"/>
        <v>0</v>
      </c>
      <c r="T23" s="163">
        <f t="shared" si="3"/>
        <v>0</v>
      </c>
      <c r="U23" s="163">
        <f t="shared" si="4"/>
        <v>0</v>
      </c>
      <c r="V23" s="163">
        <f t="shared" si="5"/>
        <v>0</v>
      </c>
      <c r="W23" s="163">
        <f t="shared" si="6"/>
        <v>0</v>
      </c>
      <c r="X23" s="163">
        <f t="shared" si="7"/>
        <v>0</v>
      </c>
      <c r="Y23" s="163">
        <f t="shared" si="8"/>
        <v>0</v>
      </c>
      <c r="Z23" s="163">
        <f t="shared" si="9"/>
        <v>0</v>
      </c>
      <c r="AA23" s="163">
        <f t="shared" si="10"/>
        <v>0</v>
      </c>
      <c r="AB23" s="163">
        <f t="shared" si="11"/>
        <v>0</v>
      </c>
      <c r="AC23" s="163">
        <f t="shared" si="12"/>
        <v>0</v>
      </c>
      <c r="AD23" s="163"/>
      <c r="AE23" s="155" t="str">
        <f>+'2026 World Cup'!C26</f>
        <v>Jun 17, 2026</v>
      </c>
      <c r="AF23" s="155" t="str">
        <f t="shared" si="13"/>
        <v>Østerrike -</v>
      </c>
      <c r="AG23" s="155" t="str">
        <f t="shared" si="14"/>
        <v>Jordan</v>
      </c>
      <c r="AH23" s="165">
        <f t="shared" si="15"/>
        <v>1</v>
      </c>
      <c r="AI23" s="165">
        <f t="shared" si="15"/>
        <v>0</v>
      </c>
      <c r="AJ23" s="165">
        <f t="shared" si="15"/>
        <v>0</v>
      </c>
      <c r="AK23" s="154"/>
      <c r="AL23" s="166"/>
    </row>
    <row r="24" spans="2:45" ht="12.75" customHeight="1" x14ac:dyDescent="0.2">
      <c r="B24" s="154">
        <f>+Resultater!B24</f>
        <v>21</v>
      </c>
      <c r="C24" s="155" t="str">
        <f>+'2026 World Cup'!E27</f>
        <v>Ghana</v>
      </c>
      <c r="D24" s="155" t="str">
        <f>+'2026 World Cup'!H27</f>
        <v>Panama</v>
      </c>
      <c r="E24" s="160" t="s">
        <v>397</v>
      </c>
      <c r="F24" s="160" t="s">
        <v>384</v>
      </c>
      <c r="G24" s="160" t="s">
        <v>397</v>
      </c>
      <c r="H24" s="134" t="s">
        <v>397</v>
      </c>
      <c r="I24" s="134" t="s">
        <v>384</v>
      </c>
      <c r="J24" s="134" t="s">
        <v>397</v>
      </c>
      <c r="K24" s="160" t="s">
        <v>397</v>
      </c>
      <c r="L24" s="161" t="s">
        <v>384</v>
      </c>
      <c r="M24" s="161" t="s">
        <v>384</v>
      </c>
      <c r="N24" s="160" t="s">
        <v>397</v>
      </c>
      <c r="O24" s="160" t="s">
        <v>397</v>
      </c>
      <c r="P24" s="162" t="str">
        <f>+Resultater!E24</f>
        <v>U</v>
      </c>
      <c r="Q24" s="150">
        <v>1</v>
      </c>
      <c r="R24" s="154">
        <f t="shared" si="2"/>
        <v>21</v>
      </c>
      <c r="S24" s="163">
        <f t="shared" si="16"/>
        <v>0</v>
      </c>
      <c r="T24" s="163">
        <f t="shared" si="3"/>
        <v>0</v>
      </c>
      <c r="U24" s="163">
        <f t="shared" si="4"/>
        <v>0</v>
      </c>
      <c r="V24" s="163">
        <f t="shared" si="5"/>
        <v>0</v>
      </c>
      <c r="W24" s="163">
        <f t="shared" si="6"/>
        <v>0</v>
      </c>
      <c r="X24" s="163">
        <f t="shared" si="7"/>
        <v>0</v>
      </c>
      <c r="Y24" s="163">
        <f t="shared" si="8"/>
        <v>0</v>
      </c>
      <c r="Z24" s="163">
        <f t="shared" si="9"/>
        <v>0</v>
      </c>
      <c r="AA24" s="163">
        <f t="shared" si="10"/>
        <v>0</v>
      </c>
      <c r="AB24" s="163">
        <f t="shared" si="11"/>
        <v>0</v>
      </c>
      <c r="AC24" s="163">
        <f t="shared" si="12"/>
        <v>0</v>
      </c>
      <c r="AD24" s="163"/>
      <c r="AE24" s="155" t="str">
        <f>+'2026 World Cup'!C27</f>
        <v>Jun 17, 2026</v>
      </c>
      <c r="AF24" s="155" t="str">
        <f t="shared" si="13"/>
        <v>Ghana -</v>
      </c>
      <c r="AG24" s="155" t="str">
        <f t="shared" si="14"/>
        <v>Panama</v>
      </c>
      <c r="AH24" s="165">
        <f t="shared" ref="AH24:AJ43" si="17">+COUNTIF($E24:$O24,AH$3)/COUNTA($E24:$O24)</f>
        <v>0.63636363636363635</v>
      </c>
      <c r="AI24" s="165">
        <f t="shared" si="17"/>
        <v>0.36363636363636365</v>
      </c>
      <c r="AJ24" s="165">
        <f t="shared" si="17"/>
        <v>0</v>
      </c>
      <c r="AK24" s="154"/>
      <c r="AL24" s="166"/>
      <c r="AN24" s="149" t="s">
        <v>3761</v>
      </c>
    </row>
    <row r="25" spans="2:45" ht="12.75" customHeight="1" x14ac:dyDescent="0.25">
      <c r="B25" s="154">
        <f>+Resultater!B25</f>
        <v>22</v>
      </c>
      <c r="C25" s="155" t="str">
        <f>+'2026 World Cup'!E28</f>
        <v>England</v>
      </c>
      <c r="D25" s="155" t="str">
        <f>+'2026 World Cup'!H28</f>
        <v>Kroatia</v>
      </c>
      <c r="E25" s="160" t="s">
        <v>397</v>
      </c>
      <c r="F25" s="160" t="s">
        <v>397</v>
      </c>
      <c r="G25" s="160" t="s">
        <v>384</v>
      </c>
      <c r="H25" s="134" t="s">
        <v>397</v>
      </c>
      <c r="I25" s="134" t="s">
        <v>397</v>
      </c>
      <c r="J25" s="134" t="s">
        <v>384</v>
      </c>
      <c r="K25" s="160" t="s">
        <v>384</v>
      </c>
      <c r="L25" s="161" t="s">
        <v>384</v>
      </c>
      <c r="M25" s="161" t="s">
        <v>384</v>
      </c>
      <c r="N25" s="160" t="s">
        <v>397</v>
      </c>
      <c r="O25" s="160" t="s">
        <v>397</v>
      </c>
      <c r="P25" s="162" t="str">
        <f>+Resultater!E25</f>
        <v>U</v>
      </c>
      <c r="Q25" s="150">
        <v>1</v>
      </c>
      <c r="R25" s="154">
        <f t="shared" si="2"/>
        <v>22</v>
      </c>
      <c r="S25" s="163">
        <f t="shared" si="16"/>
        <v>0</v>
      </c>
      <c r="T25" s="163">
        <f t="shared" si="3"/>
        <v>0</v>
      </c>
      <c r="U25" s="163">
        <f t="shared" si="4"/>
        <v>0</v>
      </c>
      <c r="V25" s="163">
        <f t="shared" si="5"/>
        <v>0</v>
      </c>
      <c r="W25" s="163">
        <f t="shared" si="6"/>
        <v>0</v>
      </c>
      <c r="X25" s="163">
        <f t="shared" si="7"/>
        <v>0</v>
      </c>
      <c r="Y25" s="163">
        <f t="shared" si="8"/>
        <v>0</v>
      </c>
      <c r="Z25" s="163">
        <f t="shared" si="9"/>
        <v>0</v>
      </c>
      <c r="AA25" s="163">
        <f t="shared" si="10"/>
        <v>0</v>
      </c>
      <c r="AB25" s="163">
        <f t="shared" si="11"/>
        <v>0</v>
      </c>
      <c r="AC25" s="163">
        <f t="shared" si="12"/>
        <v>0</v>
      </c>
      <c r="AD25" s="163"/>
      <c r="AE25" s="155" t="str">
        <f>+'2026 World Cup'!C28</f>
        <v>Jun 17, 2026</v>
      </c>
      <c r="AF25" s="155" t="str">
        <f t="shared" si="13"/>
        <v>England -</v>
      </c>
      <c r="AG25" s="155" t="str">
        <f t="shared" si="14"/>
        <v>Kroatia</v>
      </c>
      <c r="AH25" s="165">
        <f t="shared" si="17"/>
        <v>0.54545454545454541</v>
      </c>
      <c r="AI25" s="165">
        <f t="shared" si="17"/>
        <v>0.45454545454545453</v>
      </c>
      <c r="AJ25" s="165">
        <f t="shared" si="17"/>
        <v>0</v>
      </c>
      <c r="AK25" s="154"/>
      <c r="AL25" s="166"/>
      <c r="AN25" s="149" t="str">
        <f>+S3</f>
        <v>Simon</v>
      </c>
      <c r="AO25" s="202">
        <f>+S2</f>
        <v>5</v>
      </c>
      <c r="AP25"/>
    </row>
    <row r="26" spans="2:45" ht="12.75" customHeight="1" x14ac:dyDescent="0.25">
      <c r="B26" s="154">
        <f>+Resultater!B26</f>
        <v>23</v>
      </c>
      <c r="C26" s="155" t="str">
        <f>+'2026 World Cup'!E29</f>
        <v>Portugal</v>
      </c>
      <c r="D26" s="155" t="str">
        <f>+'2026 World Cup'!H29</f>
        <v>DR Kongo</v>
      </c>
      <c r="E26" s="160" t="s">
        <v>397</v>
      </c>
      <c r="F26" s="160" t="s">
        <v>397</v>
      </c>
      <c r="G26" s="160" t="s">
        <v>397</v>
      </c>
      <c r="H26" s="134" t="s">
        <v>397</v>
      </c>
      <c r="I26" s="134" t="s">
        <v>397</v>
      </c>
      <c r="J26" s="134" t="s">
        <v>397</v>
      </c>
      <c r="K26" s="160" t="s">
        <v>397</v>
      </c>
      <c r="L26" s="161" t="s">
        <v>397</v>
      </c>
      <c r="M26" s="161" t="s">
        <v>397</v>
      </c>
      <c r="N26" s="160" t="s">
        <v>397</v>
      </c>
      <c r="O26" s="160" t="s">
        <v>397</v>
      </c>
      <c r="P26" s="162" t="str">
        <f>+Resultater!E26</f>
        <v>U</v>
      </c>
      <c r="Q26" s="150">
        <v>1</v>
      </c>
      <c r="R26" s="154">
        <f t="shared" si="2"/>
        <v>23</v>
      </c>
      <c r="S26" s="163">
        <f t="shared" si="16"/>
        <v>0</v>
      </c>
      <c r="T26" s="163">
        <f t="shared" si="3"/>
        <v>0</v>
      </c>
      <c r="U26" s="163">
        <f t="shared" si="4"/>
        <v>0</v>
      </c>
      <c r="V26" s="163">
        <f t="shared" si="5"/>
        <v>0</v>
      </c>
      <c r="W26" s="163">
        <f t="shared" si="6"/>
        <v>0</v>
      </c>
      <c r="X26" s="163">
        <f t="shared" si="7"/>
        <v>0</v>
      </c>
      <c r="Y26" s="163">
        <f t="shared" si="8"/>
        <v>0</v>
      </c>
      <c r="Z26" s="163">
        <f t="shared" si="9"/>
        <v>0</v>
      </c>
      <c r="AA26" s="163">
        <f t="shared" si="10"/>
        <v>0</v>
      </c>
      <c r="AB26" s="163">
        <f t="shared" si="11"/>
        <v>0</v>
      </c>
      <c r="AC26" s="163">
        <f t="shared" si="12"/>
        <v>0</v>
      </c>
      <c r="AD26" s="163"/>
      <c r="AE26" s="155" t="str">
        <f>+'2026 World Cup'!C29</f>
        <v>Jun 17, 2026</v>
      </c>
      <c r="AF26" s="155" t="str">
        <f t="shared" si="13"/>
        <v>Portugal -</v>
      </c>
      <c r="AG26" s="155" t="str">
        <f t="shared" si="14"/>
        <v>DR Kongo</v>
      </c>
      <c r="AH26" s="165">
        <f t="shared" si="17"/>
        <v>1</v>
      </c>
      <c r="AI26" s="165">
        <f t="shared" si="17"/>
        <v>0</v>
      </c>
      <c r="AJ26" s="165">
        <f t="shared" si="17"/>
        <v>0</v>
      </c>
      <c r="AK26" s="154"/>
      <c r="AL26" s="166"/>
      <c r="AN26" s="149" t="str">
        <f>+Y3</f>
        <v>Jonas</v>
      </c>
      <c r="AO26" s="202">
        <f>+Y2</f>
        <v>4</v>
      </c>
    </row>
    <row r="27" spans="2:45" ht="12.75" customHeight="1" x14ac:dyDescent="0.25">
      <c r="B27" s="154">
        <f>+Resultater!B27</f>
        <v>24</v>
      </c>
      <c r="C27" s="155" t="str">
        <f>+'2026 World Cup'!E30</f>
        <v>Usbekistan</v>
      </c>
      <c r="D27" s="155" t="str">
        <f>+'2026 World Cup'!H30</f>
        <v>Colombia</v>
      </c>
      <c r="E27" s="160" t="s">
        <v>416</v>
      </c>
      <c r="F27" s="160" t="s">
        <v>384</v>
      </c>
      <c r="G27" s="160" t="s">
        <v>416</v>
      </c>
      <c r="H27" s="134" t="s">
        <v>416</v>
      </c>
      <c r="I27" s="134" t="s">
        <v>416</v>
      </c>
      <c r="J27" s="134" t="s">
        <v>416</v>
      </c>
      <c r="K27" s="160" t="s">
        <v>416</v>
      </c>
      <c r="L27" s="161" t="s">
        <v>416</v>
      </c>
      <c r="M27" s="161" t="s">
        <v>384</v>
      </c>
      <c r="N27" s="160" t="s">
        <v>416</v>
      </c>
      <c r="O27" s="160" t="s">
        <v>416</v>
      </c>
      <c r="P27" s="162" t="str">
        <f>+Resultater!E27</f>
        <v>U</v>
      </c>
      <c r="Q27" s="150">
        <v>1</v>
      </c>
      <c r="R27" s="154">
        <f t="shared" si="2"/>
        <v>24</v>
      </c>
      <c r="S27" s="163">
        <f t="shared" si="16"/>
        <v>0</v>
      </c>
      <c r="T27" s="163">
        <f t="shared" si="3"/>
        <v>0</v>
      </c>
      <c r="U27" s="163">
        <f t="shared" si="4"/>
        <v>0</v>
      </c>
      <c r="V27" s="163">
        <f t="shared" si="5"/>
        <v>0</v>
      </c>
      <c r="W27" s="163">
        <f t="shared" si="6"/>
        <v>0</v>
      </c>
      <c r="X27" s="163">
        <f t="shared" si="7"/>
        <v>0</v>
      </c>
      <c r="Y27" s="163">
        <f t="shared" si="8"/>
        <v>0</v>
      </c>
      <c r="Z27" s="163">
        <f t="shared" si="9"/>
        <v>0</v>
      </c>
      <c r="AA27" s="163">
        <f t="shared" si="10"/>
        <v>0</v>
      </c>
      <c r="AB27" s="163">
        <f t="shared" si="11"/>
        <v>0</v>
      </c>
      <c r="AC27" s="163">
        <f t="shared" si="12"/>
        <v>0</v>
      </c>
      <c r="AD27" s="163"/>
      <c r="AE27" s="155" t="str">
        <f>+'2026 World Cup'!C30</f>
        <v>Jun 18, 2026</v>
      </c>
      <c r="AF27" s="155" t="str">
        <f t="shared" si="13"/>
        <v>Usbekistan -</v>
      </c>
      <c r="AG27" s="155" t="str">
        <f t="shared" si="14"/>
        <v>Colombia</v>
      </c>
      <c r="AH27" s="165">
        <f t="shared" si="17"/>
        <v>0</v>
      </c>
      <c r="AI27" s="165">
        <f t="shared" si="17"/>
        <v>0.18181818181818182</v>
      </c>
      <c r="AJ27" s="165">
        <f t="shared" si="17"/>
        <v>0.81818181818181823</v>
      </c>
      <c r="AK27" s="154"/>
      <c r="AL27" s="166"/>
      <c r="AN27" s="149" t="str">
        <f>+U3</f>
        <v xml:space="preserve">Andrè </v>
      </c>
      <c r="AO27" s="202">
        <f>+U2</f>
        <v>4</v>
      </c>
      <c r="AP27"/>
    </row>
    <row r="28" spans="2:45" ht="12.75" customHeight="1" x14ac:dyDescent="0.25">
      <c r="B28" s="154">
        <f>+Resultater!B28</f>
        <v>25</v>
      </c>
      <c r="C28" s="155" t="str">
        <f>+'2026 World Cup'!E31</f>
        <v>Tsjekkia</v>
      </c>
      <c r="D28" s="155" t="str">
        <f>+'2026 World Cup'!H31</f>
        <v>Sør-Afrika</v>
      </c>
      <c r="E28" s="160" t="s">
        <v>397</v>
      </c>
      <c r="F28" s="160" t="s">
        <v>397</v>
      </c>
      <c r="G28" s="160" t="s">
        <v>397</v>
      </c>
      <c r="H28" s="134" t="s">
        <v>397</v>
      </c>
      <c r="I28" s="134" t="s">
        <v>397</v>
      </c>
      <c r="J28" s="134" t="s">
        <v>397</v>
      </c>
      <c r="K28" s="160" t="s">
        <v>384</v>
      </c>
      <c r="L28" s="161" t="s">
        <v>384</v>
      </c>
      <c r="M28" s="161" t="s">
        <v>416</v>
      </c>
      <c r="N28" s="160" t="s">
        <v>397</v>
      </c>
      <c r="O28" s="160" t="s">
        <v>397</v>
      </c>
      <c r="P28" s="162" t="str">
        <f>+Resultater!E28</f>
        <v>U</v>
      </c>
      <c r="Q28" s="150">
        <v>1</v>
      </c>
      <c r="R28" s="154">
        <f t="shared" si="2"/>
        <v>25</v>
      </c>
      <c r="S28" s="163">
        <f t="shared" si="16"/>
        <v>0</v>
      </c>
      <c r="T28" s="163">
        <f t="shared" si="3"/>
        <v>0</v>
      </c>
      <c r="U28" s="163">
        <f t="shared" si="4"/>
        <v>0</v>
      </c>
      <c r="V28" s="163">
        <f t="shared" si="5"/>
        <v>0</v>
      </c>
      <c r="W28" s="163">
        <f t="shared" si="6"/>
        <v>0</v>
      </c>
      <c r="X28" s="163">
        <f t="shared" si="7"/>
        <v>0</v>
      </c>
      <c r="Y28" s="163">
        <f t="shared" si="8"/>
        <v>0</v>
      </c>
      <c r="Z28" s="163">
        <f t="shared" si="9"/>
        <v>0</v>
      </c>
      <c r="AA28" s="163">
        <f t="shared" si="10"/>
        <v>0</v>
      </c>
      <c r="AB28" s="163">
        <f t="shared" si="11"/>
        <v>0</v>
      </c>
      <c r="AC28" s="163">
        <f t="shared" si="12"/>
        <v>0</v>
      </c>
      <c r="AD28" s="163"/>
      <c r="AE28" s="155" t="str">
        <f>+'2026 World Cup'!C31</f>
        <v>Jun 18, 2026</v>
      </c>
      <c r="AF28" s="155" t="str">
        <f t="shared" si="13"/>
        <v>Tsjekkia -</v>
      </c>
      <c r="AG28" s="155" t="str">
        <f t="shared" si="14"/>
        <v>Sør-Afrika</v>
      </c>
      <c r="AH28" s="165">
        <f t="shared" si="17"/>
        <v>0.72727272727272729</v>
      </c>
      <c r="AI28" s="165">
        <f t="shared" si="17"/>
        <v>0.18181818181818182</v>
      </c>
      <c r="AJ28" s="165">
        <f t="shared" si="17"/>
        <v>9.0909090909090912E-2</v>
      </c>
      <c r="AK28" s="154"/>
      <c r="AL28" s="166"/>
      <c r="AN28" s="149" t="str">
        <f>+V3</f>
        <v>Marius</v>
      </c>
      <c r="AO28" s="202">
        <f>+V2</f>
        <v>4</v>
      </c>
      <c r="AP28"/>
    </row>
    <row r="29" spans="2:45" ht="12.75" customHeight="1" x14ac:dyDescent="0.25">
      <c r="B29" s="154">
        <f>+Resultater!B29</f>
        <v>26</v>
      </c>
      <c r="C29" s="155" t="str">
        <f>+'2026 World Cup'!E32</f>
        <v>Sveits</v>
      </c>
      <c r="D29" s="155" t="str">
        <f>+'2026 World Cup'!H32</f>
        <v>Bosnia-Hercegovina</v>
      </c>
      <c r="E29" s="160" t="s">
        <v>397</v>
      </c>
      <c r="F29" s="160" t="s">
        <v>397</v>
      </c>
      <c r="G29" s="160" t="s">
        <v>384</v>
      </c>
      <c r="H29" s="134" t="s">
        <v>397</v>
      </c>
      <c r="I29" s="134" t="s">
        <v>397</v>
      </c>
      <c r="J29" s="134" t="s">
        <v>397</v>
      </c>
      <c r="K29" s="160" t="s">
        <v>397</v>
      </c>
      <c r="L29" s="161" t="s">
        <v>384</v>
      </c>
      <c r="M29" s="161" t="s">
        <v>397</v>
      </c>
      <c r="N29" s="160" t="s">
        <v>397</v>
      </c>
      <c r="O29" s="160" t="s">
        <v>397</v>
      </c>
      <c r="P29" s="162" t="str">
        <f>+Resultater!E29</f>
        <v>U</v>
      </c>
      <c r="Q29" s="150">
        <v>1</v>
      </c>
      <c r="R29" s="154">
        <f t="shared" si="2"/>
        <v>26</v>
      </c>
      <c r="S29" s="163">
        <f t="shared" si="16"/>
        <v>0</v>
      </c>
      <c r="T29" s="163">
        <f t="shared" si="3"/>
        <v>0</v>
      </c>
      <c r="U29" s="163">
        <f t="shared" si="4"/>
        <v>0</v>
      </c>
      <c r="V29" s="163">
        <f t="shared" si="5"/>
        <v>0</v>
      </c>
      <c r="W29" s="163">
        <f t="shared" si="6"/>
        <v>0</v>
      </c>
      <c r="X29" s="163">
        <f t="shared" si="7"/>
        <v>0</v>
      </c>
      <c r="Y29" s="163">
        <f t="shared" si="8"/>
        <v>0</v>
      </c>
      <c r="Z29" s="163">
        <f t="shared" si="9"/>
        <v>0</v>
      </c>
      <c r="AA29" s="163">
        <f t="shared" si="10"/>
        <v>0</v>
      </c>
      <c r="AB29" s="163">
        <f t="shared" si="11"/>
        <v>0</v>
      </c>
      <c r="AC29" s="163">
        <f t="shared" si="12"/>
        <v>0</v>
      </c>
      <c r="AD29" s="163"/>
      <c r="AE29" s="155" t="str">
        <f>+'2026 World Cup'!C32</f>
        <v>Jun 18, 2026</v>
      </c>
      <c r="AF29" s="155" t="str">
        <f t="shared" si="13"/>
        <v>Sveits -</v>
      </c>
      <c r="AG29" s="155" t="str">
        <f t="shared" si="14"/>
        <v>Bosnia-Hercegovina</v>
      </c>
      <c r="AH29" s="165">
        <f t="shared" si="17"/>
        <v>0.81818181818181823</v>
      </c>
      <c r="AI29" s="165">
        <f t="shared" si="17"/>
        <v>0.18181818181818182</v>
      </c>
      <c r="AJ29" s="165">
        <f t="shared" si="17"/>
        <v>0</v>
      </c>
      <c r="AK29" s="154"/>
      <c r="AL29" s="166"/>
      <c r="AN29" s="149" t="str">
        <f>+Z3</f>
        <v>Bjørn</v>
      </c>
      <c r="AO29" s="202">
        <f>+Z2</f>
        <v>4</v>
      </c>
    </row>
    <row r="30" spans="2:45" ht="12.75" customHeight="1" x14ac:dyDescent="0.25">
      <c r="B30" s="154">
        <f>+Resultater!B30</f>
        <v>27</v>
      </c>
      <c r="C30" s="155" t="str">
        <f>+'2026 World Cup'!E33</f>
        <v>Canada</v>
      </c>
      <c r="D30" s="155" t="str">
        <f>+'2026 World Cup'!H33</f>
        <v>Qatar</v>
      </c>
      <c r="E30" s="160" t="s">
        <v>397</v>
      </c>
      <c r="F30" s="160" t="s">
        <v>397</v>
      </c>
      <c r="G30" s="160" t="s">
        <v>384</v>
      </c>
      <c r="H30" s="134" t="s">
        <v>384</v>
      </c>
      <c r="I30" s="134" t="s">
        <v>397</v>
      </c>
      <c r="J30" s="134" t="s">
        <v>384</v>
      </c>
      <c r="K30" s="160" t="s">
        <v>397</v>
      </c>
      <c r="L30" s="161" t="s">
        <v>397</v>
      </c>
      <c r="M30" s="161" t="s">
        <v>397</v>
      </c>
      <c r="N30" s="160" t="s">
        <v>397</v>
      </c>
      <c r="O30" s="160" t="s">
        <v>397</v>
      </c>
      <c r="P30" s="162" t="str">
        <f>+Resultater!E30</f>
        <v>U</v>
      </c>
      <c r="Q30" s="150">
        <v>1</v>
      </c>
      <c r="R30" s="154">
        <f t="shared" si="2"/>
        <v>27</v>
      </c>
      <c r="S30" s="163">
        <f t="shared" si="16"/>
        <v>0</v>
      </c>
      <c r="T30" s="163">
        <f t="shared" si="3"/>
        <v>0</v>
      </c>
      <c r="U30" s="163">
        <f t="shared" si="4"/>
        <v>0</v>
      </c>
      <c r="V30" s="163">
        <f t="shared" si="5"/>
        <v>0</v>
      </c>
      <c r="W30" s="163">
        <f t="shared" si="6"/>
        <v>0</v>
      </c>
      <c r="X30" s="163">
        <f t="shared" si="7"/>
        <v>0</v>
      </c>
      <c r="Y30" s="163">
        <f t="shared" si="8"/>
        <v>0</v>
      </c>
      <c r="Z30" s="163">
        <f t="shared" si="9"/>
        <v>0</v>
      </c>
      <c r="AA30" s="163">
        <f t="shared" si="10"/>
        <v>0</v>
      </c>
      <c r="AB30" s="163">
        <f t="shared" si="11"/>
        <v>0</v>
      </c>
      <c r="AC30" s="163">
        <f t="shared" si="12"/>
        <v>0</v>
      </c>
      <c r="AD30" s="163"/>
      <c r="AE30" s="155" t="str">
        <f>+'2026 World Cup'!C33</f>
        <v>Jun 18, 2026</v>
      </c>
      <c r="AF30" s="155" t="str">
        <f t="shared" si="13"/>
        <v>Canada -</v>
      </c>
      <c r="AG30" s="155" t="str">
        <f t="shared" si="14"/>
        <v>Qatar</v>
      </c>
      <c r="AH30" s="165">
        <f t="shared" si="17"/>
        <v>0.72727272727272729</v>
      </c>
      <c r="AI30" s="165">
        <f t="shared" si="17"/>
        <v>0.27272727272727271</v>
      </c>
      <c r="AJ30" s="165">
        <f t="shared" si="17"/>
        <v>0</v>
      </c>
      <c r="AK30" s="154"/>
      <c r="AL30" s="166"/>
      <c r="AN30" s="149" t="str">
        <f>+AC3</f>
        <v>Arya</v>
      </c>
      <c r="AO30" s="202">
        <f>+AC2</f>
        <v>3</v>
      </c>
      <c r="AP30"/>
    </row>
    <row r="31" spans="2:45" ht="12.75" customHeight="1" x14ac:dyDescent="0.25">
      <c r="B31" s="154">
        <f>+Resultater!B31</f>
        <v>28</v>
      </c>
      <c r="C31" s="155" t="str">
        <f>+'2026 World Cup'!E34</f>
        <v>Mexico</v>
      </c>
      <c r="D31" s="155" t="str">
        <f>+'2026 World Cup'!H34</f>
        <v>Sør-Korea</v>
      </c>
      <c r="E31" s="160" t="s">
        <v>397</v>
      </c>
      <c r="F31" s="160" t="s">
        <v>397</v>
      </c>
      <c r="G31" s="160" t="s">
        <v>397</v>
      </c>
      <c r="H31" s="134" t="s">
        <v>384</v>
      </c>
      <c r="I31" s="134" t="s">
        <v>397</v>
      </c>
      <c r="J31" s="134" t="s">
        <v>397</v>
      </c>
      <c r="K31" s="160" t="s">
        <v>384</v>
      </c>
      <c r="L31" s="161" t="s">
        <v>397</v>
      </c>
      <c r="M31" s="161" t="s">
        <v>397</v>
      </c>
      <c r="N31" s="160" t="s">
        <v>397</v>
      </c>
      <c r="O31" s="160" t="s">
        <v>384</v>
      </c>
      <c r="P31" s="162" t="str">
        <f>+Resultater!E31</f>
        <v>U</v>
      </c>
      <c r="Q31" s="150">
        <v>1</v>
      </c>
      <c r="R31" s="154">
        <f t="shared" si="2"/>
        <v>28</v>
      </c>
      <c r="S31" s="163">
        <f t="shared" si="16"/>
        <v>0</v>
      </c>
      <c r="T31" s="163">
        <f t="shared" si="3"/>
        <v>0</v>
      </c>
      <c r="U31" s="163">
        <f t="shared" si="4"/>
        <v>0</v>
      </c>
      <c r="V31" s="163">
        <f t="shared" si="5"/>
        <v>0</v>
      </c>
      <c r="W31" s="163">
        <f t="shared" si="6"/>
        <v>0</v>
      </c>
      <c r="X31" s="163">
        <f t="shared" si="7"/>
        <v>0</v>
      </c>
      <c r="Y31" s="163">
        <f t="shared" si="8"/>
        <v>0</v>
      </c>
      <c r="Z31" s="163">
        <f t="shared" si="9"/>
        <v>0</v>
      </c>
      <c r="AA31" s="163">
        <f t="shared" si="10"/>
        <v>0</v>
      </c>
      <c r="AB31" s="163">
        <f t="shared" si="11"/>
        <v>0</v>
      </c>
      <c r="AC31" s="163">
        <f t="shared" si="12"/>
        <v>0</v>
      </c>
      <c r="AD31" s="163"/>
      <c r="AE31" s="155" t="str">
        <f>+'2026 World Cup'!C34</f>
        <v>Jun 19, 2026</v>
      </c>
      <c r="AF31" s="155" t="str">
        <f t="shared" si="13"/>
        <v>Mexico -</v>
      </c>
      <c r="AG31" s="155" t="str">
        <f t="shared" si="14"/>
        <v>Sør-Korea</v>
      </c>
      <c r="AH31" s="165">
        <f t="shared" si="17"/>
        <v>0.72727272727272729</v>
      </c>
      <c r="AI31" s="165">
        <f t="shared" si="17"/>
        <v>0.27272727272727271</v>
      </c>
      <c r="AJ31" s="165">
        <f t="shared" si="17"/>
        <v>0</v>
      </c>
      <c r="AK31" s="154"/>
      <c r="AL31" s="166"/>
      <c r="AN31" s="149" t="str">
        <f>+T3</f>
        <v>Ringstad</v>
      </c>
      <c r="AO31" s="202">
        <f>+T2</f>
        <v>3</v>
      </c>
    </row>
    <row r="32" spans="2:45" ht="12.75" customHeight="1" x14ac:dyDescent="0.25">
      <c r="B32" s="154">
        <f>+Resultater!B32</f>
        <v>29</v>
      </c>
      <c r="C32" s="155" t="str">
        <f>+'2026 World Cup'!E35</f>
        <v>Brasil</v>
      </c>
      <c r="D32" s="155" t="str">
        <f>+'2026 World Cup'!H35</f>
        <v>Haiti</v>
      </c>
      <c r="E32" s="160" t="s">
        <v>397</v>
      </c>
      <c r="F32" s="160" t="s">
        <v>397</v>
      </c>
      <c r="G32" s="160" t="s">
        <v>397</v>
      </c>
      <c r="H32" s="134" t="s">
        <v>397</v>
      </c>
      <c r="I32" s="134" t="s">
        <v>397</v>
      </c>
      <c r="J32" s="134" t="s">
        <v>397</v>
      </c>
      <c r="K32" s="160" t="s">
        <v>397</v>
      </c>
      <c r="L32" s="161" t="s">
        <v>397</v>
      </c>
      <c r="M32" s="161" t="s">
        <v>397</v>
      </c>
      <c r="N32" s="160" t="s">
        <v>397</v>
      </c>
      <c r="O32" s="160" t="s">
        <v>397</v>
      </c>
      <c r="P32" s="162" t="str">
        <f>+Resultater!E32</f>
        <v>U</v>
      </c>
      <c r="Q32" s="150">
        <v>1</v>
      </c>
      <c r="R32" s="154">
        <f t="shared" si="2"/>
        <v>29</v>
      </c>
      <c r="S32" s="163">
        <f t="shared" si="16"/>
        <v>0</v>
      </c>
      <c r="T32" s="163">
        <f t="shared" si="3"/>
        <v>0</v>
      </c>
      <c r="U32" s="163">
        <f t="shared" si="4"/>
        <v>0</v>
      </c>
      <c r="V32" s="163">
        <f t="shared" si="5"/>
        <v>0</v>
      </c>
      <c r="W32" s="163">
        <f t="shared" si="6"/>
        <v>0</v>
      </c>
      <c r="X32" s="163">
        <f t="shared" si="7"/>
        <v>0</v>
      </c>
      <c r="Y32" s="163">
        <f t="shared" si="8"/>
        <v>0</v>
      </c>
      <c r="Z32" s="163">
        <f t="shared" si="9"/>
        <v>0</v>
      </c>
      <c r="AA32" s="163">
        <f t="shared" si="10"/>
        <v>0</v>
      </c>
      <c r="AB32" s="163">
        <f t="shared" si="11"/>
        <v>0</v>
      </c>
      <c r="AC32" s="163">
        <f t="shared" si="12"/>
        <v>0</v>
      </c>
      <c r="AD32" s="163"/>
      <c r="AE32" s="155" t="str">
        <f>+'2026 World Cup'!C35</f>
        <v>Jun 20, 2026</v>
      </c>
      <c r="AF32" s="155" t="str">
        <f t="shared" si="13"/>
        <v>Brasil -</v>
      </c>
      <c r="AG32" s="155" t="str">
        <f t="shared" si="14"/>
        <v>Haiti</v>
      </c>
      <c r="AH32" s="165">
        <f t="shared" si="17"/>
        <v>1</v>
      </c>
      <c r="AI32" s="165">
        <f t="shared" si="17"/>
        <v>0</v>
      </c>
      <c r="AJ32" s="165">
        <f t="shared" si="17"/>
        <v>0</v>
      </c>
      <c r="AK32" s="154"/>
      <c r="AL32" s="166"/>
      <c r="AN32" s="149" t="str">
        <f>+W3</f>
        <v>Tobias</v>
      </c>
      <c r="AO32" s="202">
        <f>+W2</f>
        <v>3</v>
      </c>
      <c r="AP32"/>
    </row>
    <row r="33" spans="2:42" ht="12.75" customHeight="1" x14ac:dyDescent="0.25">
      <c r="B33" s="154">
        <f>+Resultater!B33</f>
        <v>30</v>
      </c>
      <c r="C33" s="155" t="str">
        <f>+'2026 World Cup'!E36</f>
        <v>Skottland</v>
      </c>
      <c r="D33" s="155" t="str">
        <f>+'2026 World Cup'!H36</f>
        <v>Marokko</v>
      </c>
      <c r="E33" s="160" t="s">
        <v>416</v>
      </c>
      <c r="F33" s="160" t="s">
        <v>416</v>
      </c>
      <c r="G33" s="160" t="s">
        <v>416</v>
      </c>
      <c r="H33" s="134" t="s">
        <v>416</v>
      </c>
      <c r="I33" s="134" t="s">
        <v>384</v>
      </c>
      <c r="J33" s="134" t="s">
        <v>416</v>
      </c>
      <c r="K33" s="160" t="s">
        <v>416</v>
      </c>
      <c r="L33" s="161" t="s">
        <v>416</v>
      </c>
      <c r="M33" s="161" t="s">
        <v>416</v>
      </c>
      <c r="N33" s="160" t="s">
        <v>416</v>
      </c>
      <c r="O33" s="160" t="s">
        <v>384</v>
      </c>
      <c r="P33" s="162" t="str">
        <f>+Resultater!E33</f>
        <v>U</v>
      </c>
      <c r="Q33" s="150">
        <v>1</v>
      </c>
      <c r="R33" s="154">
        <f t="shared" si="2"/>
        <v>30</v>
      </c>
      <c r="S33" s="163">
        <f t="shared" si="16"/>
        <v>0</v>
      </c>
      <c r="T33" s="163">
        <f t="shared" si="3"/>
        <v>0</v>
      </c>
      <c r="U33" s="163">
        <f t="shared" si="4"/>
        <v>0</v>
      </c>
      <c r="V33" s="163">
        <f t="shared" si="5"/>
        <v>0</v>
      </c>
      <c r="W33" s="163">
        <f t="shared" si="6"/>
        <v>0</v>
      </c>
      <c r="X33" s="163">
        <f t="shared" si="7"/>
        <v>0</v>
      </c>
      <c r="Y33" s="163">
        <f t="shared" si="8"/>
        <v>0</v>
      </c>
      <c r="Z33" s="163">
        <f t="shared" si="9"/>
        <v>0</v>
      </c>
      <c r="AA33" s="163">
        <f t="shared" si="10"/>
        <v>0</v>
      </c>
      <c r="AB33" s="163">
        <f t="shared" si="11"/>
        <v>0</v>
      </c>
      <c r="AC33" s="163">
        <f t="shared" si="12"/>
        <v>0</v>
      </c>
      <c r="AD33" s="163"/>
      <c r="AE33" s="155" t="str">
        <f>+'2026 World Cup'!C36</f>
        <v>Jun 19, 2026</v>
      </c>
      <c r="AF33" s="155" t="str">
        <f t="shared" si="13"/>
        <v>Skottland -</v>
      </c>
      <c r="AG33" s="155" t="str">
        <f t="shared" si="14"/>
        <v>Marokko</v>
      </c>
      <c r="AH33" s="165">
        <f t="shared" si="17"/>
        <v>0</v>
      </c>
      <c r="AI33" s="165">
        <f t="shared" si="17"/>
        <v>0.18181818181818182</v>
      </c>
      <c r="AJ33" s="165">
        <f t="shared" si="17"/>
        <v>0.81818181818181823</v>
      </c>
      <c r="AK33" s="154"/>
      <c r="AL33" s="166"/>
      <c r="AN33" s="149" t="str">
        <f>+X3</f>
        <v>Håkon</v>
      </c>
      <c r="AO33" s="202">
        <f>+X2</f>
        <v>3</v>
      </c>
      <c r="AP33"/>
    </row>
    <row r="34" spans="2:42" ht="12.75" customHeight="1" x14ac:dyDescent="0.25">
      <c r="B34" s="154">
        <f>+Resultater!B34</f>
        <v>31</v>
      </c>
      <c r="C34" s="155" t="str">
        <f>+'2026 World Cup'!E37</f>
        <v>USA</v>
      </c>
      <c r="D34" s="155" t="str">
        <f>+'2026 World Cup'!H37</f>
        <v>Australia</v>
      </c>
      <c r="E34" s="160" t="s">
        <v>397</v>
      </c>
      <c r="F34" s="160" t="s">
        <v>397</v>
      </c>
      <c r="G34" s="160" t="s">
        <v>397</v>
      </c>
      <c r="H34" s="134" t="s">
        <v>384</v>
      </c>
      <c r="I34" s="134" t="s">
        <v>397</v>
      </c>
      <c r="J34" s="134" t="s">
        <v>397</v>
      </c>
      <c r="K34" s="160" t="s">
        <v>397</v>
      </c>
      <c r="L34" s="161" t="s">
        <v>397</v>
      </c>
      <c r="M34" s="161" t="s">
        <v>384</v>
      </c>
      <c r="N34" s="160" t="s">
        <v>397</v>
      </c>
      <c r="O34" s="160" t="s">
        <v>397</v>
      </c>
      <c r="P34" s="162" t="str">
        <f>+Resultater!E34</f>
        <v>U</v>
      </c>
      <c r="Q34" s="150">
        <v>1</v>
      </c>
      <c r="R34" s="154">
        <f t="shared" si="2"/>
        <v>31</v>
      </c>
      <c r="S34" s="163">
        <f t="shared" si="16"/>
        <v>0</v>
      </c>
      <c r="T34" s="163">
        <f t="shared" si="3"/>
        <v>0</v>
      </c>
      <c r="U34" s="163">
        <f t="shared" si="4"/>
        <v>0</v>
      </c>
      <c r="V34" s="163">
        <f t="shared" si="5"/>
        <v>0</v>
      </c>
      <c r="W34" s="163">
        <f t="shared" si="6"/>
        <v>0</v>
      </c>
      <c r="X34" s="163">
        <f t="shared" si="7"/>
        <v>0</v>
      </c>
      <c r="Y34" s="163">
        <f t="shared" si="8"/>
        <v>0</v>
      </c>
      <c r="Z34" s="163">
        <f t="shared" si="9"/>
        <v>0</v>
      </c>
      <c r="AA34" s="163">
        <f t="shared" si="10"/>
        <v>0</v>
      </c>
      <c r="AB34" s="163">
        <f t="shared" si="11"/>
        <v>0</v>
      </c>
      <c r="AC34" s="163">
        <f t="shared" si="12"/>
        <v>0</v>
      </c>
      <c r="AD34" s="163"/>
      <c r="AE34" s="155" t="str">
        <f>+'2026 World Cup'!C37</f>
        <v>Jun 20, 2026</v>
      </c>
      <c r="AF34" s="155" t="str">
        <f t="shared" si="13"/>
        <v>USA -</v>
      </c>
      <c r="AG34" s="155" t="str">
        <f t="shared" si="14"/>
        <v>Australia</v>
      </c>
      <c r="AH34" s="165">
        <f t="shared" si="17"/>
        <v>0.81818181818181823</v>
      </c>
      <c r="AI34" s="165">
        <f t="shared" si="17"/>
        <v>0.18181818181818182</v>
      </c>
      <c r="AJ34" s="165">
        <f t="shared" si="17"/>
        <v>0</v>
      </c>
      <c r="AK34" s="154"/>
      <c r="AL34" s="166"/>
      <c r="AN34" s="149" t="str">
        <f>+AB3</f>
        <v>Øystein</v>
      </c>
      <c r="AO34" s="202">
        <f>+AB2</f>
        <v>3</v>
      </c>
    </row>
    <row r="35" spans="2:42" ht="12.75" customHeight="1" x14ac:dyDescent="0.25">
      <c r="B35" s="154">
        <f>+Resultater!B35</f>
        <v>32</v>
      </c>
      <c r="C35" s="155" t="str">
        <f>+'2026 World Cup'!E38</f>
        <v>Tyrkia</v>
      </c>
      <c r="D35" s="155" t="str">
        <f>+'2026 World Cup'!H38</f>
        <v>Paraguay</v>
      </c>
      <c r="E35" s="160" t="s">
        <v>397</v>
      </c>
      <c r="F35" s="160" t="s">
        <v>384</v>
      </c>
      <c r="G35" s="160" t="s">
        <v>397</v>
      </c>
      <c r="H35" s="134" t="s">
        <v>397</v>
      </c>
      <c r="I35" s="134" t="s">
        <v>397</v>
      </c>
      <c r="J35" s="134" t="s">
        <v>384</v>
      </c>
      <c r="K35" s="160" t="s">
        <v>397</v>
      </c>
      <c r="L35" s="161" t="s">
        <v>384</v>
      </c>
      <c r="M35" s="161" t="s">
        <v>384</v>
      </c>
      <c r="N35" s="160" t="s">
        <v>397</v>
      </c>
      <c r="O35" s="160" t="s">
        <v>397</v>
      </c>
      <c r="P35" s="162" t="str">
        <f>+Resultater!E35</f>
        <v>U</v>
      </c>
      <c r="Q35" s="150">
        <v>1</v>
      </c>
      <c r="R35" s="154">
        <f t="shared" si="2"/>
        <v>32</v>
      </c>
      <c r="S35" s="163">
        <f t="shared" si="16"/>
        <v>0</v>
      </c>
      <c r="T35" s="163">
        <f t="shared" si="3"/>
        <v>0</v>
      </c>
      <c r="U35" s="163">
        <f t="shared" si="4"/>
        <v>0</v>
      </c>
      <c r="V35" s="163">
        <f t="shared" si="5"/>
        <v>0</v>
      </c>
      <c r="W35" s="163">
        <f t="shared" si="6"/>
        <v>0</v>
      </c>
      <c r="X35" s="163">
        <f t="shared" si="7"/>
        <v>0</v>
      </c>
      <c r="Y35" s="163">
        <f t="shared" si="8"/>
        <v>0</v>
      </c>
      <c r="Z35" s="163">
        <f t="shared" si="9"/>
        <v>0</v>
      </c>
      <c r="AA35" s="163">
        <f t="shared" si="10"/>
        <v>0</v>
      </c>
      <c r="AB35" s="163">
        <f t="shared" si="11"/>
        <v>0</v>
      </c>
      <c r="AC35" s="163">
        <f t="shared" si="12"/>
        <v>0</v>
      </c>
      <c r="AD35" s="163"/>
      <c r="AE35" s="155" t="str">
        <f>+'2026 World Cup'!C38</f>
        <v>Jun 19, 2026</v>
      </c>
      <c r="AF35" s="155" t="str">
        <f t="shared" si="13"/>
        <v>Tyrkia -</v>
      </c>
      <c r="AG35" s="155" t="str">
        <f t="shared" si="14"/>
        <v>Paraguay</v>
      </c>
      <c r="AH35" s="165">
        <f t="shared" si="17"/>
        <v>0.63636363636363635</v>
      </c>
      <c r="AI35" s="165">
        <f t="shared" si="17"/>
        <v>0.36363636363636365</v>
      </c>
      <c r="AJ35" s="165">
        <f t="shared" si="17"/>
        <v>0</v>
      </c>
      <c r="AK35" s="154"/>
      <c r="AL35" s="166"/>
      <c r="AN35" s="149" t="str">
        <f>+AA3</f>
        <v>Robin</v>
      </c>
      <c r="AO35" s="202">
        <f>+AA2</f>
        <v>2</v>
      </c>
      <c r="AP35"/>
    </row>
    <row r="36" spans="2:42" ht="12.75" customHeight="1" x14ac:dyDescent="0.25">
      <c r="B36" s="154">
        <f>+Resultater!B36</f>
        <v>33</v>
      </c>
      <c r="C36" s="155" t="str">
        <f>+'2026 World Cup'!E39</f>
        <v>Tyskland</v>
      </c>
      <c r="D36" s="155" t="str">
        <f>+'2026 World Cup'!H39</f>
        <v>Elfenbenskysten</v>
      </c>
      <c r="E36" s="160" t="s">
        <v>397</v>
      </c>
      <c r="F36" s="160" t="s">
        <v>397</v>
      </c>
      <c r="G36" s="160" t="s">
        <v>397</v>
      </c>
      <c r="H36" s="134" t="s">
        <v>397</v>
      </c>
      <c r="I36" s="134" t="s">
        <v>397</v>
      </c>
      <c r="J36" s="134" t="s">
        <v>384</v>
      </c>
      <c r="K36" s="160" t="s">
        <v>397</v>
      </c>
      <c r="L36" s="161" t="s">
        <v>397</v>
      </c>
      <c r="M36" s="161" t="s">
        <v>384</v>
      </c>
      <c r="N36" s="160" t="s">
        <v>397</v>
      </c>
      <c r="O36" s="160" t="s">
        <v>397</v>
      </c>
      <c r="P36" s="162" t="str">
        <f>+Resultater!E36</f>
        <v>U</v>
      </c>
      <c r="Q36" s="150">
        <v>1</v>
      </c>
      <c r="R36" s="154">
        <f t="shared" si="2"/>
        <v>33</v>
      </c>
      <c r="S36" s="163">
        <f t="shared" si="16"/>
        <v>0</v>
      </c>
      <c r="T36" s="163">
        <f t="shared" si="3"/>
        <v>0</v>
      </c>
      <c r="U36" s="163">
        <f t="shared" si="4"/>
        <v>0</v>
      </c>
      <c r="V36" s="163">
        <f t="shared" si="5"/>
        <v>0</v>
      </c>
      <c r="W36" s="163">
        <f t="shared" si="6"/>
        <v>0</v>
      </c>
      <c r="X36" s="163">
        <f t="shared" si="7"/>
        <v>0</v>
      </c>
      <c r="Y36" s="163">
        <f t="shared" si="8"/>
        <v>0</v>
      </c>
      <c r="Z36" s="163">
        <f t="shared" si="9"/>
        <v>0</v>
      </c>
      <c r="AA36" s="163">
        <f t="shared" si="10"/>
        <v>0</v>
      </c>
      <c r="AB36" s="163">
        <f t="shared" si="11"/>
        <v>0</v>
      </c>
      <c r="AC36" s="163">
        <f t="shared" si="12"/>
        <v>0</v>
      </c>
      <c r="AD36" s="163"/>
      <c r="AE36" s="155" t="str">
        <f>+'2026 World Cup'!C39</f>
        <v>Jun 20, 2026</v>
      </c>
      <c r="AF36" s="155" t="str">
        <f t="shared" ref="AF36:AF67" si="18">+C36&amp;" -"</f>
        <v>Tyskland -</v>
      </c>
      <c r="AG36" s="155" t="str">
        <f t="shared" ref="AG36:AG67" si="19">+D36</f>
        <v>Elfenbenskysten</v>
      </c>
      <c r="AH36" s="165">
        <f t="shared" si="17"/>
        <v>0.81818181818181823</v>
      </c>
      <c r="AI36" s="165">
        <f t="shared" si="17"/>
        <v>0.18181818181818182</v>
      </c>
      <c r="AJ36" s="165">
        <f t="shared" si="17"/>
        <v>0</v>
      </c>
      <c r="AK36" s="154"/>
      <c r="AL36" s="166"/>
      <c r="AN36"/>
      <c r="AO36"/>
      <c r="AP36"/>
    </row>
    <row r="37" spans="2:42" ht="12.75" customHeight="1" x14ac:dyDescent="0.25">
      <c r="B37" s="154">
        <f>+Resultater!B37</f>
        <v>34</v>
      </c>
      <c r="C37" s="155" t="str">
        <f>+'2026 World Cup'!E40</f>
        <v>Ecuador</v>
      </c>
      <c r="D37" s="155" t="str">
        <f>+'2026 World Cup'!H40</f>
        <v>Curaçao</v>
      </c>
      <c r="E37" s="160" t="s">
        <v>397</v>
      </c>
      <c r="F37" s="160" t="s">
        <v>397</v>
      </c>
      <c r="G37" s="160" t="s">
        <v>397</v>
      </c>
      <c r="H37" s="134" t="s">
        <v>397</v>
      </c>
      <c r="I37" s="134" t="s">
        <v>397</v>
      </c>
      <c r="J37" s="134" t="s">
        <v>397</v>
      </c>
      <c r="K37" s="160" t="s">
        <v>397</v>
      </c>
      <c r="L37" s="161" t="s">
        <v>397</v>
      </c>
      <c r="M37" s="161" t="s">
        <v>397</v>
      </c>
      <c r="N37" s="160" t="s">
        <v>397</v>
      </c>
      <c r="O37" s="160" t="s">
        <v>397</v>
      </c>
      <c r="P37" s="162" t="str">
        <f>+Resultater!E37</f>
        <v>U</v>
      </c>
      <c r="Q37" s="150">
        <v>1</v>
      </c>
      <c r="R37" s="154">
        <f t="shared" si="2"/>
        <v>34</v>
      </c>
      <c r="S37" s="163">
        <f t="shared" si="16"/>
        <v>0</v>
      </c>
      <c r="T37" s="163">
        <f t="shared" si="3"/>
        <v>0</v>
      </c>
      <c r="U37" s="163">
        <f t="shared" si="4"/>
        <v>0</v>
      </c>
      <c r="V37" s="163">
        <f t="shared" si="5"/>
        <v>0</v>
      </c>
      <c r="W37" s="163">
        <f t="shared" si="6"/>
        <v>0</v>
      </c>
      <c r="X37" s="163">
        <f t="shared" si="7"/>
        <v>0</v>
      </c>
      <c r="Y37" s="163">
        <f t="shared" si="8"/>
        <v>0</v>
      </c>
      <c r="Z37" s="163">
        <f t="shared" si="9"/>
        <v>0</v>
      </c>
      <c r="AA37" s="163">
        <f t="shared" si="10"/>
        <v>0</v>
      </c>
      <c r="AB37" s="163">
        <f t="shared" si="11"/>
        <v>0</v>
      </c>
      <c r="AC37" s="163">
        <f t="shared" si="12"/>
        <v>0</v>
      </c>
      <c r="AD37" s="163"/>
      <c r="AE37" s="155" t="str">
        <f>+'2026 World Cup'!C40</f>
        <v>Jun 21, 2026</v>
      </c>
      <c r="AF37" s="155" t="str">
        <f t="shared" si="18"/>
        <v>Ecuador -</v>
      </c>
      <c r="AG37" s="155" t="str">
        <f t="shared" si="19"/>
        <v>Curaçao</v>
      </c>
      <c r="AH37" s="165">
        <f t="shared" si="17"/>
        <v>1</v>
      </c>
      <c r="AI37" s="165">
        <f t="shared" si="17"/>
        <v>0</v>
      </c>
      <c r="AJ37" s="165">
        <f t="shared" si="17"/>
        <v>0</v>
      </c>
      <c r="AK37" s="154"/>
      <c r="AL37" s="166"/>
      <c r="AN37"/>
      <c r="AO37"/>
      <c r="AP37"/>
    </row>
    <row r="38" spans="2:42" ht="12.75" customHeight="1" x14ac:dyDescent="0.25">
      <c r="B38" s="154">
        <f>+Resultater!B38</f>
        <v>35</v>
      </c>
      <c r="C38" s="155" t="str">
        <f>+'2026 World Cup'!E41</f>
        <v>Nederland</v>
      </c>
      <c r="D38" s="155" t="str">
        <f>+'2026 World Cup'!H41</f>
        <v>Sverige</v>
      </c>
      <c r="E38" s="160" t="s">
        <v>397</v>
      </c>
      <c r="F38" s="160" t="s">
        <v>397</v>
      </c>
      <c r="G38" s="160" t="s">
        <v>397</v>
      </c>
      <c r="H38" s="134" t="s">
        <v>397</v>
      </c>
      <c r="I38" s="134" t="s">
        <v>416</v>
      </c>
      <c r="J38" s="134" t="s">
        <v>397</v>
      </c>
      <c r="K38" s="160" t="s">
        <v>397</v>
      </c>
      <c r="L38" s="161" t="s">
        <v>397</v>
      </c>
      <c r="M38" s="161" t="s">
        <v>384</v>
      </c>
      <c r="N38" s="160" t="s">
        <v>397</v>
      </c>
      <c r="O38" s="160" t="s">
        <v>397</v>
      </c>
      <c r="P38" s="162" t="str">
        <f>+Resultater!E38</f>
        <v>U</v>
      </c>
      <c r="Q38" s="150">
        <v>1</v>
      </c>
      <c r="R38" s="154">
        <f t="shared" si="2"/>
        <v>35</v>
      </c>
      <c r="S38" s="163">
        <f t="shared" si="16"/>
        <v>0</v>
      </c>
      <c r="T38" s="163">
        <f t="shared" si="3"/>
        <v>0</v>
      </c>
      <c r="U38" s="163">
        <f t="shared" si="4"/>
        <v>0</v>
      </c>
      <c r="V38" s="163">
        <f t="shared" si="5"/>
        <v>0</v>
      </c>
      <c r="W38" s="163">
        <f t="shared" si="6"/>
        <v>0</v>
      </c>
      <c r="X38" s="163">
        <f t="shared" si="7"/>
        <v>0</v>
      </c>
      <c r="Y38" s="163">
        <f t="shared" si="8"/>
        <v>0</v>
      </c>
      <c r="Z38" s="163">
        <f t="shared" si="9"/>
        <v>0</v>
      </c>
      <c r="AA38" s="163">
        <f t="shared" si="10"/>
        <v>0</v>
      </c>
      <c r="AB38" s="163">
        <f t="shared" si="11"/>
        <v>0</v>
      </c>
      <c r="AC38" s="163">
        <f t="shared" si="12"/>
        <v>0</v>
      </c>
      <c r="AD38" s="163"/>
      <c r="AE38" s="155" t="str">
        <f>+'2026 World Cup'!C41</f>
        <v>Jun 20, 2026</v>
      </c>
      <c r="AF38" s="155" t="str">
        <f t="shared" si="18"/>
        <v>Nederland -</v>
      </c>
      <c r="AG38" s="155" t="str">
        <f t="shared" si="19"/>
        <v>Sverige</v>
      </c>
      <c r="AH38" s="165">
        <f t="shared" si="17"/>
        <v>0.81818181818181823</v>
      </c>
      <c r="AI38" s="165">
        <f t="shared" si="17"/>
        <v>9.0909090909090912E-2</v>
      </c>
      <c r="AJ38" s="165">
        <f t="shared" si="17"/>
        <v>9.0909090909090912E-2</v>
      </c>
      <c r="AK38" s="154"/>
      <c r="AL38" s="166"/>
      <c r="AN38"/>
      <c r="AO38"/>
      <c r="AP38"/>
    </row>
    <row r="39" spans="2:42" ht="12.75" customHeight="1" x14ac:dyDescent="0.25">
      <c r="B39" s="154">
        <f>+Resultater!B39</f>
        <v>36</v>
      </c>
      <c r="C39" s="155" t="str">
        <f>+'2026 World Cup'!E42</f>
        <v>Tunisia</v>
      </c>
      <c r="D39" s="155" t="str">
        <f>+'2026 World Cup'!H42</f>
        <v>Japan</v>
      </c>
      <c r="E39" s="160" t="s">
        <v>416</v>
      </c>
      <c r="F39" s="160" t="s">
        <v>416</v>
      </c>
      <c r="G39" s="160" t="s">
        <v>384</v>
      </c>
      <c r="H39" s="134" t="s">
        <v>416</v>
      </c>
      <c r="I39" s="134" t="s">
        <v>384</v>
      </c>
      <c r="J39" s="134" t="s">
        <v>416</v>
      </c>
      <c r="K39" s="160" t="s">
        <v>384</v>
      </c>
      <c r="L39" s="161" t="s">
        <v>416</v>
      </c>
      <c r="M39" s="161" t="s">
        <v>416</v>
      </c>
      <c r="N39" s="160" t="s">
        <v>384</v>
      </c>
      <c r="O39" s="160" t="s">
        <v>416</v>
      </c>
      <c r="P39" s="162" t="str">
        <f>+Resultater!E39</f>
        <v>U</v>
      </c>
      <c r="Q39" s="150">
        <v>1</v>
      </c>
      <c r="R39" s="154">
        <f t="shared" si="2"/>
        <v>36</v>
      </c>
      <c r="S39" s="163">
        <f t="shared" si="16"/>
        <v>0</v>
      </c>
      <c r="T39" s="163">
        <f t="shared" si="3"/>
        <v>0</v>
      </c>
      <c r="U39" s="163">
        <f t="shared" si="4"/>
        <v>0</v>
      </c>
      <c r="V39" s="163">
        <f t="shared" si="5"/>
        <v>0</v>
      </c>
      <c r="W39" s="163">
        <f t="shared" si="6"/>
        <v>0</v>
      </c>
      <c r="X39" s="163">
        <f t="shared" si="7"/>
        <v>0</v>
      </c>
      <c r="Y39" s="163">
        <f t="shared" si="8"/>
        <v>0</v>
      </c>
      <c r="Z39" s="163">
        <f t="shared" si="9"/>
        <v>0</v>
      </c>
      <c r="AA39" s="163">
        <f t="shared" si="10"/>
        <v>0</v>
      </c>
      <c r="AB39" s="163">
        <f t="shared" si="11"/>
        <v>0</v>
      </c>
      <c r="AC39" s="163">
        <f t="shared" si="12"/>
        <v>0</v>
      </c>
      <c r="AD39" s="163"/>
      <c r="AE39" s="155" t="str">
        <f>+'2026 World Cup'!C42</f>
        <v>Jun 21, 2026</v>
      </c>
      <c r="AF39" s="155" t="str">
        <f t="shared" si="18"/>
        <v>Tunisia -</v>
      </c>
      <c r="AG39" s="155" t="str">
        <f t="shared" si="19"/>
        <v>Japan</v>
      </c>
      <c r="AH39" s="165">
        <f t="shared" si="17"/>
        <v>0</v>
      </c>
      <c r="AI39" s="165">
        <f t="shared" si="17"/>
        <v>0.36363636363636365</v>
      </c>
      <c r="AJ39" s="165">
        <f t="shared" si="17"/>
        <v>0.63636363636363635</v>
      </c>
      <c r="AK39" s="154"/>
      <c r="AL39" s="166"/>
      <c r="AN39"/>
      <c r="AO39"/>
      <c r="AP39"/>
    </row>
    <row r="40" spans="2:42" ht="12.75" customHeight="1" x14ac:dyDescent="0.25">
      <c r="B40" s="154">
        <f>+Resultater!B40</f>
        <v>37</v>
      </c>
      <c r="C40" s="155" t="str">
        <f>+'2026 World Cup'!E43</f>
        <v>Uruguay</v>
      </c>
      <c r="D40" s="155" t="str">
        <f>+'2026 World Cup'!H43</f>
        <v>Kapp Verde</v>
      </c>
      <c r="E40" s="160" t="s">
        <v>397</v>
      </c>
      <c r="F40" s="160" t="s">
        <v>397</v>
      </c>
      <c r="G40" s="160" t="s">
        <v>397</v>
      </c>
      <c r="H40" s="134" t="s">
        <v>397</v>
      </c>
      <c r="I40" s="134" t="s">
        <v>397</v>
      </c>
      <c r="J40" s="134" t="s">
        <v>397</v>
      </c>
      <c r="K40" s="160" t="s">
        <v>397</v>
      </c>
      <c r="L40" s="161" t="s">
        <v>397</v>
      </c>
      <c r="M40" s="161" t="s">
        <v>384</v>
      </c>
      <c r="N40" s="160" t="s">
        <v>397</v>
      </c>
      <c r="O40" s="160" t="s">
        <v>397</v>
      </c>
      <c r="P40" s="162" t="str">
        <f>+Resultater!E40</f>
        <v>U</v>
      </c>
      <c r="Q40" s="150">
        <v>1</v>
      </c>
      <c r="R40" s="154">
        <f t="shared" si="2"/>
        <v>37</v>
      </c>
      <c r="S40" s="163">
        <f t="shared" si="16"/>
        <v>0</v>
      </c>
      <c r="T40" s="163">
        <f t="shared" si="3"/>
        <v>0</v>
      </c>
      <c r="U40" s="163">
        <f t="shared" si="4"/>
        <v>0</v>
      </c>
      <c r="V40" s="163">
        <f t="shared" si="5"/>
        <v>0</v>
      </c>
      <c r="W40" s="163">
        <f t="shared" si="6"/>
        <v>0</v>
      </c>
      <c r="X40" s="163">
        <f t="shared" si="7"/>
        <v>0</v>
      </c>
      <c r="Y40" s="163">
        <f t="shared" si="8"/>
        <v>0</v>
      </c>
      <c r="Z40" s="163">
        <f t="shared" si="9"/>
        <v>0</v>
      </c>
      <c r="AA40" s="163">
        <f t="shared" si="10"/>
        <v>0</v>
      </c>
      <c r="AB40" s="163">
        <f t="shared" si="11"/>
        <v>0</v>
      </c>
      <c r="AC40" s="163">
        <f t="shared" si="12"/>
        <v>0</v>
      </c>
      <c r="AD40" s="163"/>
      <c r="AE40" s="155" t="str">
        <f>+'2026 World Cup'!C43</f>
        <v>Jun 21, 2026</v>
      </c>
      <c r="AF40" s="155" t="str">
        <f t="shared" si="18"/>
        <v>Uruguay -</v>
      </c>
      <c r="AG40" s="155" t="str">
        <f t="shared" si="19"/>
        <v>Kapp Verde</v>
      </c>
      <c r="AH40" s="165">
        <f t="shared" si="17"/>
        <v>0.90909090909090906</v>
      </c>
      <c r="AI40" s="165">
        <f t="shared" si="17"/>
        <v>9.0909090909090912E-2</v>
      </c>
      <c r="AJ40" s="165">
        <f t="shared" si="17"/>
        <v>0</v>
      </c>
      <c r="AK40" s="154"/>
      <c r="AL40" s="166"/>
      <c r="AN40"/>
      <c r="AO40"/>
      <c r="AP40"/>
    </row>
    <row r="41" spans="2:42" ht="12.75" customHeight="1" x14ac:dyDescent="0.25">
      <c r="B41" s="154">
        <f>+Resultater!B41</f>
        <v>38</v>
      </c>
      <c r="C41" s="155" t="str">
        <f>+'2026 World Cup'!E44</f>
        <v>Spania</v>
      </c>
      <c r="D41" s="155" t="str">
        <f>+'2026 World Cup'!H44</f>
        <v>Saudi-Arabia</v>
      </c>
      <c r="E41" s="160" t="s">
        <v>397</v>
      </c>
      <c r="F41" s="160" t="s">
        <v>397</v>
      </c>
      <c r="G41" s="160" t="s">
        <v>397</v>
      </c>
      <c r="H41" s="134" t="s">
        <v>397</v>
      </c>
      <c r="I41" s="134" t="s">
        <v>397</v>
      </c>
      <c r="J41" s="134" t="s">
        <v>397</v>
      </c>
      <c r="K41" s="160" t="s">
        <v>397</v>
      </c>
      <c r="L41" s="161" t="s">
        <v>397</v>
      </c>
      <c r="M41" s="161" t="s">
        <v>397</v>
      </c>
      <c r="N41" s="160" t="s">
        <v>397</v>
      </c>
      <c r="O41" s="160" t="s">
        <v>397</v>
      </c>
      <c r="P41" s="162" t="str">
        <f>+Resultater!E41</f>
        <v>U</v>
      </c>
      <c r="Q41" s="150">
        <v>1</v>
      </c>
      <c r="R41" s="154">
        <f t="shared" si="2"/>
        <v>38</v>
      </c>
      <c r="S41" s="163">
        <f t="shared" si="16"/>
        <v>0</v>
      </c>
      <c r="T41" s="163">
        <f t="shared" si="3"/>
        <v>0</v>
      </c>
      <c r="U41" s="163">
        <f t="shared" si="4"/>
        <v>0</v>
      </c>
      <c r="V41" s="163">
        <f t="shared" si="5"/>
        <v>0</v>
      </c>
      <c r="W41" s="163">
        <f t="shared" si="6"/>
        <v>0</v>
      </c>
      <c r="X41" s="163">
        <f t="shared" si="7"/>
        <v>0</v>
      </c>
      <c r="Y41" s="163">
        <f t="shared" si="8"/>
        <v>0</v>
      </c>
      <c r="Z41" s="163">
        <f t="shared" si="9"/>
        <v>0</v>
      </c>
      <c r="AA41" s="163">
        <f t="shared" si="10"/>
        <v>0</v>
      </c>
      <c r="AB41" s="163">
        <f t="shared" si="11"/>
        <v>0</v>
      </c>
      <c r="AC41" s="163">
        <f t="shared" si="12"/>
        <v>0</v>
      </c>
      <c r="AD41" s="163"/>
      <c r="AE41" s="155" t="str">
        <f>+'2026 World Cup'!C44</f>
        <v>Jun 21, 2026</v>
      </c>
      <c r="AF41" s="155" t="str">
        <f t="shared" si="18"/>
        <v>Spania -</v>
      </c>
      <c r="AG41" s="155" t="str">
        <f t="shared" si="19"/>
        <v>Saudi-Arabia</v>
      </c>
      <c r="AH41" s="165">
        <f t="shared" si="17"/>
        <v>1</v>
      </c>
      <c r="AI41" s="165">
        <f t="shared" si="17"/>
        <v>0</v>
      </c>
      <c r="AJ41" s="165">
        <f t="shared" si="17"/>
        <v>0</v>
      </c>
      <c r="AK41" s="154"/>
      <c r="AL41" s="166"/>
      <c r="AN41"/>
      <c r="AO41"/>
      <c r="AP41"/>
    </row>
    <row r="42" spans="2:42" ht="12.75" customHeight="1" x14ac:dyDescent="0.25">
      <c r="B42" s="154">
        <f>+Resultater!B42</f>
        <v>39</v>
      </c>
      <c r="C42" s="155" t="str">
        <f>+'2026 World Cup'!E45</f>
        <v>Belgia</v>
      </c>
      <c r="D42" s="155" t="str">
        <f>+'2026 World Cup'!H45</f>
        <v>Iran</v>
      </c>
      <c r="E42" s="160" t="s">
        <v>397</v>
      </c>
      <c r="F42" s="160" t="s">
        <v>397</v>
      </c>
      <c r="G42" s="160" t="s">
        <v>397</v>
      </c>
      <c r="H42" s="134" t="s">
        <v>397</v>
      </c>
      <c r="I42" s="134" t="s">
        <v>397</v>
      </c>
      <c r="J42" s="134" t="s">
        <v>397</v>
      </c>
      <c r="K42" s="160" t="s">
        <v>397</v>
      </c>
      <c r="L42" s="161" t="s">
        <v>397</v>
      </c>
      <c r="M42" s="161" t="s">
        <v>397</v>
      </c>
      <c r="N42" s="160" t="s">
        <v>397</v>
      </c>
      <c r="O42" s="160" t="s">
        <v>397</v>
      </c>
      <c r="P42" s="162" t="str">
        <f>+Resultater!E42</f>
        <v>U</v>
      </c>
      <c r="Q42" s="150">
        <v>1</v>
      </c>
      <c r="R42" s="154">
        <f t="shared" si="2"/>
        <v>39</v>
      </c>
      <c r="S42" s="163">
        <f t="shared" si="16"/>
        <v>0</v>
      </c>
      <c r="T42" s="163">
        <f t="shared" si="3"/>
        <v>0</v>
      </c>
      <c r="U42" s="163">
        <f t="shared" si="4"/>
        <v>0</v>
      </c>
      <c r="V42" s="163">
        <f t="shared" si="5"/>
        <v>0</v>
      </c>
      <c r="W42" s="163">
        <f t="shared" si="6"/>
        <v>0</v>
      </c>
      <c r="X42" s="163">
        <f t="shared" si="7"/>
        <v>0</v>
      </c>
      <c r="Y42" s="163">
        <f t="shared" si="8"/>
        <v>0</v>
      </c>
      <c r="Z42" s="163">
        <f t="shared" si="9"/>
        <v>0</v>
      </c>
      <c r="AA42" s="163">
        <f t="shared" si="10"/>
        <v>0</v>
      </c>
      <c r="AB42" s="163">
        <f t="shared" si="11"/>
        <v>0</v>
      </c>
      <c r="AC42" s="163">
        <f t="shared" si="12"/>
        <v>0</v>
      </c>
      <c r="AD42" s="163"/>
      <c r="AE42" s="155" t="str">
        <f>+'2026 World Cup'!C45</f>
        <v>Jun 21, 2026</v>
      </c>
      <c r="AF42" s="155" t="str">
        <f t="shared" si="18"/>
        <v>Belgia -</v>
      </c>
      <c r="AG42" s="155" t="str">
        <f t="shared" si="19"/>
        <v>Iran</v>
      </c>
      <c r="AH42" s="165">
        <f t="shared" si="17"/>
        <v>1</v>
      </c>
      <c r="AI42" s="165">
        <f t="shared" si="17"/>
        <v>0</v>
      </c>
      <c r="AJ42" s="165">
        <f t="shared" si="17"/>
        <v>0</v>
      </c>
      <c r="AK42" s="154"/>
      <c r="AL42" s="166"/>
      <c r="AN42"/>
      <c r="AO42"/>
      <c r="AP42"/>
    </row>
    <row r="43" spans="2:42" ht="12.75" customHeight="1" x14ac:dyDescent="0.2">
      <c r="B43" s="154">
        <f>+Resultater!B43</f>
        <v>40</v>
      </c>
      <c r="C43" s="155" t="str">
        <f>+'2026 World Cup'!E46</f>
        <v>New Zealand</v>
      </c>
      <c r="D43" s="155" t="str">
        <f>+'2026 World Cup'!H46</f>
        <v>Egypt</v>
      </c>
      <c r="E43" s="160" t="s">
        <v>416</v>
      </c>
      <c r="F43" s="160" t="s">
        <v>384</v>
      </c>
      <c r="G43" s="160" t="s">
        <v>416</v>
      </c>
      <c r="H43" s="134" t="s">
        <v>384</v>
      </c>
      <c r="I43" s="134" t="s">
        <v>384</v>
      </c>
      <c r="J43" s="134" t="s">
        <v>416</v>
      </c>
      <c r="K43" s="160" t="s">
        <v>416</v>
      </c>
      <c r="L43" s="161" t="s">
        <v>416</v>
      </c>
      <c r="M43" s="161" t="s">
        <v>384</v>
      </c>
      <c r="N43" s="160" t="s">
        <v>416</v>
      </c>
      <c r="O43" s="160" t="s">
        <v>416</v>
      </c>
      <c r="P43" s="162" t="str">
        <f>+Resultater!E43</f>
        <v>U</v>
      </c>
      <c r="Q43" s="150">
        <v>1</v>
      </c>
      <c r="R43" s="154">
        <f t="shared" si="2"/>
        <v>40</v>
      </c>
      <c r="S43" s="163">
        <f t="shared" si="16"/>
        <v>0</v>
      </c>
      <c r="T43" s="163">
        <f t="shared" si="3"/>
        <v>0</v>
      </c>
      <c r="U43" s="163">
        <f t="shared" si="4"/>
        <v>0</v>
      </c>
      <c r="V43" s="163">
        <f t="shared" si="5"/>
        <v>0</v>
      </c>
      <c r="W43" s="163">
        <f t="shared" si="6"/>
        <v>0</v>
      </c>
      <c r="X43" s="163">
        <f t="shared" si="7"/>
        <v>0</v>
      </c>
      <c r="Y43" s="163">
        <f t="shared" si="8"/>
        <v>0</v>
      </c>
      <c r="Z43" s="163">
        <f t="shared" si="9"/>
        <v>0</v>
      </c>
      <c r="AA43" s="163">
        <f t="shared" si="10"/>
        <v>0</v>
      </c>
      <c r="AB43" s="163">
        <f t="shared" si="11"/>
        <v>0</v>
      </c>
      <c r="AC43" s="163">
        <f t="shared" si="12"/>
        <v>0</v>
      </c>
      <c r="AD43" s="163"/>
      <c r="AE43" s="155" t="str">
        <f>+'2026 World Cup'!C46</f>
        <v>Jun 22, 2026</v>
      </c>
      <c r="AF43" s="155" t="str">
        <f t="shared" si="18"/>
        <v>New Zealand -</v>
      </c>
      <c r="AG43" s="155" t="str">
        <f t="shared" si="19"/>
        <v>Egypt</v>
      </c>
      <c r="AH43" s="165">
        <f t="shared" si="17"/>
        <v>0</v>
      </c>
      <c r="AI43" s="165">
        <f t="shared" si="17"/>
        <v>0.36363636363636365</v>
      </c>
      <c r="AJ43" s="165">
        <f t="shared" si="17"/>
        <v>0.63636363636363635</v>
      </c>
      <c r="AK43" s="154"/>
      <c r="AL43" s="166"/>
    </row>
    <row r="44" spans="2:42" ht="12.75" customHeight="1" x14ac:dyDescent="0.2">
      <c r="B44" s="154">
        <f>+Resultater!B44</f>
        <v>41</v>
      </c>
      <c r="C44" s="155" t="str">
        <f>+'2026 World Cup'!E47</f>
        <v>Norge</v>
      </c>
      <c r="D44" s="155" t="str">
        <f>+'2026 World Cup'!H47</f>
        <v>Senegal</v>
      </c>
      <c r="E44" s="160" t="s">
        <v>384</v>
      </c>
      <c r="F44" s="160" t="s">
        <v>384</v>
      </c>
      <c r="G44" s="160" t="s">
        <v>384</v>
      </c>
      <c r="H44" s="134" t="s">
        <v>384</v>
      </c>
      <c r="I44" s="134" t="s">
        <v>397</v>
      </c>
      <c r="J44" s="134" t="s">
        <v>397</v>
      </c>
      <c r="K44" s="160" t="s">
        <v>397</v>
      </c>
      <c r="L44" s="161" t="s">
        <v>397</v>
      </c>
      <c r="M44" s="161" t="s">
        <v>397</v>
      </c>
      <c r="N44" s="160" t="s">
        <v>384</v>
      </c>
      <c r="O44" s="160" t="s">
        <v>384</v>
      </c>
      <c r="P44" s="162" t="str">
        <f>+Resultater!E44</f>
        <v>U</v>
      </c>
      <c r="Q44" s="150">
        <v>1</v>
      </c>
      <c r="R44" s="154">
        <f t="shared" si="2"/>
        <v>41</v>
      </c>
      <c r="S44" s="163">
        <f t="shared" si="16"/>
        <v>0</v>
      </c>
      <c r="T44" s="163">
        <f t="shared" si="3"/>
        <v>0</v>
      </c>
      <c r="U44" s="163">
        <f t="shared" si="4"/>
        <v>0</v>
      </c>
      <c r="V44" s="163">
        <f t="shared" si="5"/>
        <v>0</v>
      </c>
      <c r="W44" s="163">
        <f t="shared" si="6"/>
        <v>0</v>
      </c>
      <c r="X44" s="163">
        <f t="shared" si="7"/>
        <v>0</v>
      </c>
      <c r="Y44" s="163">
        <f t="shared" si="8"/>
        <v>0</v>
      </c>
      <c r="Z44" s="163">
        <f t="shared" si="9"/>
        <v>0</v>
      </c>
      <c r="AA44" s="163">
        <f t="shared" si="10"/>
        <v>0</v>
      </c>
      <c r="AB44" s="163">
        <f t="shared" si="11"/>
        <v>0</v>
      </c>
      <c r="AC44" s="163">
        <f t="shared" si="12"/>
        <v>0</v>
      </c>
      <c r="AD44" s="163"/>
      <c r="AE44" s="155" t="str">
        <f>+'2026 World Cup'!C47</f>
        <v>Jun 23, 2026</v>
      </c>
      <c r="AF44" s="155" t="str">
        <f t="shared" si="18"/>
        <v>Norge -</v>
      </c>
      <c r="AG44" s="155" t="str">
        <f t="shared" si="19"/>
        <v>Senegal</v>
      </c>
      <c r="AH44" s="165">
        <f t="shared" ref="AH44:AJ63" si="20">+COUNTIF($E44:$O44,AH$3)/COUNTA($E44:$O44)</f>
        <v>0.45454545454545453</v>
      </c>
      <c r="AI44" s="165">
        <f t="shared" si="20"/>
        <v>0.54545454545454541</v>
      </c>
      <c r="AJ44" s="165">
        <f t="shared" si="20"/>
        <v>0</v>
      </c>
      <c r="AK44" s="154"/>
      <c r="AL44" s="166"/>
    </row>
    <row r="45" spans="2:42" ht="12.75" customHeight="1" x14ac:dyDescent="0.2">
      <c r="B45" s="154">
        <f>+Resultater!B45</f>
        <v>42</v>
      </c>
      <c r="C45" s="155" t="str">
        <f>+'2026 World Cup'!E48</f>
        <v>Frankrike</v>
      </c>
      <c r="D45" s="155" t="str">
        <f>+'2026 World Cup'!H48</f>
        <v>Irak</v>
      </c>
      <c r="E45" s="160" t="s">
        <v>397</v>
      </c>
      <c r="F45" s="160" t="s">
        <v>397</v>
      </c>
      <c r="G45" s="160" t="s">
        <v>397</v>
      </c>
      <c r="H45" s="134" t="s">
        <v>397</v>
      </c>
      <c r="I45" s="134" t="s">
        <v>397</v>
      </c>
      <c r="J45" s="134" t="s">
        <v>397</v>
      </c>
      <c r="K45" s="160" t="s">
        <v>397</v>
      </c>
      <c r="L45" s="161" t="s">
        <v>397</v>
      </c>
      <c r="M45" s="161" t="s">
        <v>397</v>
      </c>
      <c r="N45" s="160" t="s">
        <v>397</v>
      </c>
      <c r="O45" s="160" t="s">
        <v>397</v>
      </c>
      <c r="P45" s="162" t="str">
        <f>+Resultater!E45</f>
        <v>U</v>
      </c>
      <c r="Q45" s="150">
        <v>1</v>
      </c>
      <c r="R45" s="154">
        <f t="shared" si="2"/>
        <v>42</v>
      </c>
      <c r="S45" s="163">
        <f t="shared" si="16"/>
        <v>0</v>
      </c>
      <c r="T45" s="163">
        <f t="shared" si="3"/>
        <v>0</v>
      </c>
      <c r="U45" s="163">
        <f t="shared" si="4"/>
        <v>0</v>
      </c>
      <c r="V45" s="163">
        <f t="shared" si="5"/>
        <v>0</v>
      </c>
      <c r="W45" s="163">
        <f t="shared" si="6"/>
        <v>0</v>
      </c>
      <c r="X45" s="163">
        <f t="shared" si="7"/>
        <v>0</v>
      </c>
      <c r="Y45" s="163">
        <f t="shared" si="8"/>
        <v>0</v>
      </c>
      <c r="Z45" s="163">
        <f t="shared" si="9"/>
        <v>0</v>
      </c>
      <c r="AA45" s="163">
        <f t="shared" si="10"/>
        <v>0</v>
      </c>
      <c r="AB45" s="163">
        <f t="shared" si="11"/>
        <v>0</v>
      </c>
      <c r="AC45" s="163">
        <f t="shared" si="12"/>
        <v>0</v>
      </c>
      <c r="AD45" s="163"/>
      <c r="AE45" s="155" t="str">
        <f>+'2026 World Cup'!C48</f>
        <v>Jun 22, 2026</v>
      </c>
      <c r="AF45" s="155" t="str">
        <f t="shared" si="18"/>
        <v>Frankrike -</v>
      </c>
      <c r="AG45" s="155" t="str">
        <f t="shared" si="19"/>
        <v>Irak</v>
      </c>
      <c r="AH45" s="165">
        <f t="shared" si="20"/>
        <v>1</v>
      </c>
      <c r="AI45" s="165">
        <f t="shared" si="20"/>
        <v>0</v>
      </c>
      <c r="AJ45" s="165">
        <f t="shared" si="20"/>
        <v>0</v>
      </c>
      <c r="AK45" s="154"/>
      <c r="AL45" s="166"/>
    </row>
    <row r="46" spans="2:42" ht="12.75" customHeight="1" x14ac:dyDescent="0.2">
      <c r="B46" s="154">
        <f>+Resultater!B46</f>
        <v>43</v>
      </c>
      <c r="C46" s="155" t="str">
        <f>+'2026 World Cup'!E49</f>
        <v>Argentina</v>
      </c>
      <c r="D46" s="155" t="str">
        <f>+'2026 World Cup'!H49</f>
        <v>Østerrike</v>
      </c>
      <c r="E46" s="160" t="s">
        <v>397</v>
      </c>
      <c r="F46" s="160" t="s">
        <v>397</v>
      </c>
      <c r="G46" s="160" t="s">
        <v>397</v>
      </c>
      <c r="H46" s="134" t="s">
        <v>397</v>
      </c>
      <c r="I46" s="134" t="s">
        <v>384</v>
      </c>
      <c r="J46" s="134" t="s">
        <v>397</v>
      </c>
      <c r="K46" s="160" t="s">
        <v>397</v>
      </c>
      <c r="L46" s="161" t="s">
        <v>397</v>
      </c>
      <c r="M46" s="161" t="s">
        <v>397</v>
      </c>
      <c r="N46" s="160" t="s">
        <v>397</v>
      </c>
      <c r="O46" s="160" t="s">
        <v>397</v>
      </c>
      <c r="P46" s="162" t="str">
        <f>+Resultater!E46</f>
        <v>U</v>
      </c>
      <c r="Q46" s="150">
        <v>1</v>
      </c>
      <c r="R46" s="154">
        <f t="shared" si="2"/>
        <v>43</v>
      </c>
      <c r="S46" s="163">
        <f t="shared" si="16"/>
        <v>0</v>
      </c>
      <c r="T46" s="163">
        <f t="shared" si="3"/>
        <v>0</v>
      </c>
      <c r="U46" s="163">
        <f t="shared" si="4"/>
        <v>0</v>
      </c>
      <c r="V46" s="163">
        <f t="shared" si="5"/>
        <v>0</v>
      </c>
      <c r="W46" s="163">
        <f t="shared" si="6"/>
        <v>0</v>
      </c>
      <c r="X46" s="163">
        <f t="shared" si="7"/>
        <v>0</v>
      </c>
      <c r="Y46" s="163">
        <f t="shared" si="8"/>
        <v>0</v>
      </c>
      <c r="Z46" s="163">
        <f t="shared" si="9"/>
        <v>0</v>
      </c>
      <c r="AA46" s="163">
        <f t="shared" si="10"/>
        <v>0</v>
      </c>
      <c r="AB46" s="163">
        <f t="shared" si="11"/>
        <v>0</v>
      </c>
      <c r="AC46" s="163">
        <f t="shared" si="12"/>
        <v>0</v>
      </c>
      <c r="AD46" s="163"/>
      <c r="AE46" s="155" t="str">
        <f>+'2026 World Cup'!C49</f>
        <v>Jun 22, 2026</v>
      </c>
      <c r="AF46" s="155" t="str">
        <f t="shared" si="18"/>
        <v>Argentina -</v>
      </c>
      <c r="AG46" s="155" t="str">
        <f t="shared" si="19"/>
        <v>Østerrike</v>
      </c>
      <c r="AH46" s="165">
        <f t="shared" si="20"/>
        <v>0.90909090909090906</v>
      </c>
      <c r="AI46" s="165">
        <f t="shared" si="20"/>
        <v>9.0909090909090912E-2</v>
      </c>
      <c r="AJ46" s="165">
        <f t="shared" si="20"/>
        <v>0</v>
      </c>
      <c r="AK46" s="154"/>
      <c r="AL46" s="166"/>
    </row>
    <row r="47" spans="2:42" ht="12.75" customHeight="1" x14ac:dyDescent="0.2">
      <c r="B47" s="154">
        <f>+Resultater!B47</f>
        <v>44</v>
      </c>
      <c r="C47" s="155" t="str">
        <f>+'2026 World Cup'!E50</f>
        <v>Jordan</v>
      </c>
      <c r="D47" s="155" t="str">
        <f>+'2026 World Cup'!H50</f>
        <v>Algerie</v>
      </c>
      <c r="E47" s="160" t="s">
        <v>416</v>
      </c>
      <c r="F47" s="160" t="s">
        <v>384</v>
      </c>
      <c r="G47" s="160" t="s">
        <v>416</v>
      </c>
      <c r="H47" s="134" t="s">
        <v>416</v>
      </c>
      <c r="I47" s="134" t="s">
        <v>397</v>
      </c>
      <c r="J47" s="134" t="s">
        <v>397</v>
      </c>
      <c r="K47" s="160" t="s">
        <v>416</v>
      </c>
      <c r="L47" s="161" t="s">
        <v>416</v>
      </c>
      <c r="M47" s="161" t="s">
        <v>384</v>
      </c>
      <c r="N47" s="160" t="s">
        <v>416</v>
      </c>
      <c r="O47" s="160" t="s">
        <v>384</v>
      </c>
      <c r="P47" s="162" t="str">
        <f>+Resultater!E47</f>
        <v>U</v>
      </c>
      <c r="Q47" s="150">
        <v>1</v>
      </c>
      <c r="R47" s="154">
        <f t="shared" si="2"/>
        <v>44</v>
      </c>
      <c r="S47" s="163">
        <f t="shared" si="16"/>
        <v>0</v>
      </c>
      <c r="T47" s="163">
        <f t="shared" si="3"/>
        <v>0</v>
      </c>
      <c r="U47" s="163">
        <f t="shared" si="4"/>
        <v>0</v>
      </c>
      <c r="V47" s="163">
        <f t="shared" si="5"/>
        <v>0</v>
      </c>
      <c r="W47" s="163">
        <f t="shared" si="6"/>
        <v>0</v>
      </c>
      <c r="X47" s="163">
        <f t="shared" si="7"/>
        <v>0</v>
      </c>
      <c r="Y47" s="163">
        <f t="shared" si="8"/>
        <v>0</v>
      </c>
      <c r="Z47" s="163">
        <f t="shared" si="9"/>
        <v>0</v>
      </c>
      <c r="AA47" s="163">
        <f t="shared" si="10"/>
        <v>0</v>
      </c>
      <c r="AB47" s="163">
        <f t="shared" si="11"/>
        <v>0</v>
      </c>
      <c r="AC47" s="163">
        <f t="shared" si="12"/>
        <v>0</v>
      </c>
      <c r="AD47" s="163"/>
      <c r="AE47" s="155" t="str">
        <f>+'2026 World Cup'!C50</f>
        <v>Jun 23, 2026</v>
      </c>
      <c r="AF47" s="155" t="str">
        <f t="shared" si="18"/>
        <v>Jordan -</v>
      </c>
      <c r="AG47" s="155" t="str">
        <f t="shared" si="19"/>
        <v>Algerie</v>
      </c>
      <c r="AH47" s="165">
        <f t="shared" si="20"/>
        <v>0.18181818181818182</v>
      </c>
      <c r="AI47" s="165">
        <f t="shared" si="20"/>
        <v>0.27272727272727271</v>
      </c>
      <c r="AJ47" s="165">
        <f t="shared" si="20"/>
        <v>0.54545454545454541</v>
      </c>
      <c r="AK47" s="154"/>
      <c r="AL47" s="166"/>
    </row>
    <row r="48" spans="2:42" ht="12.75" customHeight="1" x14ac:dyDescent="0.2">
      <c r="B48" s="154">
        <f>+Resultater!B48</f>
        <v>45</v>
      </c>
      <c r="C48" s="155" t="str">
        <f>+'2026 World Cup'!E51</f>
        <v>England</v>
      </c>
      <c r="D48" s="155" t="str">
        <f>+'2026 World Cup'!H51</f>
        <v>Ghana</v>
      </c>
      <c r="E48" s="160" t="s">
        <v>397</v>
      </c>
      <c r="F48" s="160" t="s">
        <v>397</v>
      </c>
      <c r="G48" s="160" t="s">
        <v>397</v>
      </c>
      <c r="H48" s="134" t="s">
        <v>397</v>
      </c>
      <c r="I48" s="134" t="s">
        <v>397</v>
      </c>
      <c r="J48" s="134" t="s">
        <v>397</v>
      </c>
      <c r="K48" s="160" t="s">
        <v>397</v>
      </c>
      <c r="L48" s="161" t="s">
        <v>397</v>
      </c>
      <c r="M48" s="161" t="s">
        <v>397</v>
      </c>
      <c r="N48" s="160" t="s">
        <v>397</v>
      </c>
      <c r="O48" s="160" t="s">
        <v>397</v>
      </c>
      <c r="P48" s="162" t="str">
        <f>+Resultater!E48</f>
        <v>U</v>
      </c>
      <c r="Q48" s="150">
        <v>1</v>
      </c>
      <c r="R48" s="154">
        <f t="shared" si="2"/>
        <v>45</v>
      </c>
      <c r="S48" s="163">
        <f t="shared" si="16"/>
        <v>0</v>
      </c>
      <c r="T48" s="163">
        <f t="shared" si="3"/>
        <v>0</v>
      </c>
      <c r="U48" s="163">
        <f t="shared" si="4"/>
        <v>0</v>
      </c>
      <c r="V48" s="163">
        <f t="shared" si="5"/>
        <v>0</v>
      </c>
      <c r="W48" s="163">
        <f t="shared" si="6"/>
        <v>0</v>
      </c>
      <c r="X48" s="163">
        <f t="shared" si="7"/>
        <v>0</v>
      </c>
      <c r="Y48" s="163">
        <f t="shared" si="8"/>
        <v>0</v>
      </c>
      <c r="Z48" s="163">
        <f t="shared" si="9"/>
        <v>0</v>
      </c>
      <c r="AA48" s="163">
        <f t="shared" si="10"/>
        <v>0</v>
      </c>
      <c r="AB48" s="163">
        <f t="shared" si="11"/>
        <v>0</v>
      </c>
      <c r="AC48" s="163">
        <f t="shared" si="12"/>
        <v>0</v>
      </c>
      <c r="AD48" s="163"/>
      <c r="AE48" s="155" t="str">
        <f>+'2026 World Cup'!C51</f>
        <v>Jun 23, 2026</v>
      </c>
      <c r="AF48" s="155" t="str">
        <f t="shared" si="18"/>
        <v>England -</v>
      </c>
      <c r="AG48" s="155" t="str">
        <f t="shared" si="19"/>
        <v>Ghana</v>
      </c>
      <c r="AH48" s="165">
        <f t="shared" si="20"/>
        <v>1</v>
      </c>
      <c r="AI48" s="165">
        <f t="shared" si="20"/>
        <v>0</v>
      </c>
      <c r="AJ48" s="165">
        <f t="shared" si="20"/>
        <v>0</v>
      </c>
      <c r="AK48" s="154"/>
      <c r="AL48" s="166"/>
    </row>
    <row r="49" spans="2:40" ht="12.75" customHeight="1" x14ac:dyDescent="0.2">
      <c r="B49" s="154">
        <f>+Resultater!B49</f>
        <v>46</v>
      </c>
      <c r="C49" s="155" t="str">
        <f>+'2026 World Cup'!E52</f>
        <v>Panama</v>
      </c>
      <c r="D49" s="155" t="str">
        <f>+'2026 World Cup'!H52</f>
        <v>Kroatia</v>
      </c>
      <c r="E49" s="160" t="s">
        <v>416</v>
      </c>
      <c r="F49" s="160" t="s">
        <v>416</v>
      </c>
      <c r="G49" s="160" t="s">
        <v>416</v>
      </c>
      <c r="H49" s="134" t="s">
        <v>416</v>
      </c>
      <c r="I49" s="134" t="s">
        <v>384</v>
      </c>
      <c r="J49" s="134" t="s">
        <v>416</v>
      </c>
      <c r="K49" s="160" t="s">
        <v>416</v>
      </c>
      <c r="L49" s="161" t="s">
        <v>416</v>
      </c>
      <c r="M49" s="161" t="s">
        <v>416</v>
      </c>
      <c r="N49" s="160" t="s">
        <v>416</v>
      </c>
      <c r="O49" s="160" t="s">
        <v>416</v>
      </c>
      <c r="P49" s="162" t="str">
        <f>+Resultater!E49</f>
        <v>U</v>
      </c>
      <c r="Q49" s="150">
        <v>1</v>
      </c>
      <c r="R49" s="154">
        <f t="shared" si="2"/>
        <v>46</v>
      </c>
      <c r="S49" s="163">
        <f t="shared" si="16"/>
        <v>0</v>
      </c>
      <c r="T49" s="163">
        <f t="shared" si="3"/>
        <v>0</v>
      </c>
      <c r="U49" s="163">
        <f t="shared" si="4"/>
        <v>0</v>
      </c>
      <c r="V49" s="163">
        <f t="shared" si="5"/>
        <v>0</v>
      </c>
      <c r="W49" s="163">
        <f t="shared" si="6"/>
        <v>0</v>
      </c>
      <c r="X49" s="163">
        <f t="shared" si="7"/>
        <v>0</v>
      </c>
      <c r="Y49" s="163">
        <f t="shared" si="8"/>
        <v>0</v>
      </c>
      <c r="Z49" s="163">
        <f t="shared" si="9"/>
        <v>0</v>
      </c>
      <c r="AA49" s="163">
        <f t="shared" si="10"/>
        <v>0</v>
      </c>
      <c r="AB49" s="163">
        <f t="shared" si="11"/>
        <v>0</v>
      </c>
      <c r="AC49" s="163">
        <f t="shared" si="12"/>
        <v>0</v>
      </c>
      <c r="AD49" s="163"/>
      <c r="AE49" s="155" t="str">
        <f>+'2026 World Cup'!C52</f>
        <v>Jun 23, 2026</v>
      </c>
      <c r="AF49" s="155" t="str">
        <f t="shared" si="18"/>
        <v>Panama -</v>
      </c>
      <c r="AG49" s="155" t="str">
        <f t="shared" si="19"/>
        <v>Kroatia</v>
      </c>
      <c r="AH49" s="165">
        <f t="shared" si="20"/>
        <v>0</v>
      </c>
      <c r="AI49" s="165">
        <f t="shared" si="20"/>
        <v>9.0909090909090912E-2</v>
      </c>
      <c r="AJ49" s="165">
        <f t="shared" si="20"/>
        <v>0.90909090909090906</v>
      </c>
      <c r="AK49" s="154"/>
      <c r="AL49" s="166"/>
    </row>
    <row r="50" spans="2:40" ht="12.75" customHeight="1" x14ac:dyDescent="0.2">
      <c r="B50" s="154">
        <f>+Resultater!B50</f>
        <v>47</v>
      </c>
      <c r="C50" s="155" t="str">
        <f>+'2026 World Cup'!E53</f>
        <v>Portugal</v>
      </c>
      <c r="D50" s="155" t="str">
        <f>+'2026 World Cup'!H53</f>
        <v>Usbekistan</v>
      </c>
      <c r="E50" s="160" t="s">
        <v>397</v>
      </c>
      <c r="F50" s="160" t="s">
        <v>397</v>
      </c>
      <c r="G50" s="160" t="s">
        <v>397</v>
      </c>
      <c r="H50" s="134" t="s">
        <v>397</v>
      </c>
      <c r="I50" s="134" t="s">
        <v>397</v>
      </c>
      <c r="J50" s="134" t="s">
        <v>397</v>
      </c>
      <c r="K50" s="160" t="s">
        <v>397</v>
      </c>
      <c r="L50" s="161" t="s">
        <v>397</v>
      </c>
      <c r="M50" s="161" t="s">
        <v>397</v>
      </c>
      <c r="N50" s="160" t="s">
        <v>397</v>
      </c>
      <c r="O50" s="160" t="s">
        <v>397</v>
      </c>
      <c r="P50" s="162" t="str">
        <f>+Resultater!E50</f>
        <v>U</v>
      </c>
      <c r="Q50" s="150">
        <v>1</v>
      </c>
      <c r="R50" s="154">
        <f t="shared" si="2"/>
        <v>47</v>
      </c>
      <c r="S50" s="163">
        <f t="shared" si="16"/>
        <v>0</v>
      </c>
      <c r="T50" s="163">
        <f t="shared" si="3"/>
        <v>0</v>
      </c>
      <c r="U50" s="163">
        <f t="shared" si="4"/>
        <v>0</v>
      </c>
      <c r="V50" s="163">
        <f t="shared" si="5"/>
        <v>0</v>
      </c>
      <c r="W50" s="163">
        <f t="shared" si="6"/>
        <v>0</v>
      </c>
      <c r="X50" s="163">
        <f t="shared" si="7"/>
        <v>0</v>
      </c>
      <c r="Y50" s="163">
        <f t="shared" si="8"/>
        <v>0</v>
      </c>
      <c r="Z50" s="163">
        <f t="shared" si="9"/>
        <v>0</v>
      </c>
      <c r="AA50" s="163">
        <f t="shared" si="10"/>
        <v>0</v>
      </c>
      <c r="AB50" s="163">
        <f t="shared" si="11"/>
        <v>0</v>
      </c>
      <c r="AC50" s="163">
        <f t="shared" si="12"/>
        <v>0</v>
      </c>
      <c r="AD50" s="163"/>
      <c r="AE50" s="155" t="str">
        <f>+'2026 World Cup'!C53</f>
        <v>Jun 23, 2026</v>
      </c>
      <c r="AF50" s="155" t="str">
        <f t="shared" si="18"/>
        <v>Portugal -</v>
      </c>
      <c r="AG50" s="155" t="str">
        <f t="shared" si="19"/>
        <v>Usbekistan</v>
      </c>
      <c r="AH50" s="165">
        <f t="shared" si="20"/>
        <v>1</v>
      </c>
      <c r="AI50" s="165">
        <f t="shared" si="20"/>
        <v>0</v>
      </c>
      <c r="AJ50" s="165">
        <f t="shared" si="20"/>
        <v>0</v>
      </c>
      <c r="AK50" s="154"/>
      <c r="AL50" s="166"/>
    </row>
    <row r="51" spans="2:40" ht="12.75" customHeight="1" x14ac:dyDescent="0.2">
      <c r="B51" s="154">
        <f>+Resultater!B51</f>
        <v>48</v>
      </c>
      <c r="C51" s="155" t="str">
        <f>+'2026 World Cup'!E54</f>
        <v>Colombia</v>
      </c>
      <c r="D51" s="155" t="str">
        <f>+'2026 World Cup'!H54</f>
        <v>DR Kongo</v>
      </c>
      <c r="E51" s="160" t="s">
        <v>397</v>
      </c>
      <c r="F51" s="160" t="s">
        <v>384</v>
      </c>
      <c r="G51" s="160" t="s">
        <v>397</v>
      </c>
      <c r="H51" s="134" t="s">
        <v>397</v>
      </c>
      <c r="I51" s="134" t="s">
        <v>384</v>
      </c>
      <c r="J51" s="134" t="s">
        <v>397</v>
      </c>
      <c r="K51" s="160" t="s">
        <v>397</v>
      </c>
      <c r="L51" s="161" t="s">
        <v>397</v>
      </c>
      <c r="M51" s="161" t="s">
        <v>397</v>
      </c>
      <c r="N51" s="160" t="s">
        <v>397</v>
      </c>
      <c r="O51" s="160" t="s">
        <v>397</v>
      </c>
      <c r="P51" s="162" t="str">
        <f>+Resultater!E51</f>
        <v>U</v>
      </c>
      <c r="Q51" s="150">
        <v>1</v>
      </c>
      <c r="R51" s="154">
        <f t="shared" si="2"/>
        <v>48</v>
      </c>
      <c r="S51" s="163">
        <f t="shared" si="16"/>
        <v>0</v>
      </c>
      <c r="T51" s="163">
        <f t="shared" si="3"/>
        <v>0</v>
      </c>
      <c r="U51" s="163">
        <f t="shared" si="4"/>
        <v>0</v>
      </c>
      <c r="V51" s="163">
        <f t="shared" si="5"/>
        <v>0</v>
      </c>
      <c r="W51" s="163">
        <f t="shared" si="6"/>
        <v>0</v>
      </c>
      <c r="X51" s="163">
        <f t="shared" si="7"/>
        <v>0</v>
      </c>
      <c r="Y51" s="163">
        <f t="shared" si="8"/>
        <v>0</v>
      </c>
      <c r="Z51" s="163">
        <f t="shared" si="9"/>
        <v>0</v>
      </c>
      <c r="AA51" s="163">
        <f t="shared" si="10"/>
        <v>0</v>
      </c>
      <c r="AB51" s="163">
        <f t="shared" si="11"/>
        <v>0</v>
      </c>
      <c r="AC51" s="163">
        <f t="shared" si="12"/>
        <v>0</v>
      </c>
      <c r="AD51" s="163"/>
      <c r="AE51" s="155" t="str">
        <f>+'2026 World Cup'!C54</f>
        <v>Jun 24, 2026</v>
      </c>
      <c r="AF51" s="155" t="str">
        <f t="shared" si="18"/>
        <v>Colombia -</v>
      </c>
      <c r="AG51" s="155" t="str">
        <f t="shared" si="19"/>
        <v>DR Kongo</v>
      </c>
      <c r="AH51" s="165">
        <f t="shared" si="20"/>
        <v>0.81818181818181823</v>
      </c>
      <c r="AI51" s="165">
        <f t="shared" si="20"/>
        <v>0.18181818181818182</v>
      </c>
      <c r="AJ51" s="165">
        <f t="shared" si="20"/>
        <v>0</v>
      </c>
      <c r="AK51" s="154"/>
      <c r="AL51" s="166"/>
      <c r="AN51" s="173"/>
    </row>
    <row r="52" spans="2:40" ht="12.75" customHeight="1" x14ac:dyDescent="0.2">
      <c r="B52" s="154">
        <f>+Resultater!B52</f>
        <v>49</v>
      </c>
      <c r="C52" s="155" t="str">
        <f>+'2026 World Cup'!E55</f>
        <v>Skottland</v>
      </c>
      <c r="D52" s="155" t="str">
        <f>+'2026 World Cup'!H55</f>
        <v>Brasil</v>
      </c>
      <c r="E52" s="160" t="s">
        <v>416</v>
      </c>
      <c r="F52" s="160" t="s">
        <v>416</v>
      </c>
      <c r="G52" s="160" t="s">
        <v>416</v>
      </c>
      <c r="H52" s="134" t="s">
        <v>416</v>
      </c>
      <c r="I52" s="134" t="s">
        <v>416</v>
      </c>
      <c r="J52" s="134" t="s">
        <v>416</v>
      </c>
      <c r="K52" s="160" t="s">
        <v>416</v>
      </c>
      <c r="L52" s="161" t="s">
        <v>416</v>
      </c>
      <c r="M52" s="161" t="s">
        <v>416</v>
      </c>
      <c r="N52" s="160" t="s">
        <v>416</v>
      </c>
      <c r="O52" s="160" t="s">
        <v>416</v>
      </c>
      <c r="P52" s="162" t="str">
        <f>+Resultater!E52</f>
        <v>U</v>
      </c>
      <c r="Q52" s="150">
        <v>1</v>
      </c>
      <c r="R52" s="154">
        <f t="shared" si="2"/>
        <v>49</v>
      </c>
      <c r="S52" s="163">
        <f t="shared" si="16"/>
        <v>0</v>
      </c>
      <c r="T52" s="163">
        <f t="shared" si="3"/>
        <v>0</v>
      </c>
      <c r="U52" s="163">
        <f t="shared" si="4"/>
        <v>0</v>
      </c>
      <c r="V52" s="163">
        <f t="shared" si="5"/>
        <v>0</v>
      </c>
      <c r="W52" s="163">
        <f t="shared" si="6"/>
        <v>0</v>
      </c>
      <c r="X52" s="163">
        <f t="shared" si="7"/>
        <v>0</v>
      </c>
      <c r="Y52" s="163">
        <f t="shared" si="8"/>
        <v>0</v>
      </c>
      <c r="Z52" s="163">
        <f t="shared" si="9"/>
        <v>0</v>
      </c>
      <c r="AA52" s="163">
        <f t="shared" si="10"/>
        <v>0</v>
      </c>
      <c r="AB52" s="163">
        <f t="shared" si="11"/>
        <v>0</v>
      </c>
      <c r="AC52" s="163">
        <f t="shared" si="12"/>
        <v>0</v>
      </c>
      <c r="AD52" s="163"/>
      <c r="AE52" s="155" t="str">
        <f>+'2026 World Cup'!C55</f>
        <v>Jun 24, 2026</v>
      </c>
      <c r="AF52" s="155" t="str">
        <f t="shared" si="18"/>
        <v>Skottland -</v>
      </c>
      <c r="AG52" s="155" t="str">
        <f t="shared" si="19"/>
        <v>Brasil</v>
      </c>
      <c r="AH52" s="165">
        <f t="shared" si="20"/>
        <v>0</v>
      </c>
      <c r="AI52" s="165">
        <f t="shared" si="20"/>
        <v>0</v>
      </c>
      <c r="AJ52" s="165">
        <f t="shared" si="20"/>
        <v>1</v>
      </c>
      <c r="AL52" s="190"/>
      <c r="AN52" s="173"/>
    </row>
    <row r="53" spans="2:40" ht="12.75" customHeight="1" x14ac:dyDescent="0.2">
      <c r="B53" s="154">
        <f>+Resultater!B53</f>
        <v>50</v>
      </c>
      <c r="C53" s="155" t="str">
        <f>+'2026 World Cup'!E56</f>
        <v>Marokko</v>
      </c>
      <c r="D53" s="155" t="str">
        <f>+'2026 World Cup'!H56</f>
        <v>Haiti</v>
      </c>
      <c r="E53" s="160" t="s">
        <v>397</v>
      </c>
      <c r="F53" s="160" t="s">
        <v>397</v>
      </c>
      <c r="G53" s="160" t="s">
        <v>397</v>
      </c>
      <c r="H53" s="134" t="s">
        <v>397</v>
      </c>
      <c r="I53" s="134" t="s">
        <v>384</v>
      </c>
      <c r="J53" s="134" t="s">
        <v>397</v>
      </c>
      <c r="K53" s="160" t="s">
        <v>397</v>
      </c>
      <c r="L53" s="161" t="s">
        <v>384</v>
      </c>
      <c r="M53" s="161" t="s">
        <v>397</v>
      </c>
      <c r="N53" s="160" t="s">
        <v>397</v>
      </c>
      <c r="O53" s="160" t="s">
        <v>397</v>
      </c>
      <c r="P53" s="162" t="str">
        <f>+Resultater!E53</f>
        <v>U</v>
      </c>
      <c r="Q53" s="150">
        <v>1</v>
      </c>
      <c r="R53" s="154">
        <f t="shared" si="2"/>
        <v>50</v>
      </c>
      <c r="S53" s="163">
        <f t="shared" si="16"/>
        <v>0</v>
      </c>
      <c r="T53" s="163">
        <f t="shared" si="3"/>
        <v>0</v>
      </c>
      <c r="U53" s="163">
        <f t="shared" si="4"/>
        <v>0</v>
      </c>
      <c r="V53" s="163">
        <f t="shared" si="5"/>
        <v>0</v>
      </c>
      <c r="W53" s="163">
        <f t="shared" si="6"/>
        <v>0</v>
      </c>
      <c r="X53" s="163">
        <f t="shared" si="7"/>
        <v>0</v>
      </c>
      <c r="Y53" s="163">
        <f t="shared" si="8"/>
        <v>0</v>
      </c>
      <c r="Z53" s="163">
        <f t="shared" si="9"/>
        <v>0</v>
      </c>
      <c r="AA53" s="163">
        <f t="shared" si="10"/>
        <v>0</v>
      </c>
      <c r="AB53" s="163">
        <f t="shared" si="11"/>
        <v>0</v>
      </c>
      <c r="AC53" s="163">
        <f t="shared" si="12"/>
        <v>0</v>
      </c>
      <c r="AD53" s="163"/>
      <c r="AE53" s="155" t="str">
        <f>+'2026 World Cup'!C56</f>
        <v>Jun 24, 2026</v>
      </c>
      <c r="AF53" s="155" t="str">
        <f t="shared" si="18"/>
        <v>Marokko -</v>
      </c>
      <c r="AG53" s="155" t="str">
        <f t="shared" si="19"/>
        <v>Haiti</v>
      </c>
      <c r="AH53" s="165">
        <f t="shared" si="20"/>
        <v>0.81818181818181823</v>
      </c>
      <c r="AI53" s="165">
        <f t="shared" si="20"/>
        <v>0.18181818181818182</v>
      </c>
      <c r="AJ53" s="165">
        <f t="shared" si="20"/>
        <v>0</v>
      </c>
      <c r="AL53" s="190"/>
      <c r="AN53" s="173"/>
    </row>
    <row r="54" spans="2:40" ht="12.75" customHeight="1" x14ac:dyDescent="0.2">
      <c r="B54" s="154">
        <f>+Resultater!B54</f>
        <v>51</v>
      </c>
      <c r="C54" s="155" t="str">
        <f>+'2026 World Cup'!E57</f>
        <v>Sveits</v>
      </c>
      <c r="D54" s="155" t="str">
        <f>+'2026 World Cup'!H57</f>
        <v>Canada</v>
      </c>
      <c r="E54" s="160" t="s">
        <v>384</v>
      </c>
      <c r="F54" s="160" t="s">
        <v>397</v>
      </c>
      <c r="G54" s="160" t="s">
        <v>397</v>
      </c>
      <c r="H54" s="134" t="s">
        <v>397</v>
      </c>
      <c r="I54" s="134" t="s">
        <v>397</v>
      </c>
      <c r="J54" s="134" t="s">
        <v>397</v>
      </c>
      <c r="K54" s="160" t="s">
        <v>384</v>
      </c>
      <c r="L54" s="161" t="s">
        <v>384</v>
      </c>
      <c r="M54" s="161" t="s">
        <v>384</v>
      </c>
      <c r="N54" s="160" t="s">
        <v>384</v>
      </c>
      <c r="O54" s="160" t="s">
        <v>397</v>
      </c>
      <c r="P54" s="162" t="str">
        <f>+Resultater!E54</f>
        <v>U</v>
      </c>
      <c r="Q54" s="150">
        <v>1</v>
      </c>
      <c r="R54" s="154">
        <f t="shared" si="2"/>
        <v>51</v>
      </c>
      <c r="S54" s="163">
        <f t="shared" si="16"/>
        <v>0</v>
      </c>
      <c r="T54" s="163">
        <f t="shared" si="3"/>
        <v>0</v>
      </c>
      <c r="U54" s="163">
        <f t="shared" si="4"/>
        <v>0</v>
      </c>
      <c r="V54" s="163">
        <f t="shared" si="5"/>
        <v>0</v>
      </c>
      <c r="W54" s="163">
        <f t="shared" si="6"/>
        <v>0</v>
      </c>
      <c r="X54" s="163">
        <f t="shared" si="7"/>
        <v>0</v>
      </c>
      <c r="Y54" s="163">
        <f t="shared" si="8"/>
        <v>0</v>
      </c>
      <c r="Z54" s="163">
        <f t="shared" si="9"/>
        <v>0</v>
      </c>
      <c r="AA54" s="163">
        <f t="shared" si="10"/>
        <v>0</v>
      </c>
      <c r="AB54" s="163">
        <f t="shared" si="11"/>
        <v>0</v>
      </c>
      <c r="AC54" s="163">
        <f t="shared" si="12"/>
        <v>0</v>
      </c>
      <c r="AD54" s="163"/>
      <c r="AE54" s="155" t="str">
        <f>+'2026 World Cup'!C57</f>
        <v>Jun 24, 2026</v>
      </c>
      <c r="AF54" s="155" t="str">
        <f t="shared" si="18"/>
        <v>Sveits -</v>
      </c>
      <c r="AG54" s="155" t="str">
        <f t="shared" si="19"/>
        <v>Canada</v>
      </c>
      <c r="AH54" s="165">
        <f t="shared" si="20"/>
        <v>0.54545454545454541</v>
      </c>
      <c r="AI54" s="165">
        <f t="shared" si="20"/>
        <v>0.45454545454545453</v>
      </c>
      <c r="AJ54" s="165">
        <f t="shared" si="20"/>
        <v>0</v>
      </c>
      <c r="AL54" s="190"/>
      <c r="AN54" s="173"/>
    </row>
    <row r="55" spans="2:40" ht="12.75" customHeight="1" x14ac:dyDescent="0.2">
      <c r="B55" s="154">
        <f>+Resultater!B55</f>
        <v>52</v>
      </c>
      <c r="C55" s="155" t="str">
        <f>+'2026 World Cup'!E58</f>
        <v>Bosnia-Hercegovina</v>
      </c>
      <c r="D55" s="155" t="str">
        <f>+'2026 World Cup'!H58</f>
        <v>Qatar</v>
      </c>
      <c r="E55" s="160" t="s">
        <v>397</v>
      </c>
      <c r="F55" s="160" t="s">
        <v>384</v>
      </c>
      <c r="G55" s="160" t="s">
        <v>397</v>
      </c>
      <c r="H55" s="134" t="s">
        <v>397</v>
      </c>
      <c r="I55" s="134" t="s">
        <v>397</v>
      </c>
      <c r="J55" s="134" t="s">
        <v>384</v>
      </c>
      <c r="K55" s="160" t="s">
        <v>397</v>
      </c>
      <c r="L55" s="161" t="s">
        <v>397</v>
      </c>
      <c r="M55" s="161" t="s">
        <v>397</v>
      </c>
      <c r="N55" s="160" t="s">
        <v>397</v>
      </c>
      <c r="O55" s="160" t="s">
        <v>384</v>
      </c>
      <c r="P55" s="162" t="str">
        <f>+Resultater!E55</f>
        <v>U</v>
      </c>
      <c r="Q55" s="150">
        <v>1</v>
      </c>
      <c r="R55" s="154">
        <f t="shared" si="2"/>
        <v>52</v>
      </c>
      <c r="S55" s="163">
        <f t="shared" si="16"/>
        <v>0</v>
      </c>
      <c r="T55" s="163">
        <f t="shared" si="3"/>
        <v>0</v>
      </c>
      <c r="U55" s="163">
        <f t="shared" si="4"/>
        <v>0</v>
      </c>
      <c r="V55" s="163">
        <f t="shared" si="5"/>
        <v>0</v>
      </c>
      <c r="W55" s="163">
        <f t="shared" si="6"/>
        <v>0</v>
      </c>
      <c r="X55" s="163">
        <f t="shared" si="7"/>
        <v>0</v>
      </c>
      <c r="Y55" s="163">
        <f t="shared" si="8"/>
        <v>0</v>
      </c>
      <c r="Z55" s="163">
        <f t="shared" si="9"/>
        <v>0</v>
      </c>
      <c r="AA55" s="163">
        <f t="shared" si="10"/>
        <v>0</v>
      </c>
      <c r="AB55" s="163">
        <f t="shared" si="11"/>
        <v>0</v>
      </c>
      <c r="AC55" s="163">
        <f t="shared" si="12"/>
        <v>0</v>
      </c>
      <c r="AD55" s="163"/>
      <c r="AE55" s="155" t="str">
        <f>+'2026 World Cup'!C58</f>
        <v>Jun 24, 2026</v>
      </c>
      <c r="AF55" s="155" t="str">
        <f t="shared" si="18"/>
        <v>Bosnia-Hercegovina -</v>
      </c>
      <c r="AG55" s="155" t="str">
        <f t="shared" si="19"/>
        <v>Qatar</v>
      </c>
      <c r="AH55" s="165">
        <f t="shared" si="20"/>
        <v>0.72727272727272729</v>
      </c>
      <c r="AI55" s="165">
        <f t="shared" si="20"/>
        <v>0.27272727272727271</v>
      </c>
      <c r="AJ55" s="165">
        <f t="shared" si="20"/>
        <v>0</v>
      </c>
      <c r="AL55" s="190"/>
      <c r="AN55" s="173"/>
    </row>
    <row r="56" spans="2:40" ht="12.75" customHeight="1" x14ac:dyDescent="0.2">
      <c r="B56" s="154">
        <f>+Resultater!B56</f>
        <v>53</v>
      </c>
      <c r="C56" s="155" t="str">
        <f>+'2026 World Cup'!E59</f>
        <v>Tsjekkia</v>
      </c>
      <c r="D56" s="155" t="str">
        <f>+'2026 World Cup'!H59</f>
        <v>Mexico</v>
      </c>
      <c r="E56" s="160" t="s">
        <v>416</v>
      </c>
      <c r="F56" s="160" t="s">
        <v>416</v>
      </c>
      <c r="G56" s="160" t="s">
        <v>416</v>
      </c>
      <c r="H56" s="134" t="s">
        <v>384</v>
      </c>
      <c r="I56" s="134" t="s">
        <v>416</v>
      </c>
      <c r="J56" s="134" t="s">
        <v>384</v>
      </c>
      <c r="K56" s="160" t="s">
        <v>416</v>
      </c>
      <c r="L56" s="161" t="s">
        <v>416</v>
      </c>
      <c r="M56" s="161" t="s">
        <v>384</v>
      </c>
      <c r="N56" s="160" t="s">
        <v>416</v>
      </c>
      <c r="O56" s="160" t="s">
        <v>416</v>
      </c>
      <c r="P56" s="162" t="str">
        <f>+Resultater!E56</f>
        <v>U</v>
      </c>
      <c r="Q56" s="150">
        <v>1</v>
      </c>
      <c r="R56" s="154">
        <f t="shared" si="2"/>
        <v>53</v>
      </c>
      <c r="S56" s="163">
        <f t="shared" si="16"/>
        <v>0</v>
      </c>
      <c r="T56" s="163">
        <f t="shared" si="3"/>
        <v>0</v>
      </c>
      <c r="U56" s="163">
        <f t="shared" si="4"/>
        <v>0</v>
      </c>
      <c r="V56" s="163">
        <f t="shared" si="5"/>
        <v>0</v>
      </c>
      <c r="W56" s="163">
        <f t="shared" si="6"/>
        <v>0</v>
      </c>
      <c r="X56" s="163">
        <f t="shared" si="7"/>
        <v>0</v>
      </c>
      <c r="Y56" s="163">
        <f t="shared" si="8"/>
        <v>0</v>
      </c>
      <c r="Z56" s="163">
        <f t="shared" si="9"/>
        <v>0</v>
      </c>
      <c r="AA56" s="163">
        <f t="shared" si="10"/>
        <v>0</v>
      </c>
      <c r="AB56" s="163">
        <f t="shared" si="11"/>
        <v>0</v>
      </c>
      <c r="AC56" s="163">
        <f t="shared" si="12"/>
        <v>0</v>
      </c>
      <c r="AD56" s="163"/>
      <c r="AE56" s="155" t="str">
        <f>+'2026 World Cup'!C59</f>
        <v>Jun 25, 2026</v>
      </c>
      <c r="AF56" s="155" t="str">
        <f t="shared" si="18"/>
        <v>Tsjekkia -</v>
      </c>
      <c r="AG56" s="155" t="str">
        <f t="shared" si="19"/>
        <v>Mexico</v>
      </c>
      <c r="AH56" s="165">
        <f t="shared" si="20"/>
        <v>0</v>
      </c>
      <c r="AI56" s="165">
        <f t="shared" si="20"/>
        <v>0.27272727272727271</v>
      </c>
      <c r="AJ56" s="165">
        <f t="shared" si="20"/>
        <v>0.72727272727272729</v>
      </c>
      <c r="AL56" s="190"/>
      <c r="AN56" s="173"/>
    </row>
    <row r="57" spans="2:40" ht="12.75" customHeight="1" x14ac:dyDescent="0.2">
      <c r="B57" s="154">
        <f>+Resultater!B57</f>
        <v>54</v>
      </c>
      <c r="C57" s="155" t="str">
        <f>+'2026 World Cup'!E60</f>
        <v>Sør-Afrika</v>
      </c>
      <c r="D57" s="155" t="str">
        <f>+'2026 World Cup'!H60</f>
        <v>Sør-Korea</v>
      </c>
      <c r="E57" s="160" t="s">
        <v>416</v>
      </c>
      <c r="F57" s="160" t="s">
        <v>384</v>
      </c>
      <c r="G57" s="160" t="s">
        <v>416</v>
      </c>
      <c r="H57" s="134" t="s">
        <v>416</v>
      </c>
      <c r="I57" s="134" t="s">
        <v>384</v>
      </c>
      <c r="J57" s="134" t="s">
        <v>416</v>
      </c>
      <c r="K57" s="160" t="s">
        <v>384</v>
      </c>
      <c r="L57" s="161" t="s">
        <v>416</v>
      </c>
      <c r="M57" s="161" t="s">
        <v>384</v>
      </c>
      <c r="N57" s="160" t="s">
        <v>397</v>
      </c>
      <c r="O57" s="160" t="s">
        <v>416</v>
      </c>
      <c r="P57" s="162" t="str">
        <f>+Resultater!E57</f>
        <v>U</v>
      </c>
      <c r="Q57" s="150">
        <v>1</v>
      </c>
      <c r="R57" s="154">
        <f t="shared" si="2"/>
        <v>54</v>
      </c>
      <c r="S57" s="163">
        <f t="shared" si="16"/>
        <v>0</v>
      </c>
      <c r="T57" s="163">
        <f t="shared" si="3"/>
        <v>0</v>
      </c>
      <c r="U57" s="163">
        <f t="shared" si="4"/>
        <v>0</v>
      </c>
      <c r="V57" s="163">
        <f t="shared" si="5"/>
        <v>0</v>
      </c>
      <c r="W57" s="163">
        <f t="shared" si="6"/>
        <v>0</v>
      </c>
      <c r="X57" s="163">
        <f t="shared" si="7"/>
        <v>0</v>
      </c>
      <c r="Y57" s="163">
        <f t="shared" si="8"/>
        <v>0</v>
      </c>
      <c r="Z57" s="163">
        <f t="shared" si="9"/>
        <v>0</v>
      </c>
      <c r="AA57" s="163">
        <f t="shared" si="10"/>
        <v>0</v>
      </c>
      <c r="AB57" s="163">
        <f t="shared" si="11"/>
        <v>0</v>
      </c>
      <c r="AC57" s="163">
        <f t="shared" si="12"/>
        <v>0</v>
      </c>
      <c r="AD57" s="163"/>
      <c r="AE57" s="155" t="str">
        <f>+'2026 World Cup'!C60</f>
        <v>Jun 25, 2026</v>
      </c>
      <c r="AF57" s="155" t="str">
        <f t="shared" si="18"/>
        <v>Sør-Afrika -</v>
      </c>
      <c r="AG57" s="155" t="str">
        <f t="shared" si="19"/>
        <v>Sør-Korea</v>
      </c>
      <c r="AH57" s="165">
        <f t="shared" si="20"/>
        <v>9.0909090909090912E-2</v>
      </c>
      <c r="AI57" s="165">
        <f t="shared" si="20"/>
        <v>0.36363636363636365</v>
      </c>
      <c r="AJ57" s="165">
        <f t="shared" si="20"/>
        <v>0.54545454545454541</v>
      </c>
      <c r="AL57" s="190"/>
      <c r="AN57" s="173"/>
    </row>
    <row r="58" spans="2:40" ht="12.75" customHeight="1" x14ac:dyDescent="0.2">
      <c r="B58" s="154">
        <f>+Resultater!B58</f>
        <v>55</v>
      </c>
      <c r="C58" s="155" t="str">
        <f>+'2026 World Cup'!E61</f>
        <v>Curaçao</v>
      </c>
      <c r="D58" s="155" t="str">
        <f>+'2026 World Cup'!H61</f>
        <v>Elfenbenskysten</v>
      </c>
      <c r="E58" s="160" t="s">
        <v>416</v>
      </c>
      <c r="F58" s="160" t="s">
        <v>416</v>
      </c>
      <c r="G58" s="160" t="s">
        <v>416</v>
      </c>
      <c r="H58" s="134" t="s">
        <v>416</v>
      </c>
      <c r="I58" s="134" t="s">
        <v>416</v>
      </c>
      <c r="J58" s="134" t="s">
        <v>384</v>
      </c>
      <c r="K58" s="160" t="s">
        <v>416</v>
      </c>
      <c r="L58" s="161" t="s">
        <v>416</v>
      </c>
      <c r="M58" s="161" t="s">
        <v>416</v>
      </c>
      <c r="N58" s="160" t="s">
        <v>416</v>
      </c>
      <c r="O58" s="160" t="s">
        <v>416</v>
      </c>
      <c r="P58" s="162" t="str">
        <f>+Resultater!E58</f>
        <v>U</v>
      </c>
      <c r="Q58" s="150">
        <v>1</v>
      </c>
      <c r="R58" s="154">
        <f t="shared" si="2"/>
        <v>55</v>
      </c>
      <c r="S58" s="163">
        <f t="shared" si="16"/>
        <v>0</v>
      </c>
      <c r="T58" s="163">
        <f t="shared" si="3"/>
        <v>0</v>
      </c>
      <c r="U58" s="163">
        <f t="shared" si="4"/>
        <v>0</v>
      </c>
      <c r="V58" s="163">
        <f t="shared" si="5"/>
        <v>0</v>
      </c>
      <c r="W58" s="163">
        <f t="shared" si="6"/>
        <v>0</v>
      </c>
      <c r="X58" s="163">
        <f t="shared" si="7"/>
        <v>0</v>
      </c>
      <c r="Y58" s="163">
        <f t="shared" si="8"/>
        <v>0</v>
      </c>
      <c r="Z58" s="163">
        <f t="shared" si="9"/>
        <v>0</v>
      </c>
      <c r="AA58" s="163">
        <f t="shared" si="10"/>
        <v>0</v>
      </c>
      <c r="AB58" s="163">
        <f t="shared" si="11"/>
        <v>0</v>
      </c>
      <c r="AC58" s="163">
        <f t="shared" si="12"/>
        <v>0</v>
      </c>
      <c r="AD58" s="163"/>
      <c r="AE58" s="155" t="str">
        <f>+'2026 World Cup'!C61</f>
        <v>Jun 25, 2026</v>
      </c>
      <c r="AF58" s="155" t="str">
        <f t="shared" si="18"/>
        <v>Curaçao -</v>
      </c>
      <c r="AG58" s="155" t="str">
        <f t="shared" si="19"/>
        <v>Elfenbenskysten</v>
      </c>
      <c r="AH58" s="165">
        <f t="shared" si="20"/>
        <v>0</v>
      </c>
      <c r="AI58" s="165">
        <f t="shared" si="20"/>
        <v>9.0909090909090912E-2</v>
      </c>
      <c r="AJ58" s="165">
        <f t="shared" si="20"/>
        <v>0.90909090909090906</v>
      </c>
      <c r="AL58" s="190"/>
      <c r="AN58" s="173"/>
    </row>
    <row r="59" spans="2:40" ht="12.75" customHeight="1" x14ac:dyDescent="0.2">
      <c r="B59" s="154">
        <f>+Resultater!B59</f>
        <v>56</v>
      </c>
      <c r="C59" s="155" t="str">
        <f>+'2026 World Cup'!E62</f>
        <v>Ecuador</v>
      </c>
      <c r="D59" s="155" t="str">
        <f>+'2026 World Cup'!H62</f>
        <v>Tyskland</v>
      </c>
      <c r="E59" s="160" t="s">
        <v>416</v>
      </c>
      <c r="F59" s="160" t="s">
        <v>416</v>
      </c>
      <c r="G59" s="160" t="s">
        <v>416</v>
      </c>
      <c r="H59" s="134" t="s">
        <v>416</v>
      </c>
      <c r="I59" s="134" t="s">
        <v>384</v>
      </c>
      <c r="J59" s="134" t="s">
        <v>416</v>
      </c>
      <c r="K59" s="160" t="s">
        <v>416</v>
      </c>
      <c r="L59" s="161" t="s">
        <v>416</v>
      </c>
      <c r="M59" s="161" t="s">
        <v>416</v>
      </c>
      <c r="N59" s="160" t="s">
        <v>416</v>
      </c>
      <c r="O59" s="160" t="s">
        <v>416</v>
      </c>
      <c r="P59" s="162" t="str">
        <f>+Resultater!E59</f>
        <v>U</v>
      </c>
      <c r="Q59" s="150">
        <v>1</v>
      </c>
      <c r="R59" s="154">
        <f t="shared" si="2"/>
        <v>56</v>
      </c>
      <c r="S59" s="163">
        <f t="shared" si="16"/>
        <v>0</v>
      </c>
      <c r="T59" s="163">
        <f t="shared" si="3"/>
        <v>0</v>
      </c>
      <c r="U59" s="163">
        <f t="shared" si="4"/>
        <v>0</v>
      </c>
      <c r="V59" s="163">
        <f t="shared" si="5"/>
        <v>0</v>
      </c>
      <c r="W59" s="163">
        <f t="shared" si="6"/>
        <v>0</v>
      </c>
      <c r="X59" s="163">
        <f t="shared" si="7"/>
        <v>0</v>
      </c>
      <c r="Y59" s="163">
        <f t="shared" si="8"/>
        <v>0</v>
      </c>
      <c r="Z59" s="163">
        <f t="shared" si="9"/>
        <v>0</v>
      </c>
      <c r="AA59" s="163">
        <f t="shared" si="10"/>
        <v>0</v>
      </c>
      <c r="AB59" s="163">
        <f t="shared" si="11"/>
        <v>0</v>
      </c>
      <c r="AC59" s="163">
        <f t="shared" si="12"/>
        <v>0</v>
      </c>
      <c r="AD59" s="163"/>
      <c r="AE59" s="155" t="str">
        <f>+'2026 World Cup'!C62</f>
        <v>Jun 25, 2026</v>
      </c>
      <c r="AF59" s="155" t="str">
        <f t="shared" si="18"/>
        <v>Ecuador -</v>
      </c>
      <c r="AG59" s="155" t="str">
        <f t="shared" si="19"/>
        <v>Tyskland</v>
      </c>
      <c r="AH59" s="165">
        <f t="shared" si="20"/>
        <v>0</v>
      </c>
      <c r="AI59" s="165">
        <f t="shared" si="20"/>
        <v>9.0909090909090912E-2</v>
      </c>
      <c r="AJ59" s="165">
        <f t="shared" si="20"/>
        <v>0.90909090909090906</v>
      </c>
      <c r="AL59" s="190"/>
      <c r="AN59" s="173"/>
    </row>
    <row r="60" spans="2:40" ht="12.75" customHeight="1" x14ac:dyDescent="0.2">
      <c r="B60" s="154">
        <f>+Resultater!B60</f>
        <v>57</v>
      </c>
      <c r="C60" s="155" t="str">
        <f>+'2026 World Cup'!E63</f>
        <v>Japan</v>
      </c>
      <c r="D60" s="155" t="str">
        <f>+'2026 World Cup'!H63</f>
        <v>Sverige</v>
      </c>
      <c r="E60" s="160" t="s">
        <v>397</v>
      </c>
      <c r="F60" s="160" t="s">
        <v>397</v>
      </c>
      <c r="G60" s="160" t="s">
        <v>384</v>
      </c>
      <c r="H60" s="134" t="s">
        <v>397</v>
      </c>
      <c r="I60" s="134" t="s">
        <v>416</v>
      </c>
      <c r="J60" s="134" t="s">
        <v>384</v>
      </c>
      <c r="K60" s="160" t="s">
        <v>416</v>
      </c>
      <c r="L60" s="161" t="s">
        <v>384</v>
      </c>
      <c r="M60" s="161" t="s">
        <v>416</v>
      </c>
      <c r="N60" s="160" t="s">
        <v>416</v>
      </c>
      <c r="O60" s="160" t="s">
        <v>384</v>
      </c>
      <c r="P60" s="162" t="str">
        <f>+Resultater!E60</f>
        <v>U</v>
      </c>
      <c r="Q60" s="150">
        <v>1</v>
      </c>
      <c r="R60" s="154">
        <f t="shared" si="2"/>
        <v>57</v>
      </c>
      <c r="S60" s="163">
        <f t="shared" si="16"/>
        <v>0</v>
      </c>
      <c r="T60" s="163">
        <f t="shared" si="3"/>
        <v>0</v>
      </c>
      <c r="U60" s="163">
        <f t="shared" si="4"/>
        <v>0</v>
      </c>
      <c r="V60" s="163">
        <f t="shared" si="5"/>
        <v>0</v>
      </c>
      <c r="W60" s="163">
        <f t="shared" si="6"/>
        <v>0</v>
      </c>
      <c r="X60" s="163">
        <f t="shared" si="7"/>
        <v>0</v>
      </c>
      <c r="Y60" s="163">
        <f t="shared" si="8"/>
        <v>0</v>
      </c>
      <c r="Z60" s="163">
        <f t="shared" si="9"/>
        <v>0</v>
      </c>
      <c r="AA60" s="163">
        <f t="shared" si="10"/>
        <v>0</v>
      </c>
      <c r="AB60" s="163">
        <f t="shared" si="11"/>
        <v>0</v>
      </c>
      <c r="AC60" s="163">
        <f t="shared" si="12"/>
        <v>0</v>
      </c>
      <c r="AD60" s="163"/>
      <c r="AE60" s="155" t="str">
        <f>+'2026 World Cup'!C63</f>
        <v>Jun 25, 2026</v>
      </c>
      <c r="AF60" s="155" t="str">
        <f t="shared" si="18"/>
        <v>Japan -</v>
      </c>
      <c r="AG60" s="155" t="str">
        <f t="shared" si="19"/>
        <v>Sverige</v>
      </c>
      <c r="AH60" s="165">
        <f t="shared" si="20"/>
        <v>0.27272727272727271</v>
      </c>
      <c r="AI60" s="165">
        <f t="shared" si="20"/>
        <v>0.36363636363636365</v>
      </c>
      <c r="AJ60" s="165">
        <f t="shared" si="20"/>
        <v>0.36363636363636365</v>
      </c>
      <c r="AL60" s="190"/>
      <c r="AN60" s="173"/>
    </row>
    <row r="61" spans="2:40" ht="12.75" customHeight="1" x14ac:dyDescent="0.2">
      <c r="B61" s="154">
        <f>+Resultater!B61</f>
        <v>58</v>
      </c>
      <c r="C61" s="155" t="str">
        <f>+'2026 World Cup'!E64</f>
        <v>Tunisia</v>
      </c>
      <c r="D61" s="155" t="str">
        <f>+'2026 World Cup'!H64</f>
        <v>Nederland</v>
      </c>
      <c r="E61" s="160" t="s">
        <v>416</v>
      </c>
      <c r="F61" s="160" t="s">
        <v>416</v>
      </c>
      <c r="G61" s="160" t="s">
        <v>416</v>
      </c>
      <c r="H61" s="134" t="s">
        <v>416</v>
      </c>
      <c r="I61" s="134" t="s">
        <v>416</v>
      </c>
      <c r="J61" s="134" t="s">
        <v>416</v>
      </c>
      <c r="K61" s="160" t="s">
        <v>416</v>
      </c>
      <c r="L61" s="161" t="s">
        <v>416</v>
      </c>
      <c r="M61" s="161" t="s">
        <v>416</v>
      </c>
      <c r="N61" s="160" t="s">
        <v>416</v>
      </c>
      <c r="O61" s="160" t="s">
        <v>416</v>
      </c>
      <c r="P61" s="162" t="str">
        <f>+Resultater!E61</f>
        <v>U</v>
      </c>
      <c r="Q61" s="150">
        <v>1</v>
      </c>
      <c r="R61" s="154">
        <f t="shared" si="2"/>
        <v>58</v>
      </c>
      <c r="S61" s="163">
        <f t="shared" si="16"/>
        <v>0</v>
      </c>
      <c r="T61" s="163">
        <f t="shared" si="3"/>
        <v>0</v>
      </c>
      <c r="U61" s="163">
        <f t="shared" si="4"/>
        <v>0</v>
      </c>
      <c r="V61" s="163">
        <f t="shared" si="5"/>
        <v>0</v>
      </c>
      <c r="W61" s="163">
        <f t="shared" si="6"/>
        <v>0</v>
      </c>
      <c r="X61" s="163">
        <f t="shared" si="7"/>
        <v>0</v>
      </c>
      <c r="Y61" s="163">
        <f t="shared" si="8"/>
        <v>0</v>
      </c>
      <c r="Z61" s="163">
        <f t="shared" si="9"/>
        <v>0</v>
      </c>
      <c r="AA61" s="163">
        <f t="shared" si="10"/>
        <v>0</v>
      </c>
      <c r="AB61" s="163">
        <f t="shared" si="11"/>
        <v>0</v>
      </c>
      <c r="AC61" s="163">
        <f t="shared" si="12"/>
        <v>0</v>
      </c>
      <c r="AD61" s="163"/>
      <c r="AE61" s="155" t="str">
        <f>+'2026 World Cup'!C64</f>
        <v>Jun 25, 2026</v>
      </c>
      <c r="AF61" s="155" t="str">
        <f t="shared" si="18"/>
        <v>Tunisia -</v>
      </c>
      <c r="AG61" s="155" t="str">
        <f t="shared" si="19"/>
        <v>Nederland</v>
      </c>
      <c r="AH61" s="165">
        <f t="shared" si="20"/>
        <v>0</v>
      </c>
      <c r="AI61" s="165">
        <f t="shared" si="20"/>
        <v>0</v>
      </c>
      <c r="AJ61" s="165">
        <f t="shared" si="20"/>
        <v>1</v>
      </c>
      <c r="AL61" s="190"/>
      <c r="AN61" s="173"/>
    </row>
    <row r="62" spans="2:40" ht="12.75" customHeight="1" x14ac:dyDescent="0.2">
      <c r="B62" s="154">
        <f>+Resultater!B62</f>
        <v>59</v>
      </c>
      <c r="C62" s="155" t="str">
        <f>+'2026 World Cup'!E65</f>
        <v>Tyrkia</v>
      </c>
      <c r="D62" s="155" t="str">
        <f>+'2026 World Cup'!H65</f>
        <v>USA</v>
      </c>
      <c r="E62" s="160" t="s">
        <v>384</v>
      </c>
      <c r="F62" s="160" t="s">
        <v>416</v>
      </c>
      <c r="G62" s="160" t="s">
        <v>397</v>
      </c>
      <c r="H62" s="134" t="s">
        <v>397</v>
      </c>
      <c r="I62" s="134" t="s">
        <v>384</v>
      </c>
      <c r="J62" s="134" t="s">
        <v>384</v>
      </c>
      <c r="K62" s="160" t="s">
        <v>384</v>
      </c>
      <c r="L62" s="161" t="s">
        <v>384</v>
      </c>
      <c r="M62" s="161" t="s">
        <v>384</v>
      </c>
      <c r="N62" s="160" t="s">
        <v>397</v>
      </c>
      <c r="O62" s="160" t="s">
        <v>384</v>
      </c>
      <c r="P62" s="162" t="str">
        <f>+Resultater!E62</f>
        <v>U</v>
      </c>
      <c r="Q62" s="150">
        <v>1</v>
      </c>
      <c r="R62" s="154">
        <f t="shared" si="2"/>
        <v>59</v>
      </c>
      <c r="S62" s="163">
        <f t="shared" si="16"/>
        <v>0</v>
      </c>
      <c r="T62" s="163">
        <f t="shared" si="3"/>
        <v>0</v>
      </c>
      <c r="U62" s="163">
        <f t="shared" si="4"/>
        <v>0</v>
      </c>
      <c r="V62" s="163">
        <f t="shared" si="5"/>
        <v>0</v>
      </c>
      <c r="W62" s="163">
        <f t="shared" si="6"/>
        <v>0</v>
      </c>
      <c r="X62" s="163">
        <f t="shared" si="7"/>
        <v>0</v>
      </c>
      <c r="Y62" s="163">
        <f t="shared" si="8"/>
        <v>0</v>
      </c>
      <c r="Z62" s="163">
        <f t="shared" si="9"/>
        <v>0</v>
      </c>
      <c r="AA62" s="163">
        <f t="shared" si="10"/>
        <v>0</v>
      </c>
      <c r="AB62" s="163">
        <f t="shared" si="11"/>
        <v>0</v>
      </c>
      <c r="AC62" s="163">
        <f t="shared" si="12"/>
        <v>0</v>
      </c>
      <c r="AD62" s="163"/>
      <c r="AE62" s="155" t="str">
        <f>+'2026 World Cup'!C65</f>
        <v>Jun 26, 2026</v>
      </c>
      <c r="AF62" s="155" t="str">
        <f t="shared" si="18"/>
        <v>Tyrkia -</v>
      </c>
      <c r="AG62" s="155" t="str">
        <f t="shared" si="19"/>
        <v>USA</v>
      </c>
      <c r="AH62" s="165">
        <f t="shared" si="20"/>
        <v>0.27272727272727271</v>
      </c>
      <c r="AI62" s="165">
        <f t="shared" si="20"/>
        <v>0.63636363636363635</v>
      </c>
      <c r="AJ62" s="165">
        <f t="shared" si="20"/>
        <v>9.0909090909090912E-2</v>
      </c>
      <c r="AL62" s="190"/>
      <c r="AN62" s="173"/>
    </row>
    <row r="63" spans="2:40" ht="12.75" customHeight="1" x14ac:dyDescent="0.2">
      <c r="B63" s="154">
        <f>+Resultater!B63</f>
        <v>60</v>
      </c>
      <c r="C63" s="155" t="str">
        <f>+'2026 World Cup'!E66</f>
        <v>Paraguay</v>
      </c>
      <c r="D63" s="155" t="str">
        <f>+'2026 World Cup'!H66</f>
        <v>Australia</v>
      </c>
      <c r="E63" s="160" t="s">
        <v>384</v>
      </c>
      <c r="F63" s="160" t="s">
        <v>384</v>
      </c>
      <c r="G63" s="160" t="s">
        <v>384</v>
      </c>
      <c r="H63" s="134" t="s">
        <v>397</v>
      </c>
      <c r="I63" s="134" t="s">
        <v>397</v>
      </c>
      <c r="J63" s="134" t="s">
        <v>397</v>
      </c>
      <c r="K63" s="160" t="s">
        <v>416</v>
      </c>
      <c r="L63" s="161" t="s">
        <v>416</v>
      </c>
      <c r="M63" s="161" t="s">
        <v>384</v>
      </c>
      <c r="N63" s="160" t="s">
        <v>384</v>
      </c>
      <c r="O63" s="160" t="s">
        <v>384</v>
      </c>
      <c r="P63" s="162" t="str">
        <f>+Resultater!E63</f>
        <v>U</v>
      </c>
      <c r="Q63" s="150">
        <v>1</v>
      </c>
      <c r="R63" s="154">
        <f t="shared" si="2"/>
        <v>60</v>
      </c>
      <c r="S63" s="163">
        <f t="shared" si="16"/>
        <v>0</v>
      </c>
      <c r="T63" s="163">
        <f t="shared" si="3"/>
        <v>0</v>
      </c>
      <c r="U63" s="163">
        <f t="shared" si="4"/>
        <v>0</v>
      </c>
      <c r="V63" s="163">
        <f t="shared" si="5"/>
        <v>0</v>
      </c>
      <c r="W63" s="163">
        <f t="shared" si="6"/>
        <v>0</v>
      </c>
      <c r="X63" s="163">
        <f t="shared" si="7"/>
        <v>0</v>
      </c>
      <c r="Y63" s="163">
        <f t="shared" si="8"/>
        <v>0</v>
      </c>
      <c r="Z63" s="163">
        <f t="shared" si="9"/>
        <v>0</v>
      </c>
      <c r="AA63" s="163">
        <f t="shared" si="10"/>
        <v>0</v>
      </c>
      <c r="AB63" s="163">
        <f t="shared" si="11"/>
        <v>0</v>
      </c>
      <c r="AC63" s="163">
        <f t="shared" si="12"/>
        <v>0</v>
      </c>
      <c r="AD63" s="163"/>
      <c r="AE63" s="155" t="str">
        <f>+'2026 World Cup'!C66</f>
        <v>Jun 26, 2026</v>
      </c>
      <c r="AF63" s="155" t="str">
        <f t="shared" si="18"/>
        <v>Paraguay -</v>
      </c>
      <c r="AG63" s="155" t="str">
        <f t="shared" si="19"/>
        <v>Australia</v>
      </c>
      <c r="AH63" s="165">
        <f t="shared" si="20"/>
        <v>0.27272727272727271</v>
      </c>
      <c r="AI63" s="165">
        <f t="shared" si="20"/>
        <v>0.54545454545454541</v>
      </c>
      <c r="AJ63" s="165">
        <f t="shared" si="20"/>
        <v>0.18181818181818182</v>
      </c>
      <c r="AL63" s="190"/>
      <c r="AN63" s="173"/>
    </row>
    <row r="64" spans="2:40" ht="12.75" customHeight="1" x14ac:dyDescent="0.2">
      <c r="B64" s="154">
        <f>+Resultater!B64</f>
        <v>61</v>
      </c>
      <c r="C64" s="155" t="str">
        <f>+'2026 World Cup'!E67</f>
        <v>Norge</v>
      </c>
      <c r="D64" s="155" t="str">
        <f>+'2026 World Cup'!H67</f>
        <v>Frankrike</v>
      </c>
      <c r="E64" s="160" t="s">
        <v>384</v>
      </c>
      <c r="F64" s="160" t="s">
        <v>416</v>
      </c>
      <c r="G64" s="160" t="s">
        <v>384</v>
      </c>
      <c r="H64" s="134" t="s">
        <v>384</v>
      </c>
      <c r="I64" s="134" t="s">
        <v>384</v>
      </c>
      <c r="J64" s="134" t="s">
        <v>384</v>
      </c>
      <c r="K64" s="160" t="s">
        <v>384</v>
      </c>
      <c r="L64" s="161" t="s">
        <v>416</v>
      </c>
      <c r="M64" s="161" t="s">
        <v>416</v>
      </c>
      <c r="N64" s="160" t="s">
        <v>416</v>
      </c>
      <c r="O64" s="160" t="s">
        <v>416</v>
      </c>
      <c r="P64" s="162" t="str">
        <f>+Resultater!E64</f>
        <v>U</v>
      </c>
      <c r="Q64" s="150">
        <v>1</v>
      </c>
      <c r="R64" s="154">
        <f t="shared" si="2"/>
        <v>61</v>
      </c>
      <c r="S64" s="163">
        <f t="shared" si="16"/>
        <v>0</v>
      </c>
      <c r="T64" s="163">
        <f t="shared" si="3"/>
        <v>0</v>
      </c>
      <c r="U64" s="163">
        <f t="shared" si="4"/>
        <v>0</v>
      </c>
      <c r="V64" s="163">
        <f t="shared" si="5"/>
        <v>0</v>
      </c>
      <c r="W64" s="163">
        <f t="shared" si="6"/>
        <v>0</v>
      </c>
      <c r="X64" s="163">
        <f t="shared" si="7"/>
        <v>0</v>
      </c>
      <c r="Y64" s="163">
        <f t="shared" si="8"/>
        <v>0</v>
      </c>
      <c r="Z64" s="163">
        <f t="shared" si="9"/>
        <v>0</v>
      </c>
      <c r="AA64" s="163">
        <f t="shared" si="10"/>
        <v>0</v>
      </c>
      <c r="AB64" s="163">
        <f t="shared" si="11"/>
        <v>0</v>
      </c>
      <c r="AC64" s="163">
        <f t="shared" si="12"/>
        <v>0</v>
      </c>
      <c r="AD64" s="163"/>
      <c r="AE64" s="155" t="str">
        <f>+'2026 World Cup'!C67</f>
        <v>Jun 26, 2026</v>
      </c>
      <c r="AF64" s="155" t="str">
        <f t="shared" si="18"/>
        <v>Norge -</v>
      </c>
      <c r="AG64" s="155" t="str">
        <f t="shared" si="19"/>
        <v>Frankrike</v>
      </c>
      <c r="AH64" s="165">
        <f t="shared" ref="AH64:AJ75" si="21">+COUNTIF($E64:$O64,AH$3)/COUNTA($E64:$O64)</f>
        <v>0</v>
      </c>
      <c r="AI64" s="165">
        <f t="shared" si="21"/>
        <v>0.54545454545454541</v>
      </c>
      <c r="AJ64" s="165">
        <f t="shared" si="21"/>
        <v>0.45454545454545453</v>
      </c>
      <c r="AL64" s="190"/>
      <c r="AN64" s="173"/>
    </row>
    <row r="65" spans="2:40" ht="12.75" customHeight="1" x14ac:dyDescent="0.2">
      <c r="B65" s="154">
        <f>+Resultater!B65</f>
        <v>62</v>
      </c>
      <c r="C65" s="155" t="str">
        <f>+'2026 World Cup'!E68</f>
        <v>Senegal</v>
      </c>
      <c r="D65" s="155" t="str">
        <f>+'2026 World Cup'!H68</f>
        <v>Irak</v>
      </c>
      <c r="E65" s="160" t="s">
        <v>397</v>
      </c>
      <c r="F65" s="160" t="s">
        <v>397</v>
      </c>
      <c r="G65" s="160" t="s">
        <v>397</v>
      </c>
      <c r="H65" s="134" t="s">
        <v>397</v>
      </c>
      <c r="I65" s="134" t="s">
        <v>384</v>
      </c>
      <c r="J65" s="134" t="s">
        <v>397</v>
      </c>
      <c r="K65" s="160" t="s">
        <v>397</v>
      </c>
      <c r="L65" s="161" t="s">
        <v>397</v>
      </c>
      <c r="M65" s="161" t="s">
        <v>397</v>
      </c>
      <c r="N65" s="160" t="s">
        <v>397</v>
      </c>
      <c r="O65" s="160" t="s">
        <v>397</v>
      </c>
      <c r="P65" s="162" t="str">
        <f>+Resultater!E65</f>
        <v>U</v>
      </c>
      <c r="Q65" s="150">
        <v>1</v>
      </c>
      <c r="R65" s="154">
        <f t="shared" si="2"/>
        <v>62</v>
      </c>
      <c r="S65" s="163">
        <f t="shared" si="16"/>
        <v>0</v>
      </c>
      <c r="T65" s="163">
        <f t="shared" si="3"/>
        <v>0</v>
      </c>
      <c r="U65" s="163">
        <f t="shared" si="4"/>
        <v>0</v>
      </c>
      <c r="V65" s="163">
        <f t="shared" si="5"/>
        <v>0</v>
      </c>
      <c r="W65" s="163">
        <f t="shared" si="6"/>
        <v>0</v>
      </c>
      <c r="X65" s="163">
        <f t="shared" si="7"/>
        <v>0</v>
      </c>
      <c r="Y65" s="163">
        <f t="shared" si="8"/>
        <v>0</v>
      </c>
      <c r="Z65" s="163">
        <f t="shared" si="9"/>
        <v>0</v>
      </c>
      <c r="AA65" s="163">
        <f t="shared" si="10"/>
        <v>0</v>
      </c>
      <c r="AB65" s="163">
        <f t="shared" si="11"/>
        <v>0</v>
      </c>
      <c r="AC65" s="163">
        <f t="shared" si="12"/>
        <v>0</v>
      </c>
      <c r="AD65" s="163"/>
      <c r="AE65" s="155" t="str">
        <f>+'2026 World Cup'!C68</f>
        <v>Jun 26, 2026</v>
      </c>
      <c r="AF65" s="155" t="str">
        <f t="shared" si="18"/>
        <v>Senegal -</v>
      </c>
      <c r="AG65" s="155" t="str">
        <f t="shared" si="19"/>
        <v>Irak</v>
      </c>
      <c r="AH65" s="165">
        <f t="shared" si="21"/>
        <v>0.90909090909090906</v>
      </c>
      <c r="AI65" s="165">
        <f t="shared" si="21"/>
        <v>9.0909090909090912E-2</v>
      </c>
      <c r="AJ65" s="165">
        <f t="shared" si="21"/>
        <v>0</v>
      </c>
      <c r="AL65" s="190"/>
      <c r="AN65" s="173"/>
    </row>
    <row r="66" spans="2:40" ht="12.75" customHeight="1" x14ac:dyDescent="0.2">
      <c r="B66" s="154">
        <f>+Resultater!B66</f>
        <v>63</v>
      </c>
      <c r="C66" s="155" t="str">
        <f>+'2026 World Cup'!E69</f>
        <v>Egypt</v>
      </c>
      <c r="D66" s="155" t="str">
        <f>+'2026 World Cup'!H69</f>
        <v>Iran</v>
      </c>
      <c r="E66" s="160" t="s">
        <v>384</v>
      </c>
      <c r="F66" s="160" t="s">
        <v>384</v>
      </c>
      <c r="G66" s="160" t="s">
        <v>397</v>
      </c>
      <c r="H66" s="134" t="s">
        <v>384</v>
      </c>
      <c r="I66" s="134" t="s">
        <v>384</v>
      </c>
      <c r="J66" s="134" t="s">
        <v>384</v>
      </c>
      <c r="K66" s="160" t="s">
        <v>397</v>
      </c>
      <c r="L66" s="161" t="s">
        <v>384</v>
      </c>
      <c r="M66" s="161" t="s">
        <v>384</v>
      </c>
      <c r="N66" s="160" t="s">
        <v>397</v>
      </c>
      <c r="O66" s="160" t="s">
        <v>416</v>
      </c>
      <c r="P66" s="162" t="str">
        <f>+Resultater!E66</f>
        <v>U</v>
      </c>
      <c r="Q66" s="150">
        <v>1</v>
      </c>
      <c r="R66" s="154">
        <f t="shared" si="2"/>
        <v>63</v>
      </c>
      <c r="S66" s="163">
        <f t="shared" si="16"/>
        <v>0</v>
      </c>
      <c r="T66" s="163">
        <f t="shared" si="3"/>
        <v>0</v>
      </c>
      <c r="U66" s="163">
        <f t="shared" si="4"/>
        <v>0</v>
      </c>
      <c r="V66" s="163">
        <f t="shared" si="5"/>
        <v>0</v>
      </c>
      <c r="W66" s="163">
        <f t="shared" si="6"/>
        <v>0</v>
      </c>
      <c r="X66" s="163">
        <f t="shared" si="7"/>
        <v>0</v>
      </c>
      <c r="Y66" s="163">
        <f t="shared" si="8"/>
        <v>0</v>
      </c>
      <c r="Z66" s="163">
        <f t="shared" si="9"/>
        <v>0</v>
      </c>
      <c r="AA66" s="163">
        <f t="shared" si="10"/>
        <v>0</v>
      </c>
      <c r="AB66" s="163">
        <f t="shared" si="11"/>
        <v>0</v>
      </c>
      <c r="AC66" s="163">
        <f t="shared" si="12"/>
        <v>0</v>
      </c>
      <c r="AD66" s="163"/>
      <c r="AE66" s="155" t="str">
        <f>+'2026 World Cup'!C69</f>
        <v>Jun 27, 2026</v>
      </c>
      <c r="AF66" s="155" t="str">
        <f t="shared" si="18"/>
        <v>Egypt -</v>
      </c>
      <c r="AG66" s="155" t="str">
        <f t="shared" si="19"/>
        <v>Iran</v>
      </c>
      <c r="AH66" s="165">
        <f t="shared" si="21"/>
        <v>0.27272727272727271</v>
      </c>
      <c r="AI66" s="165">
        <f t="shared" si="21"/>
        <v>0.63636363636363635</v>
      </c>
      <c r="AJ66" s="165">
        <f t="shared" si="21"/>
        <v>9.0909090909090912E-2</v>
      </c>
      <c r="AL66" s="190"/>
      <c r="AN66" s="173"/>
    </row>
    <row r="67" spans="2:40" ht="12.75" customHeight="1" x14ac:dyDescent="0.2">
      <c r="B67" s="154">
        <f>+Resultater!B67</f>
        <v>64</v>
      </c>
      <c r="C67" s="155" t="str">
        <f>+'2026 World Cup'!E70</f>
        <v>New Zealand</v>
      </c>
      <c r="D67" s="155" t="str">
        <f>+'2026 World Cup'!H70</f>
        <v>Belgia</v>
      </c>
      <c r="E67" s="160" t="s">
        <v>416</v>
      </c>
      <c r="F67" s="160" t="s">
        <v>416</v>
      </c>
      <c r="G67" s="160" t="s">
        <v>416</v>
      </c>
      <c r="H67" s="134" t="s">
        <v>416</v>
      </c>
      <c r="I67" s="134" t="s">
        <v>416</v>
      </c>
      <c r="J67" s="134" t="s">
        <v>416</v>
      </c>
      <c r="K67" s="160" t="s">
        <v>416</v>
      </c>
      <c r="L67" s="161" t="s">
        <v>416</v>
      </c>
      <c r="M67" s="161" t="s">
        <v>416</v>
      </c>
      <c r="N67" s="160" t="s">
        <v>416</v>
      </c>
      <c r="O67" s="160" t="s">
        <v>416</v>
      </c>
      <c r="P67" s="162" t="str">
        <f>+Resultater!E67</f>
        <v>U</v>
      </c>
      <c r="Q67" s="150">
        <v>1</v>
      </c>
      <c r="R67" s="154">
        <f t="shared" si="2"/>
        <v>64</v>
      </c>
      <c r="S67" s="163">
        <f t="shared" si="16"/>
        <v>0</v>
      </c>
      <c r="T67" s="163">
        <f t="shared" si="3"/>
        <v>0</v>
      </c>
      <c r="U67" s="163">
        <f t="shared" si="4"/>
        <v>0</v>
      </c>
      <c r="V67" s="163">
        <f t="shared" si="5"/>
        <v>0</v>
      </c>
      <c r="W67" s="163">
        <f t="shared" si="6"/>
        <v>0</v>
      </c>
      <c r="X67" s="163">
        <f t="shared" si="7"/>
        <v>0</v>
      </c>
      <c r="Y67" s="163">
        <f t="shared" si="8"/>
        <v>0</v>
      </c>
      <c r="Z67" s="163">
        <f t="shared" si="9"/>
        <v>0</v>
      </c>
      <c r="AA67" s="163">
        <f t="shared" si="10"/>
        <v>0</v>
      </c>
      <c r="AB67" s="163">
        <f t="shared" si="11"/>
        <v>0</v>
      </c>
      <c r="AC67" s="163">
        <f t="shared" si="12"/>
        <v>0</v>
      </c>
      <c r="AD67" s="163"/>
      <c r="AE67" s="155" t="str">
        <f>+'2026 World Cup'!C70</f>
        <v>Jun 27, 2026</v>
      </c>
      <c r="AF67" s="155" t="str">
        <f t="shared" si="18"/>
        <v>New Zealand -</v>
      </c>
      <c r="AG67" s="155" t="str">
        <f t="shared" si="19"/>
        <v>Belgia</v>
      </c>
      <c r="AH67" s="165">
        <f t="shared" si="21"/>
        <v>0</v>
      </c>
      <c r="AI67" s="165">
        <f t="shared" si="21"/>
        <v>0</v>
      </c>
      <c r="AJ67" s="165">
        <f t="shared" si="21"/>
        <v>1</v>
      </c>
      <c r="AL67" s="190"/>
      <c r="AN67" s="173"/>
    </row>
    <row r="68" spans="2:40" ht="12.75" customHeight="1" x14ac:dyDescent="0.2">
      <c r="B68" s="154">
        <f>+Resultater!B68</f>
        <v>65</v>
      </c>
      <c r="C68" s="155" t="str">
        <f>+'2026 World Cup'!E71</f>
        <v>Kapp Verde</v>
      </c>
      <c r="D68" s="155" t="str">
        <f>+'2026 World Cup'!H71</f>
        <v>Saudi-Arabia</v>
      </c>
      <c r="E68" s="160" t="s">
        <v>384</v>
      </c>
      <c r="F68" s="160" t="s">
        <v>384</v>
      </c>
      <c r="G68" s="160" t="s">
        <v>416</v>
      </c>
      <c r="H68" s="134" t="s">
        <v>416</v>
      </c>
      <c r="I68" s="134" t="s">
        <v>384</v>
      </c>
      <c r="J68" s="134" t="s">
        <v>384</v>
      </c>
      <c r="K68" s="160" t="s">
        <v>384</v>
      </c>
      <c r="L68" s="161" t="s">
        <v>416</v>
      </c>
      <c r="M68" s="161" t="s">
        <v>416</v>
      </c>
      <c r="N68" s="160" t="s">
        <v>416</v>
      </c>
      <c r="O68" s="160" t="s">
        <v>416</v>
      </c>
      <c r="P68" s="162" t="str">
        <f>+Resultater!E68</f>
        <v>U</v>
      </c>
      <c r="Q68" s="150">
        <v>1</v>
      </c>
      <c r="R68" s="154">
        <f t="shared" si="2"/>
        <v>65</v>
      </c>
      <c r="S68" s="163">
        <f t="shared" si="16"/>
        <v>0</v>
      </c>
      <c r="T68" s="163">
        <f t="shared" ref="T68:T75" si="22">+IF($S$1&gt;=$B68,IF($P68=F68,$Q68,0),0)</f>
        <v>0</v>
      </c>
      <c r="U68" s="163">
        <f t="shared" ref="U68:U75" si="23">+IF($S$1&gt;=$B68,IF($P68=G68,$Q68,0),0)</f>
        <v>0</v>
      </c>
      <c r="V68" s="163">
        <f t="shared" ref="V68:V75" si="24">+IF($S$1&gt;=$B68,IF($P68=H68,$Q68,0),0)</f>
        <v>0</v>
      </c>
      <c r="W68" s="163">
        <f t="shared" ref="W68:W75" si="25">+IF($S$1&gt;=$B68,IF($P68=I68,$Q68,0),0)</f>
        <v>0</v>
      </c>
      <c r="X68" s="163">
        <f t="shared" ref="X68:X75" si="26">+IF($S$1&gt;=$B68,IF($P68=J68,$Q68,0),0)</f>
        <v>0</v>
      </c>
      <c r="Y68" s="163">
        <f t="shared" ref="Y68:Y75" si="27">+IF($S$1&gt;=$B68,IF($P68=K68,$Q68,0),0)</f>
        <v>0</v>
      </c>
      <c r="Z68" s="163">
        <f t="shared" ref="Z68:Z75" si="28">+IF($S$1&gt;=$B68,IF($P68=L68,$Q68,0),0)</f>
        <v>0</v>
      </c>
      <c r="AA68" s="163">
        <f t="shared" ref="AA68:AA75" si="29">+IF($S$1&gt;=$B68,IF($P68=M68,$Q68,0),0)</f>
        <v>0</v>
      </c>
      <c r="AB68" s="163">
        <f t="shared" ref="AB68:AB75" si="30">+IF($S$1&gt;=$B68,IF($P68=N68,$Q68,0),0)</f>
        <v>0</v>
      </c>
      <c r="AC68" s="163">
        <f t="shared" ref="AC68:AC75" si="31">+IF($S$1&gt;=$B68,IF($P68=O68,$Q68,0),0)</f>
        <v>0</v>
      </c>
      <c r="AD68" s="163"/>
      <c r="AE68" s="155" t="str">
        <f>+'2026 World Cup'!C71</f>
        <v>Jun 27, 2026</v>
      </c>
      <c r="AF68" s="155" t="str">
        <f t="shared" ref="AF68:AF75" si="32">+C68&amp;" -"</f>
        <v>Kapp Verde -</v>
      </c>
      <c r="AG68" s="155" t="str">
        <f t="shared" ref="AG68:AG75" si="33">+D68</f>
        <v>Saudi-Arabia</v>
      </c>
      <c r="AH68" s="165">
        <f t="shared" si="21"/>
        <v>0</v>
      </c>
      <c r="AI68" s="165">
        <f t="shared" si="21"/>
        <v>0.45454545454545453</v>
      </c>
      <c r="AJ68" s="165">
        <f t="shared" si="21"/>
        <v>0.54545454545454541</v>
      </c>
      <c r="AL68" s="190"/>
      <c r="AN68" s="173"/>
    </row>
    <row r="69" spans="2:40" ht="12.75" customHeight="1" x14ac:dyDescent="0.2">
      <c r="B69" s="154">
        <f>+Resultater!B69</f>
        <v>66</v>
      </c>
      <c r="C69" s="155" t="str">
        <f>+'2026 World Cup'!E72</f>
        <v>Uruguay</v>
      </c>
      <c r="D69" s="155" t="str">
        <f>+'2026 World Cup'!H72</f>
        <v>Spania</v>
      </c>
      <c r="E69" s="160" t="s">
        <v>416</v>
      </c>
      <c r="F69" s="160" t="s">
        <v>416</v>
      </c>
      <c r="G69" s="160" t="s">
        <v>416</v>
      </c>
      <c r="H69" s="134" t="s">
        <v>384</v>
      </c>
      <c r="I69" s="134" t="s">
        <v>384</v>
      </c>
      <c r="J69" s="134" t="s">
        <v>384</v>
      </c>
      <c r="K69" s="160" t="s">
        <v>416</v>
      </c>
      <c r="L69" s="161" t="s">
        <v>384</v>
      </c>
      <c r="M69" s="161" t="s">
        <v>416</v>
      </c>
      <c r="N69" s="160" t="s">
        <v>416</v>
      </c>
      <c r="O69" s="160" t="s">
        <v>416</v>
      </c>
      <c r="P69" s="162" t="str">
        <f>+Resultater!E69</f>
        <v>U</v>
      </c>
      <c r="Q69" s="150">
        <v>1</v>
      </c>
      <c r="R69" s="154">
        <f t="shared" si="2"/>
        <v>66</v>
      </c>
      <c r="S69" s="163">
        <f t="shared" ref="S69:S75" si="34">+IF($S$1&gt;=$B69,IF($P69=E69,$Q69,0),0)</f>
        <v>0</v>
      </c>
      <c r="T69" s="163">
        <f t="shared" si="22"/>
        <v>0</v>
      </c>
      <c r="U69" s="163">
        <f t="shared" si="23"/>
        <v>0</v>
      </c>
      <c r="V69" s="163">
        <f t="shared" si="24"/>
        <v>0</v>
      </c>
      <c r="W69" s="163">
        <f t="shared" si="25"/>
        <v>0</v>
      </c>
      <c r="X69" s="163">
        <f t="shared" si="26"/>
        <v>0</v>
      </c>
      <c r="Y69" s="163">
        <f t="shared" si="27"/>
        <v>0</v>
      </c>
      <c r="Z69" s="163">
        <f t="shared" si="28"/>
        <v>0</v>
      </c>
      <c r="AA69" s="163">
        <f t="shared" si="29"/>
        <v>0</v>
      </c>
      <c r="AB69" s="163">
        <f t="shared" si="30"/>
        <v>0</v>
      </c>
      <c r="AC69" s="163">
        <f t="shared" si="31"/>
        <v>0</v>
      </c>
      <c r="AD69" s="163"/>
      <c r="AE69" s="155" t="str">
        <f>+'2026 World Cup'!C72</f>
        <v>Jun 27, 2026</v>
      </c>
      <c r="AF69" s="155" t="str">
        <f t="shared" si="32"/>
        <v>Uruguay -</v>
      </c>
      <c r="AG69" s="155" t="str">
        <f t="shared" si="33"/>
        <v>Spania</v>
      </c>
      <c r="AH69" s="165">
        <f t="shared" si="21"/>
        <v>0</v>
      </c>
      <c r="AI69" s="165">
        <f t="shared" si="21"/>
        <v>0.36363636363636365</v>
      </c>
      <c r="AJ69" s="165">
        <f t="shared" si="21"/>
        <v>0.63636363636363635</v>
      </c>
      <c r="AL69" s="190"/>
      <c r="AN69" s="173"/>
    </row>
    <row r="70" spans="2:40" ht="12.75" customHeight="1" x14ac:dyDescent="0.2">
      <c r="B70" s="154">
        <f>+Resultater!B70</f>
        <v>67</v>
      </c>
      <c r="C70" s="155" t="str">
        <f>+'2026 World Cup'!E73</f>
        <v>Panama</v>
      </c>
      <c r="D70" s="155" t="str">
        <f>+'2026 World Cup'!H73</f>
        <v>England</v>
      </c>
      <c r="E70" s="160" t="s">
        <v>416</v>
      </c>
      <c r="F70" s="160" t="s">
        <v>416</v>
      </c>
      <c r="G70" s="160" t="s">
        <v>416</v>
      </c>
      <c r="H70" s="134" t="s">
        <v>416</v>
      </c>
      <c r="I70" s="134" t="s">
        <v>416</v>
      </c>
      <c r="J70" s="134" t="s">
        <v>416</v>
      </c>
      <c r="K70" s="160" t="s">
        <v>416</v>
      </c>
      <c r="L70" s="161" t="s">
        <v>416</v>
      </c>
      <c r="M70" s="161" t="s">
        <v>416</v>
      </c>
      <c r="N70" s="160" t="s">
        <v>416</v>
      </c>
      <c r="O70" s="160" t="s">
        <v>416</v>
      </c>
      <c r="P70" s="162" t="str">
        <f>+Resultater!E70</f>
        <v>U</v>
      </c>
      <c r="Q70" s="150">
        <v>1</v>
      </c>
      <c r="R70" s="154">
        <f t="shared" si="2"/>
        <v>67</v>
      </c>
      <c r="S70" s="163">
        <f t="shared" si="34"/>
        <v>0</v>
      </c>
      <c r="T70" s="163">
        <f t="shared" si="22"/>
        <v>0</v>
      </c>
      <c r="U70" s="163">
        <f t="shared" si="23"/>
        <v>0</v>
      </c>
      <c r="V70" s="163">
        <f t="shared" si="24"/>
        <v>0</v>
      </c>
      <c r="W70" s="163">
        <f t="shared" si="25"/>
        <v>0</v>
      </c>
      <c r="X70" s="163">
        <f t="shared" si="26"/>
        <v>0</v>
      </c>
      <c r="Y70" s="163">
        <f t="shared" si="27"/>
        <v>0</v>
      </c>
      <c r="Z70" s="163">
        <f t="shared" si="28"/>
        <v>0</v>
      </c>
      <c r="AA70" s="163">
        <f t="shared" si="29"/>
        <v>0</v>
      </c>
      <c r="AB70" s="163">
        <f t="shared" si="30"/>
        <v>0</v>
      </c>
      <c r="AC70" s="163">
        <f t="shared" si="31"/>
        <v>0</v>
      </c>
      <c r="AD70" s="163"/>
      <c r="AE70" s="155" t="str">
        <f>+'2026 World Cup'!C73</f>
        <v>Jun 27, 2026</v>
      </c>
      <c r="AF70" s="155" t="str">
        <f t="shared" si="32"/>
        <v>Panama -</v>
      </c>
      <c r="AG70" s="155" t="str">
        <f t="shared" si="33"/>
        <v>England</v>
      </c>
      <c r="AH70" s="165">
        <f t="shared" si="21"/>
        <v>0</v>
      </c>
      <c r="AI70" s="165">
        <f t="shared" si="21"/>
        <v>0</v>
      </c>
      <c r="AJ70" s="165">
        <f t="shared" si="21"/>
        <v>1</v>
      </c>
      <c r="AL70" s="190"/>
      <c r="AN70" s="173"/>
    </row>
    <row r="71" spans="2:40" ht="12.75" customHeight="1" x14ac:dyDescent="0.2">
      <c r="B71" s="154">
        <f>+Resultater!B71</f>
        <v>68</v>
      </c>
      <c r="C71" s="155" t="str">
        <f>+'2026 World Cup'!E74</f>
        <v>Kroatia</v>
      </c>
      <c r="D71" s="155" t="str">
        <f>+'2026 World Cup'!H74</f>
        <v>Ghana</v>
      </c>
      <c r="E71" s="160" t="s">
        <v>397</v>
      </c>
      <c r="F71" s="160" t="s">
        <v>397</v>
      </c>
      <c r="G71" s="160" t="s">
        <v>384</v>
      </c>
      <c r="H71" s="134" t="s">
        <v>397</v>
      </c>
      <c r="I71" s="134" t="s">
        <v>384</v>
      </c>
      <c r="J71" s="134" t="s">
        <v>416</v>
      </c>
      <c r="K71" s="160" t="s">
        <v>397</v>
      </c>
      <c r="L71" s="161" t="s">
        <v>397</v>
      </c>
      <c r="M71" s="161" t="s">
        <v>397</v>
      </c>
      <c r="N71" s="160" t="s">
        <v>397</v>
      </c>
      <c r="O71" s="160" t="s">
        <v>397</v>
      </c>
      <c r="P71" s="162" t="str">
        <f>+Resultater!E71</f>
        <v>U</v>
      </c>
      <c r="Q71" s="150">
        <v>1</v>
      </c>
      <c r="R71" s="154">
        <f t="shared" si="2"/>
        <v>68</v>
      </c>
      <c r="S71" s="163">
        <f t="shared" si="34"/>
        <v>0</v>
      </c>
      <c r="T71" s="163">
        <f t="shared" si="22"/>
        <v>0</v>
      </c>
      <c r="U71" s="163">
        <f t="shared" si="23"/>
        <v>0</v>
      </c>
      <c r="V71" s="163">
        <f t="shared" si="24"/>
        <v>0</v>
      </c>
      <c r="W71" s="163">
        <f t="shared" si="25"/>
        <v>0</v>
      </c>
      <c r="X71" s="163">
        <f t="shared" si="26"/>
        <v>0</v>
      </c>
      <c r="Y71" s="163">
        <f t="shared" si="27"/>
        <v>0</v>
      </c>
      <c r="Z71" s="163">
        <f t="shared" si="28"/>
        <v>0</v>
      </c>
      <c r="AA71" s="163">
        <f t="shared" si="29"/>
        <v>0</v>
      </c>
      <c r="AB71" s="163">
        <f t="shared" si="30"/>
        <v>0</v>
      </c>
      <c r="AC71" s="163">
        <f t="shared" si="31"/>
        <v>0</v>
      </c>
      <c r="AD71" s="163"/>
      <c r="AE71" s="155" t="str">
        <f>+'2026 World Cup'!C74</f>
        <v>Jun 27, 2026</v>
      </c>
      <c r="AF71" s="155" t="str">
        <f t="shared" si="32"/>
        <v>Kroatia -</v>
      </c>
      <c r="AG71" s="155" t="str">
        <f t="shared" si="33"/>
        <v>Ghana</v>
      </c>
      <c r="AH71" s="165">
        <f t="shared" si="21"/>
        <v>0.72727272727272729</v>
      </c>
      <c r="AI71" s="165">
        <f t="shared" si="21"/>
        <v>0.18181818181818182</v>
      </c>
      <c r="AJ71" s="165">
        <f t="shared" si="21"/>
        <v>9.0909090909090912E-2</v>
      </c>
      <c r="AL71" s="190"/>
      <c r="AN71" s="173"/>
    </row>
    <row r="72" spans="2:40" ht="12.75" customHeight="1" x14ac:dyDescent="0.2">
      <c r="B72" s="154">
        <f>+Resultater!B72</f>
        <v>69</v>
      </c>
      <c r="C72" s="155" t="str">
        <f>+'2026 World Cup'!E75</f>
        <v>Algerie</v>
      </c>
      <c r="D72" s="155" t="str">
        <f>+'2026 World Cup'!H75</f>
        <v>Østerrike</v>
      </c>
      <c r="E72" s="160" t="s">
        <v>416</v>
      </c>
      <c r="F72" s="160" t="s">
        <v>384</v>
      </c>
      <c r="G72" s="160" t="s">
        <v>384</v>
      </c>
      <c r="H72" s="134" t="s">
        <v>384</v>
      </c>
      <c r="I72" s="134" t="s">
        <v>416</v>
      </c>
      <c r="J72" s="134" t="s">
        <v>416</v>
      </c>
      <c r="K72" s="160" t="s">
        <v>384</v>
      </c>
      <c r="L72" s="161" t="s">
        <v>416</v>
      </c>
      <c r="M72" s="161" t="s">
        <v>416</v>
      </c>
      <c r="N72" s="160" t="s">
        <v>384</v>
      </c>
      <c r="O72" s="160" t="s">
        <v>416</v>
      </c>
      <c r="P72" s="162" t="str">
        <f>+Resultater!E72</f>
        <v>U</v>
      </c>
      <c r="Q72" s="150">
        <v>1</v>
      </c>
      <c r="R72" s="154">
        <f t="shared" si="2"/>
        <v>69</v>
      </c>
      <c r="S72" s="163">
        <f t="shared" si="34"/>
        <v>0</v>
      </c>
      <c r="T72" s="163">
        <f t="shared" si="22"/>
        <v>0</v>
      </c>
      <c r="U72" s="163">
        <f t="shared" si="23"/>
        <v>0</v>
      </c>
      <c r="V72" s="163">
        <f t="shared" si="24"/>
        <v>0</v>
      </c>
      <c r="W72" s="163">
        <f t="shared" si="25"/>
        <v>0</v>
      </c>
      <c r="X72" s="163">
        <f t="shared" si="26"/>
        <v>0</v>
      </c>
      <c r="Y72" s="163">
        <f t="shared" si="27"/>
        <v>0</v>
      </c>
      <c r="Z72" s="163">
        <f t="shared" si="28"/>
        <v>0</v>
      </c>
      <c r="AA72" s="163">
        <f t="shared" si="29"/>
        <v>0</v>
      </c>
      <c r="AB72" s="163">
        <f t="shared" si="30"/>
        <v>0</v>
      </c>
      <c r="AC72" s="163">
        <f t="shared" si="31"/>
        <v>0</v>
      </c>
      <c r="AD72" s="163"/>
      <c r="AE72" s="155" t="str">
        <f>+'2026 World Cup'!C75</f>
        <v>Jun 28, 2026</v>
      </c>
      <c r="AF72" s="155" t="str">
        <f t="shared" si="32"/>
        <v>Algerie -</v>
      </c>
      <c r="AG72" s="155" t="str">
        <f t="shared" si="33"/>
        <v>Østerrike</v>
      </c>
      <c r="AH72" s="165">
        <f t="shared" si="21"/>
        <v>0</v>
      </c>
      <c r="AI72" s="165">
        <f t="shared" si="21"/>
        <v>0.45454545454545453</v>
      </c>
      <c r="AJ72" s="165">
        <f t="shared" si="21"/>
        <v>0.54545454545454541</v>
      </c>
      <c r="AL72" s="190"/>
      <c r="AN72" s="173"/>
    </row>
    <row r="73" spans="2:40" ht="12.75" customHeight="1" x14ac:dyDescent="0.2">
      <c r="B73" s="154">
        <f>+Resultater!B73</f>
        <v>70</v>
      </c>
      <c r="C73" s="155" t="str">
        <f>+'2026 World Cup'!E76</f>
        <v>Jordan</v>
      </c>
      <c r="D73" s="155" t="str">
        <f>+'2026 World Cup'!H76</f>
        <v>Argentina</v>
      </c>
      <c r="E73" s="160" t="s">
        <v>416</v>
      </c>
      <c r="F73" s="160" t="s">
        <v>416</v>
      </c>
      <c r="G73" s="160" t="s">
        <v>416</v>
      </c>
      <c r="H73" s="134" t="s">
        <v>416</v>
      </c>
      <c r="I73" s="134" t="s">
        <v>416</v>
      </c>
      <c r="J73" s="134" t="s">
        <v>416</v>
      </c>
      <c r="K73" s="160" t="s">
        <v>416</v>
      </c>
      <c r="L73" s="161" t="s">
        <v>416</v>
      </c>
      <c r="M73" s="161" t="s">
        <v>416</v>
      </c>
      <c r="N73" s="160" t="s">
        <v>416</v>
      </c>
      <c r="O73" s="160" t="s">
        <v>416</v>
      </c>
      <c r="P73" s="162" t="str">
        <f>+Resultater!E73</f>
        <v>U</v>
      </c>
      <c r="Q73" s="150">
        <v>1</v>
      </c>
      <c r="R73" s="154">
        <f t="shared" si="2"/>
        <v>70</v>
      </c>
      <c r="S73" s="163">
        <f t="shared" si="34"/>
        <v>0</v>
      </c>
      <c r="T73" s="163">
        <f t="shared" si="22"/>
        <v>0</v>
      </c>
      <c r="U73" s="163">
        <f t="shared" si="23"/>
        <v>0</v>
      </c>
      <c r="V73" s="163">
        <f t="shared" si="24"/>
        <v>0</v>
      </c>
      <c r="W73" s="163">
        <f t="shared" si="25"/>
        <v>0</v>
      </c>
      <c r="X73" s="163">
        <f t="shared" si="26"/>
        <v>0</v>
      </c>
      <c r="Y73" s="163">
        <f t="shared" si="27"/>
        <v>0</v>
      </c>
      <c r="Z73" s="163">
        <f t="shared" si="28"/>
        <v>0</v>
      </c>
      <c r="AA73" s="163">
        <f t="shared" si="29"/>
        <v>0</v>
      </c>
      <c r="AB73" s="163">
        <f t="shared" si="30"/>
        <v>0</v>
      </c>
      <c r="AC73" s="163">
        <f t="shared" si="31"/>
        <v>0</v>
      </c>
      <c r="AD73" s="163"/>
      <c r="AE73" s="155" t="str">
        <f>+'2026 World Cup'!C76</f>
        <v>Jun 28, 2026</v>
      </c>
      <c r="AF73" s="155" t="str">
        <f t="shared" si="32"/>
        <v>Jordan -</v>
      </c>
      <c r="AG73" s="155" t="str">
        <f t="shared" si="33"/>
        <v>Argentina</v>
      </c>
      <c r="AH73" s="165">
        <f t="shared" si="21"/>
        <v>0</v>
      </c>
      <c r="AI73" s="165">
        <f t="shared" si="21"/>
        <v>0</v>
      </c>
      <c r="AJ73" s="165">
        <f t="shared" si="21"/>
        <v>1</v>
      </c>
      <c r="AL73" s="190"/>
      <c r="AN73" s="173"/>
    </row>
    <row r="74" spans="2:40" ht="12.75" customHeight="1" x14ac:dyDescent="0.2">
      <c r="B74" s="154">
        <f>+Resultater!B74</f>
        <v>71</v>
      </c>
      <c r="C74" s="155" t="str">
        <f>+'2026 World Cup'!E77</f>
        <v>Colombia</v>
      </c>
      <c r="D74" s="155" t="str">
        <f>+'2026 World Cup'!H77</f>
        <v>Portugal</v>
      </c>
      <c r="E74" s="160" t="s">
        <v>416</v>
      </c>
      <c r="F74" s="160" t="s">
        <v>416</v>
      </c>
      <c r="G74" s="160" t="s">
        <v>416</v>
      </c>
      <c r="H74" s="134" t="s">
        <v>416</v>
      </c>
      <c r="I74" s="134" t="s">
        <v>416</v>
      </c>
      <c r="J74" s="134" t="s">
        <v>384</v>
      </c>
      <c r="K74" s="160" t="s">
        <v>416</v>
      </c>
      <c r="L74" s="161" t="s">
        <v>416</v>
      </c>
      <c r="M74" s="161" t="s">
        <v>384</v>
      </c>
      <c r="N74" s="160" t="s">
        <v>416</v>
      </c>
      <c r="O74" s="160" t="s">
        <v>384</v>
      </c>
      <c r="P74" s="162" t="str">
        <f>+Resultater!E74</f>
        <v>U</v>
      </c>
      <c r="Q74" s="150">
        <v>1</v>
      </c>
      <c r="R74" s="154">
        <f t="shared" si="2"/>
        <v>71</v>
      </c>
      <c r="S74" s="163">
        <f t="shared" si="34"/>
        <v>0</v>
      </c>
      <c r="T74" s="163">
        <f t="shared" si="22"/>
        <v>0</v>
      </c>
      <c r="U74" s="163">
        <f t="shared" si="23"/>
        <v>0</v>
      </c>
      <c r="V74" s="163">
        <f t="shared" si="24"/>
        <v>0</v>
      </c>
      <c r="W74" s="163">
        <f t="shared" si="25"/>
        <v>0</v>
      </c>
      <c r="X74" s="163">
        <f t="shared" si="26"/>
        <v>0</v>
      </c>
      <c r="Y74" s="163">
        <f t="shared" si="27"/>
        <v>0</v>
      </c>
      <c r="Z74" s="163">
        <f t="shared" si="28"/>
        <v>0</v>
      </c>
      <c r="AA74" s="163">
        <f t="shared" si="29"/>
        <v>0</v>
      </c>
      <c r="AB74" s="163">
        <f t="shared" si="30"/>
        <v>0</v>
      </c>
      <c r="AC74" s="163">
        <f t="shared" si="31"/>
        <v>0</v>
      </c>
      <c r="AD74" s="163"/>
      <c r="AE74" s="155" t="str">
        <f>+'2026 World Cup'!C77</f>
        <v>Jun 27, 2026</v>
      </c>
      <c r="AF74" s="155" t="str">
        <f t="shared" si="32"/>
        <v>Colombia -</v>
      </c>
      <c r="AG74" s="155" t="str">
        <f t="shared" si="33"/>
        <v>Portugal</v>
      </c>
      <c r="AH74" s="165">
        <f t="shared" si="21"/>
        <v>0</v>
      </c>
      <c r="AI74" s="165">
        <f t="shared" si="21"/>
        <v>0.27272727272727271</v>
      </c>
      <c r="AJ74" s="165">
        <f t="shared" si="21"/>
        <v>0.72727272727272729</v>
      </c>
      <c r="AL74" s="190"/>
      <c r="AN74" s="173"/>
    </row>
    <row r="75" spans="2:40" ht="12.75" customHeight="1" x14ac:dyDescent="0.2">
      <c r="B75" s="154">
        <f>+Resultater!B75</f>
        <v>72</v>
      </c>
      <c r="C75" s="155" t="str">
        <f>+'2026 World Cup'!E78</f>
        <v>DR Kongo</v>
      </c>
      <c r="D75" s="155" t="str">
        <f>+'2026 World Cup'!H78</f>
        <v>Usbekistan</v>
      </c>
      <c r="E75" s="160" t="s">
        <v>384</v>
      </c>
      <c r="F75" s="160" t="s">
        <v>384</v>
      </c>
      <c r="G75" s="160" t="s">
        <v>384</v>
      </c>
      <c r="H75" s="134" t="s">
        <v>384</v>
      </c>
      <c r="I75" s="134" t="s">
        <v>416</v>
      </c>
      <c r="J75" s="134" t="s">
        <v>384</v>
      </c>
      <c r="K75" s="160" t="s">
        <v>397</v>
      </c>
      <c r="L75" s="161" t="s">
        <v>384</v>
      </c>
      <c r="M75" s="161" t="s">
        <v>416</v>
      </c>
      <c r="N75" s="160" t="s">
        <v>416</v>
      </c>
      <c r="O75" s="160" t="s">
        <v>384</v>
      </c>
      <c r="P75" s="162" t="str">
        <f>+Resultater!E75</f>
        <v>U</v>
      </c>
      <c r="Q75" s="150">
        <v>1</v>
      </c>
      <c r="R75" s="154">
        <f t="shared" si="2"/>
        <v>72</v>
      </c>
      <c r="S75" s="163">
        <f t="shared" si="34"/>
        <v>0</v>
      </c>
      <c r="T75" s="163">
        <f t="shared" si="22"/>
        <v>0</v>
      </c>
      <c r="U75" s="163">
        <f t="shared" si="23"/>
        <v>0</v>
      </c>
      <c r="V75" s="163">
        <f t="shared" si="24"/>
        <v>0</v>
      </c>
      <c r="W75" s="163">
        <f t="shared" si="25"/>
        <v>0</v>
      </c>
      <c r="X75" s="163">
        <f t="shared" si="26"/>
        <v>0</v>
      </c>
      <c r="Y75" s="163">
        <f t="shared" si="27"/>
        <v>0</v>
      </c>
      <c r="Z75" s="163">
        <f t="shared" si="28"/>
        <v>0</v>
      </c>
      <c r="AA75" s="163">
        <f t="shared" si="29"/>
        <v>0</v>
      </c>
      <c r="AB75" s="163">
        <f t="shared" si="30"/>
        <v>0</v>
      </c>
      <c r="AC75" s="163">
        <f t="shared" si="31"/>
        <v>0</v>
      </c>
      <c r="AD75" s="163"/>
      <c r="AE75" s="155" t="str">
        <f>+'2026 World Cup'!C78</f>
        <v>Jun 27, 2026</v>
      </c>
      <c r="AF75" s="155" t="str">
        <f t="shared" si="32"/>
        <v>DR Kongo -</v>
      </c>
      <c r="AG75" s="155" t="str">
        <f t="shared" si="33"/>
        <v>Usbekistan</v>
      </c>
      <c r="AH75" s="165">
        <f t="shared" si="21"/>
        <v>9.0909090909090912E-2</v>
      </c>
      <c r="AI75" s="165">
        <f t="shared" si="21"/>
        <v>0.63636363636363635</v>
      </c>
      <c r="AJ75" s="165">
        <f t="shared" si="21"/>
        <v>0.27272727272727271</v>
      </c>
      <c r="AL75" s="190"/>
      <c r="AN75" s="173"/>
    </row>
    <row r="76" spans="2:40" ht="12.75" customHeight="1" x14ac:dyDescent="0.2">
      <c r="B76" s="149" t="s">
        <v>3727</v>
      </c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H76" s="176"/>
      <c r="AI76" s="175"/>
      <c r="AJ76" s="175"/>
      <c r="AL76" s="190"/>
      <c r="AN76" s="173"/>
    </row>
    <row r="77" spans="2:40" ht="12.75" customHeight="1" x14ac:dyDescent="0.2">
      <c r="B77" s="174">
        <f>+B75+1</f>
        <v>73</v>
      </c>
      <c r="C77" s="155" t="str">
        <f>+'2026 World Cup'!J8</f>
        <v>Gruppe A</v>
      </c>
      <c r="E77" s="160" t="s">
        <v>1323</v>
      </c>
      <c r="F77" s="160" t="s">
        <v>1323</v>
      </c>
      <c r="G77" s="160" t="s">
        <v>1323</v>
      </c>
      <c r="H77" s="134" t="s">
        <v>1323</v>
      </c>
      <c r="I77" s="134" t="s">
        <v>1323</v>
      </c>
      <c r="J77" s="134" t="s">
        <v>1323</v>
      </c>
      <c r="K77" s="160" t="s">
        <v>1323</v>
      </c>
      <c r="L77" s="161" t="s">
        <v>1323</v>
      </c>
      <c r="M77" s="161" t="s">
        <v>1323</v>
      </c>
      <c r="N77" s="160" t="s">
        <v>1323</v>
      </c>
      <c r="O77" s="160" t="s">
        <v>1323</v>
      </c>
      <c r="P77" s="162"/>
      <c r="Q77" s="150">
        <v>3</v>
      </c>
      <c r="R77" s="154">
        <f t="shared" si="2"/>
        <v>73</v>
      </c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H77" s="176"/>
      <c r="AI77" s="175"/>
      <c r="AJ77" s="175"/>
      <c r="AL77" s="190"/>
      <c r="AN77" s="173"/>
    </row>
    <row r="78" spans="2:40" ht="12.75" customHeight="1" x14ac:dyDescent="0.2">
      <c r="B78" s="174">
        <f t="shared" ref="B78:B88" si="35">+B77+1</f>
        <v>74</v>
      </c>
      <c r="C78" s="155" t="str">
        <f>+'2026 World Cup'!J14</f>
        <v>Gruppe B</v>
      </c>
      <c r="E78" s="160" t="s">
        <v>1822</v>
      </c>
      <c r="F78" s="160" t="s">
        <v>1822</v>
      </c>
      <c r="G78" s="160" t="s">
        <v>2020</v>
      </c>
      <c r="H78" s="134" t="s">
        <v>1822</v>
      </c>
      <c r="I78" s="134" t="s">
        <v>1822</v>
      </c>
      <c r="J78" s="134" t="s">
        <v>1822</v>
      </c>
      <c r="K78" s="160" t="s">
        <v>1822</v>
      </c>
      <c r="L78" s="161" t="s">
        <v>1662</v>
      </c>
      <c r="M78" s="161" t="s">
        <v>1662</v>
      </c>
      <c r="N78" s="160" t="s">
        <v>1662</v>
      </c>
      <c r="O78" s="160" t="s">
        <v>1822</v>
      </c>
      <c r="P78" s="162"/>
      <c r="Q78" s="150">
        <v>3</v>
      </c>
      <c r="R78" s="154">
        <f t="shared" si="2"/>
        <v>74</v>
      </c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H78" s="176"/>
      <c r="AI78" s="175"/>
      <c r="AJ78" s="175"/>
      <c r="AL78" s="190"/>
      <c r="AN78" s="173"/>
    </row>
    <row r="79" spans="2:40" ht="12.75" customHeight="1" x14ac:dyDescent="0.2">
      <c r="B79" s="174">
        <f t="shared" si="35"/>
        <v>75</v>
      </c>
      <c r="C79" s="155" t="str">
        <f>+'2026 World Cup'!J20</f>
        <v>Gruppe C</v>
      </c>
      <c r="E79" s="160" t="s">
        <v>1745</v>
      </c>
      <c r="F79" s="160" t="s">
        <v>1745</v>
      </c>
      <c r="G79" s="160" t="s">
        <v>1745</v>
      </c>
      <c r="H79" s="134" t="s">
        <v>1745</v>
      </c>
      <c r="I79" s="134" t="s">
        <v>1745</v>
      </c>
      <c r="J79" s="134" t="s">
        <v>1745</v>
      </c>
      <c r="K79" s="160" t="s">
        <v>1745</v>
      </c>
      <c r="L79" s="161" t="s">
        <v>1745</v>
      </c>
      <c r="M79" s="161" t="s">
        <v>1745</v>
      </c>
      <c r="N79" s="160" t="s">
        <v>1745</v>
      </c>
      <c r="O79" s="160" t="s">
        <v>1745</v>
      </c>
      <c r="P79" s="162"/>
      <c r="Q79" s="150">
        <v>3</v>
      </c>
      <c r="R79" s="154">
        <f t="shared" si="2"/>
        <v>75</v>
      </c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H79" s="176"/>
      <c r="AI79" s="175"/>
      <c r="AJ79" s="175"/>
      <c r="AL79" s="190"/>
      <c r="AN79" s="173"/>
    </row>
    <row r="80" spans="2:40" ht="12.75" customHeight="1" x14ac:dyDescent="0.2">
      <c r="B80" s="174">
        <f t="shared" si="35"/>
        <v>76</v>
      </c>
      <c r="C80" s="155" t="str">
        <f>+'2026 World Cup'!J26</f>
        <v>Gruppe D</v>
      </c>
      <c r="E80" s="160" t="s">
        <v>1223</v>
      </c>
      <c r="F80" s="160" t="s">
        <v>1223</v>
      </c>
      <c r="G80" s="160" t="s">
        <v>2170</v>
      </c>
      <c r="H80" s="134" t="s">
        <v>2170</v>
      </c>
      <c r="I80" s="134" t="s">
        <v>1223</v>
      </c>
      <c r="J80" s="134" t="s">
        <v>1223</v>
      </c>
      <c r="K80" s="160" t="s">
        <v>1223</v>
      </c>
      <c r="L80" s="161" t="s">
        <v>1223</v>
      </c>
      <c r="M80" s="161" t="s">
        <v>1223</v>
      </c>
      <c r="N80" s="160" t="s">
        <v>2170</v>
      </c>
      <c r="O80" s="160" t="s">
        <v>2170</v>
      </c>
      <c r="P80" s="162"/>
      <c r="Q80" s="150">
        <v>3</v>
      </c>
      <c r="R80" s="154">
        <f t="shared" si="2"/>
        <v>76</v>
      </c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H80" s="176"/>
      <c r="AI80" s="175"/>
      <c r="AJ80" s="175"/>
      <c r="AL80" s="190"/>
      <c r="AN80" s="173"/>
    </row>
    <row r="81" spans="2:40" ht="12.75" customHeight="1" x14ac:dyDescent="0.2">
      <c r="B81" s="174">
        <f t="shared" si="35"/>
        <v>77</v>
      </c>
      <c r="C81" s="155" t="str">
        <f>+'2026 World Cup'!J32</f>
        <v>Gruppe E</v>
      </c>
      <c r="E81" s="160" t="s">
        <v>1576</v>
      </c>
      <c r="F81" s="160" t="s">
        <v>1576</v>
      </c>
      <c r="G81" s="160" t="s">
        <v>1576</v>
      </c>
      <c r="H81" s="134" t="s">
        <v>1576</v>
      </c>
      <c r="I81" s="134" t="s">
        <v>1576</v>
      </c>
      <c r="J81" s="134" t="s">
        <v>1576</v>
      </c>
      <c r="K81" s="160" t="s">
        <v>1576</v>
      </c>
      <c r="L81" s="161" t="s">
        <v>1576</v>
      </c>
      <c r="M81" s="161" t="s">
        <v>1576</v>
      </c>
      <c r="N81" s="160" t="s">
        <v>1576</v>
      </c>
      <c r="O81" s="160" t="s">
        <v>1576</v>
      </c>
      <c r="P81" s="162"/>
      <c r="Q81" s="150">
        <v>3</v>
      </c>
      <c r="R81" s="154">
        <f t="shared" si="2"/>
        <v>77</v>
      </c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H81" s="176"/>
      <c r="AI81" s="175"/>
      <c r="AJ81" s="175"/>
      <c r="AL81" s="190"/>
      <c r="AN81" s="173"/>
    </row>
    <row r="82" spans="2:40" ht="12.75" customHeight="1" x14ac:dyDescent="0.2">
      <c r="B82" s="174">
        <f t="shared" si="35"/>
        <v>78</v>
      </c>
      <c r="C82" s="155" t="str">
        <f>+'2026 World Cup'!J38</f>
        <v>Gruppe F</v>
      </c>
      <c r="E82" s="160" t="s">
        <v>1604</v>
      </c>
      <c r="F82" s="160" t="s">
        <v>1125</v>
      </c>
      <c r="G82" s="160" t="s">
        <v>1125</v>
      </c>
      <c r="H82" s="134" t="s">
        <v>1125</v>
      </c>
      <c r="I82" s="134" t="s">
        <v>2250</v>
      </c>
      <c r="J82" s="134" t="s">
        <v>1125</v>
      </c>
      <c r="K82" s="160" t="s">
        <v>1125</v>
      </c>
      <c r="L82" s="161" t="s">
        <v>1125</v>
      </c>
      <c r="M82" s="161" t="s">
        <v>1125</v>
      </c>
      <c r="N82" s="160" t="s">
        <v>1125</v>
      </c>
      <c r="O82" s="160" t="s">
        <v>1125</v>
      </c>
      <c r="P82" s="162"/>
      <c r="Q82" s="150">
        <v>3</v>
      </c>
      <c r="R82" s="154">
        <f t="shared" si="2"/>
        <v>78</v>
      </c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H82" s="176"/>
      <c r="AI82" s="175"/>
      <c r="AJ82" s="175"/>
      <c r="AL82" s="190"/>
      <c r="AN82" s="173"/>
    </row>
    <row r="83" spans="2:40" ht="12.75" customHeight="1" x14ac:dyDescent="0.2">
      <c r="B83" s="174">
        <f t="shared" si="35"/>
        <v>79</v>
      </c>
      <c r="C83" s="155" t="str">
        <f>+'2026 World Cup'!J44</f>
        <v>Gruppe G</v>
      </c>
      <c r="E83" s="160" t="s">
        <v>1646</v>
      </c>
      <c r="F83" s="160" t="s">
        <v>1646</v>
      </c>
      <c r="G83" s="160" t="s">
        <v>1646</v>
      </c>
      <c r="H83" s="134" t="s">
        <v>1646</v>
      </c>
      <c r="I83" s="134" t="s">
        <v>1646</v>
      </c>
      <c r="J83" s="134" t="s">
        <v>1646</v>
      </c>
      <c r="K83" s="160" t="s">
        <v>1646</v>
      </c>
      <c r="L83" s="161" t="s">
        <v>1646</v>
      </c>
      <c r="M83" s="161" t="s">
        <v>1646</v>
      </c>
      <c r="N83" s="160" t="s">
        <v>1646</v>
      </c>
      <c r="O83" s="160" t="s">
        <v>1646</v>
      </c>
      <c r="P83" s="162"/>
      <c r="Q83" s="150">
        <v>3</v>
      </c>
      <c r="R83" s="154">
        <f t="shared" si="2"/>
        <v>79</v>
      </c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H83" s="176"/>
      <c r="AI83" s="175"/>
      <c r="AJ83" s="175"/>
      <c r="AL83" s="190"/>
      <c r="AN83" s="173"/>
    </row>
    <row r="84" spans="2:40" ht="12.75" customHeight="1" x14ac:dyDescent="0.2">
      <c r="B84" s="174">
        <f t="shared" si="35"/>
        <v>80</v>
      </c>
      <c r="C84" s="155" t="str">
        <f>+'2026 World Cup'!J50</f>
        <v>Gruppe H</v>
      </c>
      <c r="E84" s="160" t="s">
        <v>1532</v>
      </c>
      <c r="F84" s="160" t="s">
        <v>1532</v>
      </c>
      <c r="G84" s="160" t="s">
        <v>1532</v>
      </c>
      <c r="H84" s="134" t="s">
        <v>1532</v>
      </c>
      <c r="I84" s="134" t="s">
        <v>1532</v>
      </c>
      <c r="J84" s="134" t="s">
        <v>1900</v>
      </c>
      <c r="K84" s="160" t="s">
        <v>1532</v>
      </c>
      <c r="L84" s="161" t="s">
        <v>1532</v>
      </c>
      <c r="M84" s="161" t="s">
        <v>1532</v>
      </c>
      <c r="N84" s="160" t="s">
        <v>1532</v>
      </c>
      <c r="O84" s="160" t="s">
        <v>1532</v>
      </c>
      <c r="P84" s="162"/>
      <c r="Q84" s="150">
        <v>3</v>
      </c>
      <c r="R84" s="154">
        <f t="shared" si="2"/>
        <v>80</v>
      </c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H84" s="176"/>
      <c r="AI84" s="175"/>
      <c r="AJ84" s="175"/>
      <c r="AL84" s="190"/>
      <c r="AN84" s="173"/>
    </row>
    <row r="85" spans="2:40" ht="12.75" customHeight="1" x14ac:dyDescent="0.2">
      <c r="B85" s="174">
        <f t="shared" si="35"/>
        <v>81</v>
      </c>
      <c r="C85" s="155" t="str">
        <f>+'2026 World Cup'!J56</f>
        <v>Gruppe I</v>
      </c>
      <c r="E85" s="160" t="s">
        <v>1409</v>
      </c>
      <c r="F85" s="160" t="s">
        <v>1409</v>
      </c>
      <c r="G85" s="160" t="s">
        <v>1409</v>
      </c>
      <c r="H85" s="134" t="s">
        <v>1409</v>
      </c>
      <c r="I85" s="134" t="s">
        <v>1409</v>
      </c>
      <c r="J85" s="134" t="s">
        <v>1409</v>
      </c>
      <c r="K85" s="160" t="s">
        <v>1409</v>
      </c>
      <c r="L85" s="161" t="s">
        <v>1409</v>
      </c>
      <c r="M85" s="161" t="s">
        <v>1409</v>
      </c>
      <c r="N85" s="160" t="s">
        <v>1409</v>
      </c>
      <c r="O85" s="160" t="s">
        <v>1409</v>
      </c>
      <c r="P85" s="162"/>
      <c r="Q85" s="150">
        <v>3</v>
      </c>
      <c r="R85" s="154">
        <f t="shared" si="2"/>
        <v>81</v>
      </c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H85" s="176"/>
      <c r="AI85" s="175"/>
      <c r="AJ85" s="175"/>
      <c r="AL85" s="190"/>
      <c r="AN85" s="173"/>
    </row>
    <row r="86" spans="2:40" ht="12.75" customHeight="1" x14ac:dyDescent="0.2">
      <c r="B86" s="174">
        <f t="shared" si="35"/>
        <v>82</v>
      </c>
      <c r="C86" s="155" t="str">
        <f>+'2026 World Cup'!J62</f>
        <v>Gruppe J</v>
      </c>
      <c r="E86" s="160" t="s">
        <v>1264</v>
      </c>
      <c r="F86" s="160" t="s">
        <v>1264</v>
      </c>
      <c r="G86" s="160" t="s">
        <v>1264</v>
      </c>
      <c r="H86" s="134" t="s">
        <v>1264</v>
      </c>
      <c r="I86" s="134" t="s">
        <v>1264</v>
      </c>
      <c r="J86" s="134" t="s">
        <v>1264</v>
      </c>
      <c r="K86" s="160" t="s">
        <v>1264</v>
      </c>
      <c r="L86" s="161" t="s">
        <v>1264</v>
      </c>
      <c r="M86" s="161" t="s">
        <v>1264</v>
      </c>
      <c r="N86" s="160" t="s">
        <v>1264</v>
      </c>
      <c r="O86" s="160" t="s">
        <v>1264</v>
      </c>
      <c r="P86" s="162"/>
      <c r="Q86" s="150">
        <v>3</v>
      </c>
      <c r="R86" s="154">
        <f t="shared" si="2"/>
        <v>82</v>
      </c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H86" s="176"/>
      <c r="AI86" s="175"/>
      <c r="AJ86" s="175"/>
      <c r="AL86" s="190"/>
      <c r="AN86" s="173"/>
    </row>
    <row r="87" spans="2:40" ht="12.75" customHeight="1" x14ac:dyDescent="0.2">
      <c r="B87" s="174">
        <f t="shared" si="35"/>
        <v>83</v>
      </c>
      <c r="C87" s="155" t="str">
        <f>+'2026 World Cup'!J68</f>
        <v>Gruppe K</v>
      </c>
      <c r="E87" s="160" t="s">
        <v>1858</v>
      </c>
      <c r="F87" s="160" t="s">
        <v>1858</v>
      </c>
      <c r="G87" s="160" t="s">
        <v>1858</v>
      </c>
      <c r="H87" s="134" t="s">
        <v>1858</v>
      </c>
      <c r="I87" s="134" t="s">
        <v>1858</v>
      </c>
      <c r="J87" s="134" t="s">
        <v>2573</v>
      </c>
      <c r="K87" s="160" t="s">
        <v>1858</v>
      </c>
      <c r="L87" s="161" t="s">
        <v>1858</v>
      </c>
      <c r="M87" s="161" t="s">
        <v>1858</v>
      </c>
      <c r="N87" s="160" t="s">
        <v>1858</v>
      </c>
      <c r="O87" s="160" t="s">
        <v>1858</v>
      </c>
      <c r="P87" s="162"/>
      <c r="Q87" s="150">
        <v>3</v>
      </c>
      <c r="R87" s="154">
        <f t="shared" si="2"/>
        <v>83</v>
      </c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H87" s="176"/>
      <c r="AI87" s="175"/>
      <c r="AJ87" s="175"/>
      <c r="AL87" s="190"/>
      <c r="AN87" s="173"/>
    </row>
    <row r="88" spans="2:40" ht="12.75" customHeight="1" x14ac:dyDescent="0.2">
      <c r="B88" s="174">
        <f t="shared" si="35"/>
        <v>84</v>
      </c>
      <c r="C88" s="155" t="str">
        <f>+'2026 World Cup'!J74</f>
        <v>Gruppe L</v>
      </c>
      <c r="E88" s="160" t="s">
        <v>1148</v>
      </c>
      <c r="F88" s="160" t="s">
        <v>1148</v>
      </c>
      <c r="G88" s="160" t="s">
        <v>1148</v>
      </c>
      <c r="H88" s="134" t="s">
        <v>1148</v>
      </c>
      <c r="I88" s="134" t="s">
        <v>1148</v>
      </c>
      <c r="J88" s="134" t="s">
        <v>1148</v>
      </c>
      <c r="K88" s="160" t="s">
        <v>1148</v>
      </c>
      <c r="L88" s="161" t="s">
        <v>1148</v>
      </c>
      <c r="M88" s="161" t="s">
        <v>1148</v>
      </c>
      <c r="N88" s="160" t="s">
        <v>1148</v>
      </c>
      <c r="O88" s="160" t="s">
        <v>1148</v>
      </c>
      <c r="P88" s="162"/>
      <c r="Q88" s="150">
        <v>3</v>
      </c>
      <c r="R88" s="154">
        <f t="shared" si="2"/>
        <v>84</v>
      </c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H88" s="176"/>
      <c r="AI88" s="175"/>
      <c r="AJ88" s="175"/>
      <c r="AL88" s="190"/>
      <c r="AN88" s="173"/>
    </row>
    <row r="89" spans="2:40" ht="12.75" customHeight="1" x14ac:dyDescent="0.2">
      <c r="B89" s="174" t="s">
        <v>3731</v>
      </c>
      <c r="C89" s="151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H89" s="176"/>
      <c r="AI89" s="175"/>
      <c r="AJ89" s="175"/>
      <c r="AL89" s="190"/>
      <c r="AN89" s="173"/>
    </row>
    <row r="90" spans="2:40" ht="12.75" customHeight="1" x14ac:dyDescent="0.2">
      <c r="B90" s="174">
        <f>+B88+1</f>
        <v>85</v>
      </c>
      <c r="C90" s="156"/>
      <c r="E90" s="160" t="s">
        <v>1576</v>
      </c>
      <c r="F90" s="160" t="s">
        <v>1576</v>
      </c>
      <c r="G90" s="160" t="s">
        <v>1576</v>
      </c>
      <c r="H90" s="134" t="s">
        <v>1576</v>
      </c>
      <c r="I90" s="134" t="s">
        <v>1576</v>
      </c>
      <c r="J90" s="134" t="s">
        <v>1576</v>
      </c>
      <c r="K90" s="160" t="s">
        <v>1576</v>
      </c>
      <c r="L90" s="161" t="s">
        <v>1576</v>
      </c>
      <c r="M90" s="161" t="s">
        <v>1576</v>
      </c>
      <c r="N90" s="160" t="s">
        <v>1576</v>
      </c>
      <c r="O90" s="160" t="s">
        <v>1576</v>
      </c>
      <c r="P90" s="162"/>
      <c r="Q90" s="150">
        <v>1</v>
      </c>
      <c r="R90" s="154">
        <f t="shared" si="2"/>
        <v>85</v>
      </c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H90" s="176"/>
      <c r="AI90" s="175"/>
      <c r="AJ90" s="175"/>
      <c r="AL90" s="190"/>
      <c r="AN90" s="173"/>
    </row>
    <row r="91" spans="2:40" ht="12.75" customHeight="1" x14ac:dyDescent="0.2">
      <c r="B91" s="174">
        <f>+B90+1</f>
        <v>86</v>
      </c>
      <c r="C91" s="156"/>
      <c r="E91" s="160" t="s">
        <v>2115</v>
      </c>
      <c r="F91" s="160" t="s">
        <v>2115</v>
      </c>
      <c r="G91" s="160" t="s">
        <v>2115</v>
      </c>
      <c r="H91" s="134" t="s">
        <v>2115</v>
      </c>
      <c r="I91" s="134" t="s">
        <v>1686</v>
      </c>
      <c r="J91" s="134" t="s">
        <v>2126</v>
      </c>
      <c r="K91" s="160" t="s">
        <v>2115</v>
      </c>
      <c r="L91" s="161" t="s">
        <v>2115</v>
      </c>
      <c r="M91" s="161" t="s">
        <v>1419</v>
      </c>
      <c r="N91" s="160" t="s">
        <v>2115</v>
      </c>
      <c r="O91" s="160" t="s">
        <v>2115</v>
      </c>
      <c r="P91" s="162"/>
      <c r="Q91" s="150">
        <v>1</v>
      </c>
      <c r="R91" s="154">
        <f t="shared" si="2"/>
        <v>86</v>
      </c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H91" s="176"/>
      <c r="AI91" s="175"/>
      <c r="AJ91" s="175"/>
      <c r="AL91" s="190"/>
      <c r="AN91" s="173"/>
    </row>
    <row r="92" spans="2:40" ht="12.75" customHeight="1" x14ac:dyDescent="0.2">
      <c r="B92" s="174">
        <f t="shared" ref="B92:B98" si="36">+B91+1</f>
        <v>87</v>
      </c>
      <c r="C92" s="156"/>
      <c r="E92" s="160" t="s">
        <v>1409</v>
      </c>
      <c r="F92" s="160" t="s">
        <v>1409</v>
      </c>
      <c r="G92" s="160" t="s">
        <v>1409</v>
      </c>
      <c r="H92" s="134" t="s">
        <v>1409</v>
      </c>
      <c r="I92" s="134" t="s">
        <v>1409</v>
      </c>
      <c r="J92" s="134" t="s">
        <v>1409</v>
      </c>
      <c r="K92" s="160" t="s">
        <v>1409</v>
      </c>
      <c r="L92" s="161" t="s">
        <v>1409</v>
      </c>
      <c r="M92" s="161" t="s">
        <v>1409</v>
      </c>
      <c r="N92" s="160" t="s">
        <v>1409</v>
      </c>
      <c r="O92" s="160" t="s">
        <v>1409</v>
      </c>
      <c r="P92" s="162"/>
      <c r="Q92" s="150">
        <v>1</v>
      </c>
      <c r="R92" s="154">
        <f t="shared" si="2"/>
        <v>87</v>
      </c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H92" s="176"/>
      <c r="AI92" s="175"/>
      <c r="AJ92" s="175"/>
      <c r="AL92" s="190"/>
      <c r="AN92" s="173"/>
    </row>
    <row r="93" spans="2:40" ht="12.75" customHeight="1" x14ac:dyDescent="0.2">
      <c r="B93" s="174">
        <f t="shared" si="36"/>
        <v>88</v>
      </c>
      <c r="C93" s="156"/>
      <c r="E93" s="160" t="s">
        <v>2250</v>
      </c>
      <c r="F93" s="160" t="s">
        <v>2126</v>
      </c>
      <c r="G93" s="160" t="s">
        <v>1309</v>
      </c>
      <c r="H93" s="134" t="s">
        <v>2126</v>
      </c>
      <c r="I93" s="134" t="s">
        <v>2126</v>
      </c>
      <c r="J93" s="134" t="s">
        <v>2250</v>
      </c>
      <c r="K93" s="160" t="s">
        <v>1419</v>
      </c>
      <c r="L93" s="161" t="s">
        <v>1419</v>
      </c>
      <c r="M93" s="161" t="s">
        <v>1604</v>
      </c>
      <c r="N93" s="160" t="s">
        <v>1180</v>
      </c>
      <c r="O93" s="160" t="s">
        <v>1604</v>
      </c>
      <c r="P93" s="162"/>
      <c r="Q93" s="150">
        <v>1</v>
      </c>
      <c r="R93" s="154">
        <f t="shared" si="2"/>
        <v>88</v>
      </c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</row>
    <row r="94" spans="2:40" ht="12.75" customHeight="1" x14ac:dyDescent="0.2">
      <c r="B94" s="174">
        <f t="shared" si="36"/>
        <v>89</v>
      </c>
      <c r="C94" s="156"/>
      <c r="E94" s="160" t="s">
        <v>2059</v>
      </c>
      <c r="F94" s="160" t="s">
        <v>2059</v>
      </c>
      <c r="G94" s="160" t="s">
        <v>2059</v>
      </c>
      <c r="H94" s="134" t="s">
        <v>1946</v>
      </c>
      <c r="I94" s="134" t="s">
        <v>2059</v>
      </c>
      <c r="J94" s="134" t="s">
        <v>2059</v>
      </c>
      <c r="K94" s="160" t="s">
        <v>1946</v>
      </c>
      <c r="L94" s="161" t="s">
        <v>1946</v>
      </c>
      <c r="M94" s="161" t="s">
        <v>1983</v>
      </c>
      <c r="N94" s="160" t="s">
        <v>2059</v>
      </c>
      <c r="O94" s="160" t="s">
        <v>1946</v>
      </c>
      <c r="P94" s="162"/>
      <c r="Q94" s="150">
        <v>1</v>
      </c>
      <c r="R94" s="154">
        <f t="shared" si="2"/>
        <v>89</v>
      </c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H94" s="175"/>
      <c r="AI94" s="176"/>
      <c r="AJ94" s="175"/>
      <c r="AK94" s="154"/>
      <c r="AL94" s="154"/>
    </row>
    <row r="95" spans="2:40" ht="12.75" customHeight="1" x14ac:dyDescent="0.2">
      <c r="B95" s="174">
        <f t="shared" si="36"/>
        <v>90</v>
      </c>
      <c r="C95" s="156"/>
      <c r="E95" s="160" t="s">
        <v>1662</v>
      </c>
      <c r="F95" s="160" t="s">
        <v>1662</v>
      </c>
      <c r="G95" s="160" t="s">
        <v>1822</v>
      </c>
      <c r="H95" s="134" t="s">
        <v>2020</v>
      </c>
      <c r="I95" s="134" t="s">
        <v>1662</v>
      </c>
      <c r="J95" s="134" t="s">
        <v>2020</v>
      </c>
      <c r="K95" s="160" t="s">
        <v>1662</v>
      </c>
      <c r="L95" s="161" t="s">
        <v>1822</v>
      </c>
      <c r="M95" s="161" t="s">
        <v>1822</v>
      </c>
      <c r="N95" s="160" t="s">
        <v>1822</v>
      </c>
      <c r="O95" s="160" t="s">
        <v>1662</v>
      </c>
      <c r="P95" s="162"/>
      <c r="Q95" s="150">
        <v>1</v>
      </c>
      <c r="R95" s="154">
        <f t="shared" si="2"/>
        <v>90</v>
      </c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J95" s="175"/>
      <c r="AK95" s="154"/>
      <c r="AL95" s="154"/>
    </row>
    <row r="96" spans="2:40" ht="12.75" customHeight="1" x14ac:dyDescent="0.2">
      <c r="B96" s="174">
        <f t="shared" si="36"/>
        <v>91</v>
      </c>
      <c r="C96" s="156"/>
      <c r="E96" s="160" t="s">
        <v>1604</v>
      </c>
      <c r="F96" s="160" t="s">
        <v>1125</v>
      </c>
      <c r="G96" s="160" t="s">
        <v>1125</v>
      </c>
      <c r="H96" s="134" t="s">
        <v>1125</v>
      </c>
      <c r="I96" s="134" t="s">
        <v>2250</v>
      </c>
      <c r="J96" s="134" t="s">
        <v>1125</v>
      </c>
      <c r="K96" s="160" t="s">
        <v>1125</v>
      </c>
      <c r="L96" s="161" t="s">
        <v>1125</v>
      </c>
      <c r="M96" s="161" t="s">
        <v>1125</v>
      </c>
      <c r="N96" s="160" t="s">
        <v>1125</v>
      </c>
      <c r="O96" s="160" t="s">
        <v>1125</v>
      </c>
      <c r="P96" s="162"/>
      <c r="Q96" s="150">
        <v>1</v>
      </c>
      <c r="R96" s="154">
        <f t="shared" si="2"/>
        <v>91</v>
      </c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J96" s="175"/>
      <c r="AK96" s="154"/>
      <c r="AL96" s="154"/>
    </row>
    <row r="97" spans="2:43" ht="12.75" customHeight="1" x14ac:dyDescent="0.2">
      <c r="B97" s="174">
        <f t="shared" si="36"/>
        <v>92</v>
      </c>
      <c r="C97" s="156"/>
      <c r="E97" s="160" t="s">
        <v>1686</v>
      </c>
      <c r="F97" s="160" t="s">
        <v>1686</v>
      </c>
      <c r="G97" s="160" t="s">
        <v>1686</v>
      </c>
      <c r="H97" s="134" t="s">
        <v>1686</v>
      </c>
      <c r="I97" s="134" t="s">
        <v>2115</v>
      </c>
      <c r="J97" s="134" t="s">
        <v>1686</v>
      </c>
      <c r="K97" s="160" t="s">
        <v>1686</v>
      </c>
      <c r="L97" s="161" t="s">
        <v>1686</v>
      </c>
      <c r="M97" s="161" t="s">
        <v>1686</v>
      </c>
      <c r="N97" s="160" t="s">
        <v>1686</v>
      </c>
      <c r="O97" s="160" t="s">
        <v>1686</v>
      </c>
      <c r="P97" s="162"/>
      <c r="Q97" s="150">
        <v>1</v>
      </c>
      <c r="R97" s="154">
        <f t="shared" si="2"/>
        <v>92</v>
      </c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J97" s="175"/>
      <c r="AK97" s="154"/>
      <c r="AL97" s="154"/>
    </row>
    <row r="98" spans="2:43" ht="12.75" customHeight="1" x14ac:dyDescent="0.2">
      <c r="B98" s="174">
        <f t="shared" si="36"/>
        <v>93</v>
      </c>
      <c r="C98" s="156"/>
      <c r="E98" s="160" t="s">
        <v>2573</v>
      </c>
      <c r="F98" s="160" t="s">
        <v>2573</v>
      </c>
      <c r="G98" s="160" t="s">
        <v>2573</v>
      </c>
      <c r="H98" s="134" t="s">
        <v>2573</v>
      </c>
      <c r="I98" s="134" t="s">
        <v>2573</v>
      </c>
      <c r="J98" s="134" t="s">
        <v>1858</v>
      </c>
      <c r="K98" s="160" t="s">
        <v>2573</v>
      </c>
      <c r="L98" s="161" t="s">
        <v>2573</v>
      </c>
      <c r="M98" s="161" t="s">
        <v>2573</v>
      </c>
      <c r="N98" s="160" t="s">
        <v>2573</v>
      </c>
      <c r="O98" s="160" t="s">
        <v>2573</v>
      </c>
      <c r="P98" s="162"/>
      <c r="Q98" s="150">
        <v>1</v>
      </c>
      <c r="R98" s="154">
        <f t="shared" si="2"/>
        <v>93</v>
      </c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J98" s="175"/>
      <c r="AK98" s="154"/>
      <c r="AL98" s="154"/>
    </row>
    <row r="99" spans="2:43" ht="12.75" customHeight="1" x14ac:dyDescent="0.2">
      <c r="B99" s="174">
        <f t="shared" ref="B99:B113" si="37">+B97+1</f>
        <v>93</v>
      </c>
      <c r="C99" s="156"/>
      <c r="E99" s="160" t="s">
        <v>1716</v>
      </c>
      <c r="F99" s="160" t="s">
        <v>1716</v>
      </c>
      <c r="G99" s="160" t="s">
        <v>1716</v>
      </c>
      <c r="H99" s="134" t="s">
        <v>1716</v>
      </c>
      <c r="I99" s="134" t="s">
        <v>1716</v>
      </c>
      <c r="J99" s="134" t="s">
        <v>1883</v>
      </c>
      <c r="K99" s="160" t="s">
        <v>1716</v>
      </c>
      <c r="L99" s="161" t="s">
        <v>1716</v>
      </c>
      <c r="M99" s="161" t="s">
        <v>1716</v>
      </c>
      <c r="N99" s="160" t="s">
        <v>1716</v>
      </c>
      <c r="O99" s="160" t="s">
        <v>1716</v>
      </c>
      <c r="P99" s="162"/>
      <c r="Q99" s="150">
        <v>1</v>
      </c>
      <c r="R99" s="154">
        <f t="shared" si="2"/>
        <v>93</v>
      </c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J99" s="175"/>
      <c r="AK99" s="154"/>
      <c r="AL99" s="154"/>
    </row>
    <row r="100" spans="2:43" ht="12.75" customHeight="1" x14ac:dyDescent="0.2">
      <c r="B100" s="174">
        <f t="shared" si="37"/>
        <v>94</v>
      </c>
      <c r="C100" s="156"/>
      <c r="E100" s="160" t="s">
        <v>1532</v>
      </c>
      <c r="F100" s="160" t="s">
        <v>1532</v>
      </c>
      <c r="G100" s="160" t="s">
        <v>1532</v>
      </c>
      <c r="H100" s="134" t="s">
        <v>1532</v>
      </c>
      <c r="I100" s="134" t="s">
        <v>1532</v>
      </c>
      <c r="J100" s="134" t="s">
        <v>1900</v>
      </c>
      <c r="K100" s="160" t="s">
        <v>1532</v>
      </c>
      <c r="L100" s="161" t="s">
        <v>1532</v>
      </c>
      <c r="M100" s="161" t="s">
        <v>1532</v>
      </c>
      <c r="N100" s="160" t="s">
        <v>1532</v>
      </c>
      <c r="O100" s="160" t="s">
        <v>1532</v>
      </c>
      <c r="P100" s="162"/>
      <c r="Q100" s="150">
        <v>1</v>
      </c>
      <c r="R100" s="154">
        <f t="shared" si="2"/>
        <v>94</v>
      </c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J100" s="175"/>
      <c r="AK100" s="154"/>
      <c r="AL100" s="154"/>
    </row>
    <row r="101" spans="2:43" ht="12.75" customHeight="1" x14ac:dyDescent="0.2">
      <c r="B101" s="174">
        <f t="shared" si="37"/>
        <v>94</v>
      </c>
      <c r="C101" s="156"/>
      <c r="E101" s="160" t="s">
        <v>2481</v>
      </c>
      <c r="F101" s="160" t="s">
        <v>2481</v>
      </c>
      <c r="G101" s="160" t="s">
        <v>2481</v>
      </c>
      <c r="H101" s="134" t="s">
        <v>2481</v>
      </c>
      <c r="I101" s="134" t="s">
        <v>2481</v>
      </c>
      <c r="J101" s="134" t="s">
        <v>2481</v>
      </c>
      <c r="K101" s="160" t="s">
        <v>2481</v>
      </c>
      <c r="L101" s="161" t="s">
        <v>2481</v>
      </c>
      <c r="M101" s="161" t="s">
        <v>2481</v>
      </c>
      <c r="N101" s="160" t="s">
        <v>2481</v>
      </c>
      <c r="O101" s="160" t="s">
        <v>2481</v>
      </c>
      <c r="P101" s="162"/>
      <c r="Q101" s="150">
        <v>1</v>
      </c>
      <c r="R101" s="154">
        <f t="shared" si="2"/>
        <v>94</v>
      </c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J101" s="175"/>
      <c r="AK101" s="154"/>
      <c r="AL101" s="154"/>
      <c r="AQ101" s="175"/>
    </row>
    <row r="102" spans="2:43" ht="12.75" customHeight="1" x14ac:dyDescent="0.2">
      <c r="B102" s="174">
        <f t="shared" si="37"/>
        <v>95</v>
      </c>
      <c r="C102" s="156"/>
      <c r="E102" s="160" t="s">
        <v>1223</v>
      </c>
      <c r="F102" s="160" t="s">
        <v>1223</v>
      </c>
      <c r="G102" s="160" t="s">
        <v>2170</v>
      </c>
      <c r="H102" s="134" t="s">
        <v>2170</v>
      </c>
      <c r="I102" s="134" t="s">
        <v>1223</v>
      </c>
      <c r="J102" s="134" t="s">
        <v>1223</v>
      </c>
      <c r="K102" s="160" t="s">
        <v>1223</v>
      </c>
      <c r="L102" s="161" t="s">
        <v>1223</v>
      </c>
      <c r="M102" s="161" t="s">
        <v>1223</v>
      </c>
      <c r="N102" s="160" t="s">
        <v>2170</v>
      </c>
      <c r="O102" s="160" t="s">
        <v>2170</v>
      </c>
      <c r="P102" s="162"/>
      <c r="Q102" s="150">
        <v>1</v>
      </c>
      <c r="R102" s="154">
        <f t="shared" si="2"/>
        <v>95</v>
      </c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J102" s="175"/>
      <c r="AK102" s="154"/>
      <c r="AL102" s="154"/>
      <c r="AQ102" s="177"/>
    </row>
    <row r="103" spans="2:43" ht="12.75" customHeight="1" x14ac:dyDescent="0.2">
      <c r="B103" s="174">
        <f t="shared" si="37"/>
        <v>95</v>
      </c>
      <c r="C103" s="156"/>
      <c r="E103" s="160" t="s">
        <v>2020</v>
      </c>
      <c r="F103" s="160" t="s">
        <v>2020</v>
      </c>
      <c r="G103" s="160" t="s">
        <v>2450</v>
      </c>
      <c r="H103" s="134" t="s">
        <v>2211</v>
      </c>
      <c r="I103" s="134" t="s">
        <v>2020</v>
      </c>
      <c r="J103" s="134" t="s">
        <v>2211</v>
      </c>
      <c r="K103" s="160" t="s">
        <v>2020</v>
      </c>
      <c r="L103" s="161" t="s">
        <v>2020</v>
      </c>
      <c r="M103" s="161" t="s">
        <v>2020</v>
      </c>
      <c r="N103" s="160" t="s">
        <v>2020</v>
      </c>
      <c r="O103" s="160" t="s">
        <v>2211</v>
      </c>
      <c r="P103" s="162"/>
      <c r="Q103" s="150">
        <v>1</v>
      </c>
      <c r="R103" s="154">
        <f t="shared" si="2"/>
        <v>95</v>
      </c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J103" s="175"/>
      <c r="AK103" s="154"/>
      <c r="AL103" s="154"/>
      <c r="AQ103" s="177"/>
    </row>
    <row r="104" spans="2:43" ht="12.75" customHeight="1" x14ac:dyDescent="0.2">
      <c r="B104" s="174">
        <f t="shared" si="37"/>
        <v>96</v>
      </c>
      <c r="C104" s="156"/>
      <c r="E104" s="160" t="s">
        <v>1646</v>
      </c>
      <c r="F104" s="160" t="s">
        <v>1646</v>
      </c>
      <c r="G104" s="160" t="s">
        <v>1646</v>
      </c>
      <c r="H104" s="134" t="s">
        <v>1646</v>
      </c>
      <c r="I104" s="134" t="s">
        <v>1646</v>
      </c>
      <c r="J104" s="134" t="s">
        <v>1646</v>
      </c>
      <c r="K104" s="160" t="s">
        <v>1646</v>
      </c>
      <c r="L104" s="161" t="s">
        <v>1646</v>
      </c>
      <c r="M104" s="161" t="s">
        <v>1646</v>
      </c>
      <c r="N104" s="160" t="s">
        <v>1646</v>
      </c>
      <c r="O104" s="160" t="s">
        <v>1646</v>
      </c>
      <c r="P104" s="162"/>
      <c r="Q104" s="150">
        <v>1</v>
      </c>
      <c r="R104" s="154">
        <f t="shared" si="2"/>
        <v>96</v>
      </c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J104" s="175"/>
      <c r="AK104" s="154"/>
      <c r="AL104" s="154"/>
      <c r="AQ104" s="177"/>
    </row>
    <row r="105" spans="2:43" ht="12.75" customHeight="1" x14ac:dyDescent="0.2">
      <c r="B105" s="174">
        <f t="shared" si="37"/>
        <v>96</v>
      </c>
      <c r="C105" s="156"/>
      <c r="E105" s="160" t="s">
        <v>1946</v>
      </c>
      <c r="F105" s="160" t="s">
        <v>1946</v>
      </c>
      <c r="G105" s="160" t="s">
        <v>1946</v>
      </c>
      <c r="H105" s="134" t="s">
        <v>2059</v>
      </c>
      <c r="I105" s="134" t="s">
        <v>2493</v>
      </c>
      <c r="J105" s="134" t="s">
        <v>1946</v>
      </c>
      <c r="K105" s="160" t="s">
        <v>2450</v>
      </c>
      <c r="L105" s="161" t="s">
        <v>2450</v>
      </c>
      <c r="M105" s="161" t="s">
        <v>2059</v>
      </c>
      <c r="N105" s="160" t="s">
        <v>1983</v>
      </c>
      <c r="O105" s="160" t="s">
        <v>2059</v>
      </c>
      <c r="P105" s="162"/>
      <c r="Q105" s="150">
        <v>1</v>
      </c>
      <c r="R105" s="154">
        <f t="shared" si="2"/>
        <v>96</v>
      </c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J105" s="175"/>
      <c r="AK105" s="154"/>
      <c r="AL105" s="154"/>
      <c r="AQ105" s="177"/>
    </row>
    <row r="106" spans="2:43" ht="12.75" customHeight="1" x14ac:dyDescent="0.2">
      <c r="B106" s="174">
        <f t="shared" si="37"/>
        <v>97</v>
      </c>
      <c r="C106" s="156"/>
      <c r="E106" s="160" t="s">
        <v>1745</v>
      </c>
      <c r="F106" s="160" t="s">
        <v>1745</v>
      </c>
      <c r="G106" s="160" t="s">
        <v>1745</v>
      </c>
      <c r="H106" s="134" t="s">
        <v>1745</v>
      </c>
      <c r="I106" s="134" t="s">
        <v>1745</v>
      </c>
      <c r="J106" s="134" t="s">
        <v>1745</v>
      </c>
      <c r="K106" s="160" t="s">
        <v>1745</v>
      </c>
      <c r="L106" s="161" t="s">
        <v>1745</v>
      </c>
      <c r="M106" s="161" t="s">
        <v>1745</v>
      </c>
      <c r="N106" s="160" t="s">
        <v>1745</v>
      </c>
      <c r="O106" s="160" t="s">
        <v>1745</v>
      </c>
      <c r="P106" s="162"/>
      <c r="Q106" s="150">
        <v>1</v>
      </c>
      <c r="R106" s="154">
        <f t="shared" si="2"/>
        <v>97</v>
      </c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J106" s="175"/>
      <c r="AK106" s="154"/>
      <c r="AL106" s="154"/>
      <c r="AQ106" s="177"/>
    </row>
    <row r="107" spans="2:43" ht="12.75" customHeight="1" x14ac:dyDescent="0.2">
      <c r="B107" s="174">
        <f t="shared" si="37"/>
        <v>97</v>
      </c>
      <c r="C107" s="156"/>
      <c r="E107" s="160" t="s">
        <v>1125</v>
      </c>
      <c r="F107" s="160" t="s">
        <v>1604</v>
      </c>
      <c r="G107" s="160" t="s">
        <v>2250</v>
      </c>
      <c r="H107" s="134" t="s">
        <v>1604</v>
      </c>
      <c r="I107" s="134" t="s">
        <v>1125</v>
      </c>
      <c r="J107" s="134" t="s">
        <v>1604</v>
      </c>
      <c r="K107" s="160" t="s">
        <v>2250</v>
      </c>
      <c r="L107" s="161" t="s">
        <v>1604</v>
      </c>
      <c r="M107" s="161" t="s">
        <v>2250</v>
      </c>
      <c r="N107" s="160" t="s">
        <v>2250</v>
      </c>
      <c r="O107" s="160" t="s">
        <v>2250</v>
      </c>
      <c r="P107" s="162"/>
      <c r="Q107" s="150">
        <v>1</v>
      </c>
      <c r="R107" s="154">
        <f t="shared" si="2"/>
        <v>97</v>
      </c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J107" s="175"/>
      <c r="AK107" s="154"/>
      <c r="AL107" s="154"/>
      <c r="AQ107" s="177"/>
    </row>
    <row r="108" spans="2:43" ht="12.75" customHeight="1" x14ac:dyDescent="0.2">
      <c r="B108" s="174">
        <f t="shared" si="37"/>
        <v>98</v>
      </c>
      <c r="C108" s="156"/>
      <c r="E108" s="160" t="s">
        <v>1093</v>
      </c>
      <c r="F108" s="160" t="s">
        <v>1093</v>
      </c>
      <c r="G108" s="160" t="s">
        <v>1093</v>
      </c>
      <c r="H108" s="134" t="s">
        <v>1093</v>
      </c>
      <c r="I108" s="134" t="s">
        <v>2211</v>
      </c>
      <c r="J108" s="134" t="s">
        <v>1093</v>
      </c>
      <c r="K108" s="160" t="s">
        <v>1093</v>
      </c>
      <c r="L108" s="161" t="s">
        <v>1093</v>
      </c>
      <c r="M108" s="161" t="s">
        <v>2211</v>
      </c>
      <c r="N108" s="160" t="s">
        <v>1093</v>
      </c>
      <c r="O108" s="160" t="s">
        <v>1093</v>
      </c>
      <c r="P108" s="162"/>
      <c r="Q108" s="150">
        <v>1</v>
      </c>
      <c r="R108" s="154">
        <f t="shared" si="2"/>
        <v>98</v>
      </c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J108" s="175"/>
      <c r="AK108" s="154"/>
      <c r="AL108" s="154"/>
      <c r="AQ108" s="177"/>
    </row>
    <row r="109" spans="2:43" ht="12.75" customHeight="1" x14ac:dyDescent="0.2">
      <c r="B109" s="174">
        <f t="shared" si="37"/>
        <v>98</v>
      </c>
      <c r="C109" s="156"/>
      <c r="E109" s="160" t="s">
        <v>2405</v>
      </c>
      <c r="F109" s="160" t="s">
        <v>2405</v>
      </c>
      <c r="G109" s="160" t="s">
        <v>2405</v>
      </c>
      <c r="H109" s="134" t="s">
        <v>2405</v>
      </c>
      <c r="I109" s="134" t="s">
        <v>2405</v>
      </c>
      <c r="J109" s="134" t="s">
        <v>2405</v>
      </c>
      <c r="K109" s="160" t="s">
        <v>2405</v>
      </c>
      <c r="L109" s="161" t="s">
        <v>2405</v>
      </c>
      <c r="M109" s="161" t="s">
        <v>2405</v>
      </c>
      <c r="N109" s="160" t="s">
        <v>1058</v>
      </c>
      <c r="O109" s="160" t="s">
        <v>1058</v>
      </c>
      <c r="P109" s="162"/>
      <c r="Q109" s="150">
        <v>1</v>
      </c>
      <c r="R109" s="154">
        <f t="shared" ref="R109:R121" si="38">+B109</f>
        <v>98</v>
      </c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J109" s="175"/>
      <c r="AK109" s="154"/>
      <c r="AL109" s="154"/>
      <c r="AQ109" s="177"/>
    </row>
    <row r="110" spans="2:43" ht="12.75" customHeight="1" x14ac:dyDescent="0.2">
      <c r="B110" s="174">
        <f t="shared" si="37"/>
        <v>99</v>
      </c>
      <c r="C110" s="156"/>
      <c r="E110" s="160" t="s">
        <v>1323</v>
      </c>
      <c r="F110" s="160" t="s">
        <v>1323</v>
      </c>
      <c r="G110" s="160" t="s">
        <v>1323</v>
      </c>
      <c r="H110" s="134" t="s">
        <v>1323</v>
      </c>
      <c r="I110" s="134" t="s">
        <v>1323</v>
      </c>
      <c r="J110" s="134" t="s">
        <v>1323</v>
      </c>
      <c r="K110" s="160" t="s">
        <v>1323</v>
      </c>
      <c r="L110" s="161" t="s">
        <v>1323</v>
      </c>
      <c r="M110" s="161" t="s">
        <v>1323</v>
      </c>
      <c r="N110" s="160" t="s">
        <v>1323</v>
      </c>
      <c r="O110" s="160" t="s">
        <v>1323</v>
      </c>
      <c r="P110" s="162"/>
      <c r="Q110" s="150">
        <v>1</v>
      </c>
      <c r="R110" s="154">
        <f t="shared" si="38"/>
        <v>99</v>
      </c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J110" s="175"/>
      <c r="AQ110" s="177"/>
    </row>
    <row r="111" spans="2:43" ht="12.75" customHeight="1" x14ac:dyDescent="0.2">
      <c r="B111" s="174">
        <f t="shared" si="37"/>
        <v>99</v>
      </c>
      <c r="C111" s="156"/>
      <c r="E111" s="160" t="s">
        <v>2211</v>
      </c>
      <c r="F111" s="160" t="s">
        <v>2211</v>
      </c>
      <c r="G111" s="160" t="s">
        <v>2211</v>
      </c>
      <c r="H111" s="134" t="s">
        <v>1309</v>
      </c>
      <c r="I111" s="134" t="s">
        <v>1093</v>
      </c>
      <c r="J111" s="134" t="s">
        <v>2115</v>
      </c>
      <c r="K111" s="160" t="s">
        <v>2211</v>
      </c>
      <c r="L111" s="161" t="s">
        <v>1309</v>
      </c>
      <c r="M111" s="161" t="s">
        <v>2115</v>
      </c>
      <c r="N111" s="160" t="s">
        <v>2211</v>
      </c>
      <c r="O111" s="160" t="s">
        <v>1309</v>
      </c>
      <c r="P111" s="162"/>
      <c r="Q111" s="150">
        <v>1</v>
      </c>
      <c r="R111" s="154">
        <f t="shared" si="38"/>
        <v>99</v>
      </c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J111" s="175"/>
      <c r="AK111" s="154"/>
      <c r="AL111" s="154"/>
      <c r="AQ111" s="177"/>
    </row>
    <row r="112" spans="2:43" ht="12.75" customHeight="1" x14ac:dyDescent="0.2">
      <c r="B112" s="174">
        <f t="shared" si="37"/>
        <v>100</v>
      </c>
      <c r="C112" s="156"/>
      <c r="E112" s="160" t="s">
        <v>1148</v>
      </c>
      <c r="F112" s="160" t="s">
        <v>1148</v>
      </c>
      <c r="G112" s="160" t="s">
        <v>1148</v>
      </c>
      <c r="H112" s="134" t="s">
        <v>1148</v>
      </c>
      <c r="I112" s="134" t="s">
        <v>1148</v>
      </c>
      <c r="J112" s="134" t="s">
        <v>1148</v>
      </c>
      <c r="K112" s="160" t="s">
        <v>1148</v>
      </c>
      <c r="L112" s="161" t="s">
        <v>1148</v>
      </c>
      <c r="M112" s="161" t="s">
        <v>1148</v>
      </c>
      <c r="N112" s="160" t="s">
        <v>1148</v>
      </c>
      <c r="O112" s="160" t="s">
        <v>1148</v>
      </c>
      <c r="P112" s="162"/>
      <c r="Q112" s="150">
        <v>1</v>
      </c>
      <c r="R112" s="154">
        <f t="shared" si="38"/>
        <v>100</v>
      </c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J112" s="175"/>
      <c r="AK112" s="154"/>
      <c r="AL112" s="154"/>
      <c r="AQ112" s="177"/>
    </row>
    <row r="113" spans="2:43" ht="12.75" customHeight="1" x14ac:dyDescent="0.2">
      <c r="B113" s="174">
        <f t="shared" si="37"/>
        <v>100</v>
      </c>
      <c r="C113" s="156"/>
      <c r="E113" s="160" t="s">
        <v>2450</v>
      </c>
      <c r="F113" s="160" t="s">
        <v>2533</v>
      </c>
      <c r="G113" s="160" t="s">
        <v>1058</v>
      </c>
      <c r="H113" s="134" t="s">
        <v>1058</v>
      </c>
      <c r="I113" s="134" t="s">
        <v>2558</v>
      </c>
      <c r="J113" s="134" t="s">
        <v>1058</v>
      </c>
      <c r="K113" s="160" t="s">
        <v>1058</v>
      </c>
      <c r="L113" s="161" t="s">
        <v>1058</v>
      </c>
      <c r="M113" s="161" t="s">
        <v>2558</v>
      </c>
      <c r="N113" s="160" t="s">
        <v>2405</v>
      </c>
      <c r="O113" s="160" t="s">
        <v>2405</v>
      </c>
      <c r="P113" s="162"/>
      <c r="Q113" s="150">
        <v>1</v>
      </c>
      <c r="R113" s="154">
        <f t="shared" si="38"/>
        <v>100</v>
      </c>
      <c r="S113" s="163">
        <f t="shared" ref="S113:S118" si="39">+IFERROR(IF($S$1&gt;=$B113,IF(MATCH($P113,E$103:E$118,0),$Q113,0),0),0)</f>
        <v>0</v>
      </c>
      <c r="T113" s="163"/>
      <c r="U113" s="163">
        <f t="shared" ref="U113:Z118" si="40">+IFERROR(IF($S$1&gt;=$B113,IF(MATCH($P113,G$103:G$118,0),$Q113,0),0),0)</f>
        <v>0</v>
      </c>
      <c r="V113" s="163">
        <f t="shared" si="40"/>
        <v>0</v>
      </c>
      <c r="W113" s="163">
        <f t="shared" si="40"/>
        <v>0</v>
      </c>
      <c r="X113" s="163">
        <f t="shared" si="40"/>
        <v>0</v>
      </c>
      <c r="Y113" s="163">
        <f t="shared" si="40"/>
        <v>0</v>
      </c>
      <c r="Z113" s="163">
        <f t="shared" si="40"/>
        <v>0</v>
      </c>
      <c r="AA113" s="163">
        <f t="shared" ref="AA113:AA118" si="41">+IFERROR(IF($S$1&gt;=$B113,IF(MATCH($P113,N$103:N$118,0),$Q113,0),0),0)</f>
        <v>0</v>
      </c>
      <c r="AB113" s="163"/>
      <c r="AC113" s="163"/>
      <c r="AD113" s="163"/>
      <c r="AJ113" s="175"/>
      <c r="AK113" s="178"/>
      <c r="AQ113" s="177"/>
    </row>
    <row r="114" spans="2:43" ht="12.75" customHeight="1" x14ac:dyDescent="0.2">
      <c r="B114" s="174">
        <f t="shared" ref="B114:B121" si="42">+B113+1</f>
        <v>101</v>
      </c>
      <c r="C114" s="156"/>
      <c r="E114" s="160" t="s">
        <v>1264</v>
      </c>
      <c r="F114" s="160" t="s">
        <v>1264</v>
      </c>
      <c r="G114" s="160" t="s">
        <v>1264</v>
      </c>
      <c r="H114" s="134" t="s">
        <v>1264</v>
      </c>
      <c r="I114" s="134" t="s">
        <v>1264</v>
      </c>
      <c r="J114" s="134" t="s">
        <v>1264</v>
      </c>
      <c r="K114" s="160" t="s">
        <v>1264</v>
      </c>
      <c r="L114" s="161" t="s">
        <v>1264</v>
      </c>
      <c r="M114" s="161" t="s">
        <v>1264</v>
      </c>
      <c r="N114" s="160" t="s">
        <v>1264</v>
      </c>
      <c r="O114" s="160" t="s">
        <v>1264</v>
      </c>
      <c r="P114" s="162"/>
      <c r="Q114" s="150">
        <v>1</v>
      </c>
      <c r="R114" s="154">
        <f t="shared" si="38"/>
        <v>101</v>
      </c>
      <c r="S114" s="163">
        <f t="shared" si="39"/>
        <v>0</v>
      </c>
      <c r="T114" s="163"/>
      <c r="U114" s="163">
        <f t="shared" si="40"/>
        <v>0</v>
      </c>
      <c r="V114" s="163">
        <f t="shared" si="40"/>
        <v>0</v>
      </c>
      <c r="W114" s="163">
        <f t="shared" si="40"/>
        <v>0</v>
      </c>
      <c r="X114" s="163">
        <f t="shared" si="40"/>
        <v>0</v>
      </c>
      <c r="Y114" s="163">
        <f t="shared" si="40"/>
        <v>0</v>
      </c>
      <c r="Z114" s="163">
        <f t="shared" si="40"/>
        <v>0</v>
      </c>
      <c r="AA114" s="163">
        <f t="shared" si="41"/>
        <v>0</v>
      </c>
      <c r="AB114" s="163"/>
      <c r="AC114" s="163"/>
      <c r="AD114" s="163"/>
      <c r="AJ114" s="175"/>
      <c r="AQ114" s="177"/>
    </row>
    <row r="115" spans="2:43" ht="12.75" customHeight="1" x14ac:dyDescent="0.2">
      <c r="B115" s="174">
        <f t="shared" si="42"/>
        <v>102</v>
      </c>
      <c r="C115" s="156"/>
      <c r="E115" s="160" t="s">
        <v>1900</v>
      </c>
      <c r="F115" s="160" t="s">
        <v>1900</v>
      </c>
      <c r="G115" s="160" t="s">
        <v>1900</v>
      </c>
      <c r="H115" s="134" t="s">
        <v>1900</v>
      </c>
      <c r="I115" s="134" t="s">
        <v>1900</v>
      </c>
      <c r="J115" s="134" t="s">
        <v>1532</v>
      </c>
      <c r="K115" s="160" t="s">
        <v>1900</v>
      </c>
      <c r="L115" s="161" t="s">
        <v>1900</v>
      </c>
      <c r="M115" s="161" t="s">
        <v>1900</v>
      </c>
      <c r="N115" s="160" t="s">
        <v>1900</v>
      </c>
      <c r="O115" s="160" t="s">
        <v>1900</v>
      </c>
      <c r="P115" s="162"/>
      <c r="Q115" s="150">
        <v>1</v>
      </c>
      <c r="R115" s="154">
        <f t="shared" si="38"/>
        <v>102</v>
      </c>
      <c r="S115" s="163">
        <f t="shared" si="39"/>
        <v>0</v>
      </c>
      <c r="T115" s="163"/>
      <c r="U115" s="163">
        <f t="shared" si="40"/>
        <v>0</v>
      </c>
      <c r="V115" s="163">
        <f t="shared" si="40"/>
        <v>0</v>
      </c>
      <c r="W115" s="163">
        <f t="shared" si="40"/>
        <v>0</v>
      </c>
      <c r="X115" s="163">
        <f t="shared" si="40"/>
        <v>0</v>
      </c>
      <c r="Y115" s="163">
        <f t="shared" si="40"/>
        <v>0</v>
      </c>
      <c r="Z115" s="163">
        <f t="shared" si="40"/>
        <v>0</v>
      </c>
      <c r="AA115" s="163">
        <f t="shared" si="41"/>
        <v>0</v>
      </c>
      <c r="AB115" s="163"/>
      <c r="AC115" s="163"/>
      <c r="AD115" s="163"/>
      <c r="AJ115" s="175"/>
      <c r="AQ115" s="151"/>
    </row>
    <row r="116" spans="2:43" ht="12.75" customHeight="1" x14ac:dyDescent="0.2">
      <c r="B116" s="174">
        <f t="shared" si="42"/>
        <v>103</v>
      </c>
      <c r="C116" s="156"/>
      <c r="E116" s="160" t="s">
        <v>2170</v>
      </c>
      <c r="F116" s="160" t="s">
        <v>2170</v>
      </c>
      <c r="G116" s="160" t="s">
        <v>1223</v>
      </c>
      <c r="H116" s="134" t="s">
        <v>1223</v>
      </c>
      <c r="I116" s="134" t="s">
        <v>2170</v>
      </c>
      <c r="J116" s="134" t="s">
        <v>2170</v>
      </c>
      <c r="K116" s="160" t="s">
        <v>2170</v>
      </c>
      <c r="L116" s="161" t="s">
        <v>2170</v>
      </c>
      <c r="M116" s="161" t="s">
        <v>2170</v>
      </c>
      <c r="N116" s="160" t="s">
        <v>1223</v>
      </c>
      <c r="O116" s="160" t="s">
        <v>1223</v>
      </c>
      <c r="P116" s="162"/>
      <c r="Q116" s="150">
        <v>1</v>
      </c>
      <c r="R116" s="154">
        <f t="shared" si="38"/>
        <v>103</v>
      </c>
      <c r="S116" s="163">
        <f t="shared" si="39"/>
        <v>0</v>
      </c>
      <c r="T116" s="163"/>
      <c r="U116" s="163">
        <f t="shared" si="40"/>
        <v>0</v>
      </c>
      <c r="V116" s="163">
        <f t="shared" si="40"/>
        <v>0</v>
      </c>
      <c r="W116" s="163">
        <f t="shared" si="40"/>
        <v>0</v>
      </c>
      <c r="X116" s="163">
        <f t="shared" si="40"/>
        <v>0</v>
      </c>
      <c r="Y116" s="163">
        <f t="shared" si="40"/>
        <v>0</v>
      </c>
      <c r="Z116" s="163">
        <f t="shared" si="40"/>
        <v>0</v>
      </c>
      <c r="AA116" s="163">
        <f t="shared" si="41"/>
        <v>0</v>
      </c>
      <c r="AB116" s="163"/>
      <c r="AC116" s="163"/>
      <c r="AD116" s="163"/>
      <c r="AJ116" s="175"/>
      <c r="AQ116" s="151"/>
    </row>
    <row r="117" spans="2:43" ht="12.75" customHeight="1" x14ac:dyDescent="0.2">
      <c r="B117" s="174">
        <f t="shared" si="42"/>
        <v>104</v>
      </c>
      <c r="C117" s="156"/>
      <c r="E117" s="160" t="s">
        <v>1180</v>
      </c>
      <c r="F117" s="160" t="s">
        <v>1180</v>
      </c>
      <c r="G117" s="160" t="s">
        <v>2274</v>
      </c>
      <c r="H117" s="134" t="s">
        <v>1180</v>
      </c>
      <c r="I117" s="134" t="s">
        <v>1180</v>
      </c>
      <c r="J117" s="134" t="s">
        <v>2274</v>
      </c>
      <c r="K117" s="160" t="s">
        <v>2274</v>
      </c>
      <c r="L117" s="161" t="s">
        <v>2274</v>
      </c>
      <c r="M117" s="161" t="s">
        <v>2304</v>
      </c>
      <c r="N117" s="160" t="s">
        <v>2274</v>
      </c>
      <c r="O117" s="160" t="s">
        <v>1180</v>
      </c>
      <c r="P117" s="162"/>
      <c r="Q117" s="150">
        <v>1</v>
      </c>
      <c r="R117" s="154">
        <f t="shared" si="38"/>
        <v>104</v>
      </c>
      <c r="S117" s="163">
        <f t="shared" si="39"/>
        <v>0</v>
      </c>
      <c r="T117" s="163"/>
      <c r="U117" s="163">
        <f t="shared" si="40"/>
        <v>0</v>
      </c>
      <c r="V117" s="163">
        <f t="shared" si="40"/>
        <v>0</v>
      </c>
      <c r="W117" s="163">
        <f t="shared" si="40"/>
        <v>0</v>
      </c>
      <c r="X117" s="163">
        <f t="shared" si="40"/>
        <v>0</v>
      </c>
      <c r="Y117" s="163">
        <f t="shared" si="40"/>
        <v>0</v>
      </c>
      <c r="Z117" s="163">
        <f t="shared" si="40"/>
        <v>0</v>
      </c>
      <c r="AA117" s="163">
        <f t="shared" si="41"/>
        <v>0</v>
      </c>
      <c r="AB117" s="163"/>
      <c r="AC117" s="163"/>
      <c r="AD117" s="163"/>
      <c r="AJ117" s="175"/>
      <c r="AQ117" s="177"/>
    </row>
    <row r="118" spans="2:43" ht="12.75" customHeight="1" x14ac:dyDescent="0.2">
      <c r="B118" s="174">
        <f t="shared" si="42"/>
        <v>105</v>
      </c>
      <c r="C118" s="156"/>
      <c r="E118" s="160" t="s">
        <v>1822</v>
      </c>
      <c r="F118" s="160" t="s">
        <v>1822</v>
      </c>
      <c r="G118" s="160" t="s">
        <v>2020</v>
      </c>
      <c r="H118" s="134" t="s">
        <v>1822</v>
      </c>
      <c r="I118" s="134" t="s">
        <v>1822</v>
      </c>
      <c r="J118" s="134" t="s">
        <v>1822</v>
      </c>
      <c r="K118" s="160" t="s">
        <v>1822</v>
      </c>
      <c r="L118" s="161" t="s">
        <v>1662</v>
      </c>
      <c r="M118" s="161" t="s">
        <v>1662</v>
      </c>
      <c r="N118" s="160" t="s">
        <v>1662</v>
      </c>
      <c r="O118" s="160" t="s">
        <v>1822</v>
      </c>
      <c r="P118" s="162"/>
      <c r="Q118" s="150">
        <v>1</v>
      </c>
      <c r="R118" s="154">
        <f t="shared" si="38"/>
        <v>105</v>
      </c>
      <c r="S118" s="163">
        <f t="shared" si="39"/>
        <v>0</v>
      </c>
      <c r="T118" s="163"/>
      <c r="U118" s="163">
        <f t="shared" si="40"/>
        <v>0</v>
      </c>
      <c r="V118" s="163">
        <f t="shared" si="40"/>
        <v>0</v>
      </c>
      <c r="W118" s="163">
        <f t="shared" si="40"/>
        <v>0</v>
      </c>
      <c r="X118" s="163">
        <f t="shared" si="40"/>
        <v>0</v>
      </c>
      <c r="Y118" s="163">
        <f t="shared" si="40"/>
        <v>0</v>
      </c>
      <c r="Z118" s="163">
        <f t="shared" si="40"/>
        <v>0</v>
      </c>
      <c r="AA118" s="163">
        <f t="shared" si="41"/>
        <v>0</v>
      </c>
      <c r="AB118" s="163"/>
      <c r="AC118" s="163"/>
      <c r="AD118" s="163"/>
      <c r="AJ118" s="175"/>
      <c r="AQ118" s="177"/>
    </row>
    <row r="119" spans="2:43" ht="12.75" customHeight="1" x14ac:dyDescent="0.2">
      <c r="B119" s="174">
        <f t="shared" si="42"/>
        <v>106</v>
      </c>
      <c r="C119" s="156"/>
      <c r="E119" s="160" t="s">
        <v>2274</v>
      </c>
      <c r="F119" s="160" t="s">
        <v>2274</v>
      </c>
      <c r="G119" s="160" t="s">
        <v>1180</v>
      </c>
      <c r="H119" s="134" t="s">
        <v>2450</v>
      </c>
      <c r="I119" s="134" t="s">
        <v>2274</v>
      </c>
      <c r="J119" s="134" t="s">
        <v>2493</v>
      </c>
      <c r="K119" s="160" t="s">
        <v>2304</v>
      </c>
      <c r="L119" s="161" t="s">
        <v>1180</v>
      </c>
      <c r="M119" s="161" t="s">
        <v>1093</v>
      </c>
      <c r="N119" s="160" t="s">
        <v>2450</v>
      </c>
      <c r="O119" s="160" t="s">
        <v>2274</v>
      </c>
      <c r="P119" s="162"/>
      <c r="Q119" s="150">
        <v>1</v>
      </c>
      <c r="R119" s="154">
        <f t="shared" si="38"/>
        <v>106</v>
      </c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J119" s="175"/>
      <c r="AQ119" s="177"/>
    </row>
    <row r="120" spans="2:43" ht="12.75" customHeight="1" x14ac:dyDescent="0.2">
      <c r="B120" s="174">
        <f t="shared" si="42"/>
        <v>107</v>
      </c>
      <c r="C120" s="156"/>
      <c r="E120" s="160" t="s">
        <v>1858</v>
      </c>
      <c r="F120" s="160" t="s">
        <v>1858</v>
      </c>
      <c r="G120" s="160" t="s">
        <v>1858</v>
      </c>
      <c r="H120" s="134" t="s">
        <v>1858</v>
      </c>
      <c r="I120" s="134" t="s">
        <v>1858</v>
      </c>
      <c r="J120" s="134" t="s">
        <v>2573</v>
      </c>
      <c r="K120" s="160" t="s">
        <v>1858</v>
      </c>
      <c r="L120" s="161" t="s">
        <v>1858</v>
      </c>
      <c r="M120" s="161" t="s">
        <v>1858</v>
      </c>
      <c r="N120" s="160" t="s">
        <v>1858</v>
      </c>
      <c r="O120" s="160" t="s">
        <v>1858</v>
      </c>
      <c r="P120" s="162"/>
      <c r="Q120" s="150">
        <v>1</v>
      </c>
      <c r="R120" s="154">
        <f t="shared" si="38"/>
        <v>107</v>
      </c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J120" s="175"/>
      <c r="AQ120" s="177"/>
    </row>
    <row r="121" spans="2:43" ht="12.75" customHeight="1" x14ac:dyDescent="0.2">
      <c r="B121" s="174">
        <f t="shared" si="42"/>
        <v>108</v>
      </c>
      <c r="C121" s="156"/>
      <c r="E121" s="160" t="s">
        <v>1058</v>
      </c>
      <c r="F121" s="160" t="s">
        <v>1058</v>
      </c>
      <c r="G121" s="160" t="s">
        <v>1883</v>
      </c>
      <c r="H121" s="134" t="s">
        <v>1883</v>
      </c>
      <c r="I121" s="134" t="s">
        <v>2600</v>
      </c>
      <c r="J121" s="134" t="s">
        <v>1716</v>
      </c>
      <c r="K121" s="160" t="s">
        <v>1883</v>
      </c>
      <c r="L121" s="161" t="s">
        <v>2211</v>
      </c>
      <c r="M121" s="161" t="s">
        <v>1058</v>
      </c>
      <c r="N121" s="160" t="s">
        <v>1883</v>
      </c>
      <c r="O121" s="160" t="s">
        <v>1883</v>
      </c>
      <c r="P121" s="162"/>
      <c r="Q121" s="150">
        <v>1</v>
      </c>
      <c r="R121" s="154">
        <f t="shared" si="38"/>
        <v>108</v>
      </c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J121" s="175"/>
      <c r="AQ121" s="177"/>
    </row>
    <row r="122" spans="2:43" ht="12.75" customHeight="1" x14ac:dyDescent="0.2">
      <c r="B122" s="174" t="s">
        <v>3728</v>
      </c>
      <c r="C122" s="151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J122" s="175"/>
      <c r="AQ122" s="177"/>
    </row>
    <row r="123" spans="2:43" ht="12.75" customHeight="1" x14ac:dyDescent="0.2">
      <c r="B123" s="174">
        <f>+B121+1</f>
        <v>109</v>
      </c>
      <c r="C123" s="156"/>
      <c r="E123" s="160" t="s">
        <v>1576</v>
      </c>
      <c r="F123" s="160" t="s">
        <v>1576</v>
      </c>
      <c r="G123" s="160" t="s">
        <v>1576</v>
      </c>
      <c r="H123" s="134" t="s">
        <v>1576</v>
      </c>
      <c r="I123" s="134" t="s">
        <v>1576</v>
      </c>
      <c r="J123" s="134" t="s">
        <v>1576</v>
      </c>
      <c r="K123" s="160" t="s">
        <v>1576</v>
      </c>
      <c r="L123" s="161" t="s">
        <v>1576</v>
      </c>
      <c r="M123" s="161" t="s">
        <v>1576</v>
      </c>
      <c r="N123" s="160" t="s">
        <v>1576</v>
      </c>
      <c r="O123" s="160" t="s">
        <v>1576</v>
      </c>
      <c r="P123" s="162"/>
      <c r="Q123" s="150">
        <v>2</v>
      </c>
      <c r="R123" s="154">
        <f>+B123</f>
        <v>109</v>
      </c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J123" s="175"/>
      <c r="AQ123" s="177"/>
    </row>
    <row r="124" spans="2:43" ht="12.75" customHeight="1" x14ac:dyDescent="0.2">
      <c r="B124" s="174">
        <f>+B123+1</f>
        <v>110</v>
      </c>
      <c r="C124" s="156"/>
      <c r="E124" s="160" t="s">
        <v>1409</v>
      </c>
      <c r="F124" s="160" t="s">
        <v>1409</v>
      </c>
      <c r="G124" s="160" t="s">
        <v>1409</v>
      </c>
      <c r="H124" s="134" t="s">
        <v>1409</v>
      </c>
      <c r="I124" s="134" t="s">
        <v>1409</v>
      </c>
      <c r="J124" s="134" t="s">
        <v>1409</v>
      </c>
      <c r="K124" s="160" t="s">
        <v>1409</v>
      </c>
      <c r="L124" s="161" t="s">
        <v>1409</v>
      </c>
      <c r="M124" s="161" t="s">
        <v>1409</v>
      </c>
      <c r="N124" s="160" t="s">
        <v>1409</v>
      </c>
      <c r="O124" s="160" t="s">
        <v>1409</v>
      </c>
      <c r="P124" s="162"/>
      <c r="Q124" s="150">
        <v>2</v>
      </c>
      <c r="R124" s="154">
        <f t="shared" ref="R124:R138" si="43">+B124</f>
        <v>110</v>
      </c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J124" s="175"/>
      <c r="AQ124" s="177"/>
    </row>
    <row r="125" spans="2:43" ht="12.75" customHeight="1" x14ac:dyDescent="0.2">
      <c r="B125" s="174">
        <f t="shared" ref="B125:B138" si="44">+B124+1</f>
        <v>111</v>
      </c>
      <c r="C125" s="156"/>
      <c r="E125" s="160" t="s">
        <v>1662</v>
      </c>
      <c r="F125" s="160" t="s">
        <v>1662</v>
      </c>
      <c r="G125" s="160" t="s">
        <v>1822</v>
      </c>
      <c r="H125" s="134" t="s">
        <v>2020</v>
      </c>
      <c r="I125" s="134" t="s">
        <v>1662</v>
      </c>
      <c r="J125" s="134" t="s">
        <v>2059</v>
      </c>
      <c r="K125" s="160" t="s">
        <v>1946</v>
      </c>
      <c r="L125" s="161" t="s">
        <v>1946</v>
      </c>
      <c r="M125" s="161" t="s">
        <v>1822</v>
      </c>
      <c r="N125" s="160" t="s">
        <v>2059</v>
      </c>
      <c r="O125" s="160" t="s">
        <v>1662</v>
      </c>
      <c r="P125" s="162"/>
      <c r="Q125" s="150">
        <v>2</v>
      </c>
      <c r="R125" s="154">
        <f t="shared" si="43"/>
        <v>111</v>
      </c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J125" s="175"/>
      <c r="AQ125" s="177"/>
    </row>
    <row r="126" spans="2:43" ht="12.75" customHeight="1" x14ac:dyDescent="0.2">
      <c r="B126" s="174">
        <f t="shared" si="44"/>
        <v>112</v>
      </c>
      <c r="C126" s="156"/>
      <c r="E126" s="160" t="s">
        <v>1686</v>
      </c>
      <c r="F126" s="160" t="s">
        <v>1125</v>
      </c>
      <c r="G126" s="160" t="s">
        <v>1125</v>
      </c>
      <c r="H126" s="134" t="s">
        <v>1686</v>
      </c>
      <c r="I126" s="134" t="s">
        <v>2250</v>
      </c>
      <c r="J126" s="134" t="s">
        <v>1686</v>
      </c>
      <c r="K126" s="160" t="s">
        <v>1125</v>
      </c>
      <c r="L126" s="161" t="s">
        <v>1125</v>
      </c>
      <c r="M126" s="161" t="s">
        <v>1125</v>
      </c>
      <c r="N126" s="160" t="s">
        <v>1125</v>
      </c>
      <c r="O126" s="160" t="s">
        <v>1686</v>
      </c>
      <c r="P126" s="162"/>
      <c r="Q126" s="150">
        <v>2</v>
      </c>
      <c r="R126" s="154">
        <f t="shared" si="43"/>
        <v>112</v>
      </c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J126" s="175"/>
      <c r="AQ126" s="177"/>
    </row>
    <row r="127" spans="2:43" ht="12.75" customHeight="1" x14ac:dyDescent="0.2">
      <c r="B127" s="174">
        <f t="shared" si="44"/>
        <v>113</v>
      </c>
      <c r="C127" s="156"/>
      <c r="E127" s="160" t="s">
        <v>1716</v>
      </c>
      <c r="F127" s="160" t="s">
        <v>1716</v>
      </c>
      <c r="G127" s="160" t="s">
        <v>2573</v>
      </c>
      <c r="H127" s="134" t="s">
        <v>2573</v>
      </c>
      <c r="I127" s="134" t="s">
        <v>1716</v>
      </c>
      <c r="J127" s="134" t="s">
        <v>1858</v>
      </c>
      <c r="K127" s="160" t="s">
        <v>1716</v>
      </c>
      <c r="L127" s="161" t="s">
        <v>1716</v>
      </c>
      <c r="M127" s="161" t="s">
        <v>1716</v>
      </c>
      <c r="N127" s="160" t="s">
        <v>1716</v>
      </c>
      <c r="O127" s="160" t="s">
        <v>2573</v>
      </c>
      <c r="P127" s="162"/>
      <c r="Q127" s="150">
        <v>2</v>
      </c>
      <c r="R127" s="154">
        <f t="shared" si="43"/>
        <v>113</v>
      </c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J127" s="175"/>
      <c r="AQ127" s="177"/>
    </row>
    <row r="128" spans="2:43" ht="12.75" customHeight="1" x14ac:dyDescent="0.2">
      <c r="B128" s="174">
        <f t="shared" si="44"/>
        <v>114</v>
      </c>
      <c r="C128" s="156"/>
      <c r="E128" s="160" t="s">
        <v>1532</v>
      </c>
      <c r="F128" s="160" t="s">
        <v>1532</v>
      </c>
      <c r="G128" s="160" t="s">
        <v>1532</v>
      </c>
      <c r="H128" s="134" t="s">
        <v>1532</v>
      </c>
      <c r="I128" s="134" t="s">
        <v>1532</v>
      </c>
      <c r="J128" s="134" t="s">
        <v>1900</v>
      </c>
      <c r="K128" s="160" t="s">
        <v>1532</v>
      </c>
      <c r="L128" s="161" t="s">
        <v>1532</v>
      </c>
      <c r="M128" s="161" t="s">
        <v>1532</v>
      </c>
      <c r="N128" s="160" t="s">
        <v>1532</v>
      </c>
      <c r="O128" s="160" t="s">
        <v>1532</v>
      </c>
      <c r="P128" s="162"/>
      <c r="Q128" s="150">
        <v>2</v>
      </c>
      <c r="R128" s="154">
        <f t="shared" si="43"/>
        <v>114</v>
      </c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J128" s="175"/>
      <c r="AQ128" s="177"/>
    </row>
    <row r="129" spans="2:43" ht="12.75" customHeight="1" x14ac:dyDescent="0.2">
      <c r="B129" s="174">
        <f t="shared" si="44"/>
        <v>115</v>
      </c>
      <c r="C129" s="156"/>
      <c r="E129" s="160" t="s">
        <v>1223</v>
      </c>
      <c r="F129" s="160" t="s">
        <v>1223</v>
      </c>
      <c r="G129" s="160" t="s">
        <v>2170</v>
      </c>
      <c r="H129" s="134" t="s">
        <v>2170</v>
      </c>
      <c r="I129" s="134" t="s">
        <v>1223</v>
      </c>
      <c r="J129" s="134" t="s">
        <v>1223</v>
      </c>
      <c r="K129" s="160" t="s">
        <v>1223</v>
      </c>
      <c r="L129" s="161" t="s">
        <v>2020</v>
      </c>
      <c r="M129" s="161" t="s">
        <v>1223</v>
      </c>
      <c r="N129" s="160" t="s">
        <v>2170</v>
      </c>
      <c r="O129" s="160" t="s">
        <v>2170</v>
      </c>
      <c r="P129" s="162"/>
      <c r="Q129" s="150">
        <v>2</v>
      </c>
      <c r="R129" s="154">
        <f t="shared" si="43"/>
        <v>115</v>
      </c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J129" s="175"/>
      <c r="AQ129" s="177"/>
    </row>
    <row r="130" spans="2:43" ht="12.75" customHeight="1" x14ac:dyDescent="0.2">
      <c r="B130" s="174">
        <f t="shared" si="44"/>
        <v>116</v>
      </c>
      <c r="C130" s="156"/>
      <c r="E130" s="160" t="s">
        <v>1646</v>
      </c>
      <c r="F130" s="160" t="s">
        <v>1646</v>
      </c>
      <c r="G130" s="160" t="s">
        <v>1646</v>
      </c>
      <c r="H130" s="134" t="s">
        <v>1646</v>
      </c>
      <c r="I130" s="134" t="s">
        <v>1646</v>
      </c>
      <c r="J130" s="134" t="s">
        <v>1646</v>
      </c>
      <c r="K130" s="160" t="s">
        <v>1646</v>
      </c>
      <c r="L130" s="161" t="s">
        <v>1646</v>
      </c>
      <c r="M130" s="161" t="s">
        <v>1646</v>
      </c>
      <c r="N130" s="160" t="s">
        <v>1646</v>
      </c>
      <c r="O130" s="160" t="s">
        <v>1646</v>
      </c>
      <c r="P130" s="162"/>
      <c r="Q130" s="150">
        <v>2</v>
      </c>
      <c r="R130" s="154">
        <f t="shared" si="43"/>
        <v>116</v>
      </c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J130" s="175"/>
      <c r="AQ130" s="177"/>
    </row>
    <row r="131" spans="2:43" ht="12.75" customHeight="1" x14ac:dyDescent="0.2">
      <c r="B131" s="174">
        <f t="shared" si="44"/>
        <v>117</v>
      </c>
      <c r="C131" s="156"/>
      <c r="E131" s="160" t="s">
        <v>1745</v>
      </c>
      <c r="F131" s="160" t="s">
        <v>1745</v>
      </c>
      <c r="G131" s="160" t="s">
        <v>1745</v>
      </c>
      <c r="H131" s="134" t="s">
        <v>1745</v>
      </c>
      <c r="I131" s="134" t="s">
        <v>1745</v>
      </c>
      <c r="J131" s="134" t="s">
        <v>1745</v>
      </c>
      <c r="K131" s="160" t="s">
        <v>1745</v>
      </c>
      <c r="L131" s="161" t="s">
        <v>1745</v>
      </c>
      <c r="M131" s="161" t="s">
        <v>1745</v>
      </c>
      <c r="N131" s="160" t="s">
        <v>1745</v>
      </c>
      <c r="O131" s="160" t="s">
        <v>1745</v>
      </c>
      <c r="P131" s="162"/>
      <c r="Q131" s="150">
        <v>2</v>
      </c>
      <c r="R131" s="154">
        <f t="shared" si="43"/>
        <v>117</v>
      </c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J131" s="175"/>
      <c r="AQ131" s="177"/>
    </row>
    <row r="132" spans="2:43" ht="12.75" customHeight="1" x14ac:dyDescent="0.2">
      <c r="B132" s="174">
        <f t="shared" si="44"/>
        <v>118</v>
      </c>
      <c r="C132" s="156"/>
      <c r="E132" s="160" t="s">
        <v>2405</v>
      </c>
      <c r="F132" s="160" t="s">
        <v>2405</v>
      </c>
      <c r="G132" s="160" t="s">
        <v>2405</v>
      </c>
      <c r="H132" s="134" t="s">
        <v>2405</v>
      </c>
      <c r="I132" s="134" t="s">
        <v>2405</v>
      </c>
      <c r="J132" s="134" t="s">
        <v>2405</v>
      </c>
      <c r="K132" s="160" t="s">
        <v>2405</v>
      </c>
      <c r="L132" s="161" t="s">
        <v>2405</v>
      </c>
      <c r="M132" s="161" t="s">
        <v>2405</v>
      </c>
      <c r="N132" s="160" t="s">
        <v>1058</v>
      </c>
      <c r="O132" s="160" t="s">
        <v>1058</v>
      </c>
      <c r="P132" s="162"/>
      <c r="Q132" s="150">
        <v>2</v>
      </c>
      <c r="R132" s="154">
        <f t="shared" si="43"/>
        <v>118</v>
      </c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J132" s="175"/>
      <c r="AQ132" s="177"/>
    </row>
    <row r="133" spans="2:43" ht="12.75" customHeight="1" x14ac:dyDescent="0.2">
      <c r="B133" s="174">
        <f t="shared" si="44"/>
        <v>119</v>
      </c>
      <c r="C133" s="156"/>
      <c r="E133" s="160" t="s">
        <v>1323</v>
      </c>
      <c r="F133" s="160" t="s">
        <v>1323</v>
      </c>
      <c r="G133" s="160" t="s">
        <v>1323</v>
      </c>
      <c r="H133" s="134" t="s">
        <v>1323</v>
      </c>
      <c r="I133" s="134" t="s">
        <v>1323</v>
      </c>
      <c r="J133" s="134" t="s">
        <v>1323</v>
      </c>
      <c r="K133" s="160" t="s">
        <v>1323</v>
      </c>
      <c r="L133" s="161" t="s">
        <v>1323</v>
      </c>
      <c r="M133" s="161" t="s">
        <v>1323</v>
      </c>
      <c r="N133" s="160" t="s">
        <v>1323</v>
      </c>
      <c r="O133" s="160" t="s">
        <v>1323</v>
      </c>
      <c r="P133" s="162"/>
      <c r="Q133" s="150">
        <v>2</v>
      </c>
      <c r="R133" s="154">
        <f t="shared" si="43"/>
        <v>119</v>
      </c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J133" s="175"/>
      <c r="AQ133" s="177"/>
    </row>
    <row r="134" spans="2:43" ht="12.75" customHeight="1" x14ac:dyDescent="0.2">
      <c r="B134" s="174">
        <f t="shared" si="44"/>
        <v>120</v>
      </c>
      <c r="C134" s="156"/>
      <c r="E134" s="160" t="s">
        <v>1148</v>
      </c>
      <c r="F134" s="160" t="s">
        <v>1148</v>
      </c>
      <c r="G134" s="160" t="s">
        <v>1148</v>
      </c>
      <c r="H134" s="134" t="s">
        <v>1148</v>
      </c>
      <c r="I134" s="134" t="s">
        <v>1148</v>
      </c>
      <c r="J134" s="134" t="s">
        <v>1148</v>
      </c>
      <c r="K134" s="160" t="s">
        <v>1148</v>
      </c>
      <c r="L134" s="161" t="s">
        <v>1148</v>
      </c>
      <c r="M134" s="161" t="s">
        <v>1148</v>
      </c>
      <c r="N134" s="160" t="s">
        <v>1148</v>
      </c>
      <c r="O134" s="160" t="s">
        <v>2405</v>
      </c>
      <c r="P134" s="162"/>
      <c r="Q134" s="150">
        <v>2</v>
      </c>
      <c r="R134" s="154">
        <f t="shared" si="43"/>
        <v>120</v>
      </c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J134" s="175"/>
      <c r="AQ134" s="177"/>
    </row>
    <row r="135" spans="2:43" ht="12.75" customHeight="1" x14ac:dyDescent="0.2">
      <c r="B135" s="174">
        <f t="shared" si="44"/>
        <v>121</v>
      </c>
      <c r="C135" s="156"/>
      <c r="E135" s="160" t="s">
        <v>1264</v>
      </c>
      <c r="F135" s="160" t="s">
        <v>1264</v>
      </c>
      <c r="G135" s="160" t="s">
        <v>1264</v>
      </c>
      <c r="H135" s="134" t="s">
        <v>1264</v>
      </c>
      <c r="I135" s="134" t="s">
        <v>1264</v>
      </c>
      <c r="J135" s="134" t="s">
        <v>1532</v>
      </c>
      <c r="K135" s="160" t="s">
        <v>1264</v>
      </c>
      <c r="L135" s="161" t="s">
        <v>1264</v>
      </c>
      <c r="M135" s="161" t="s">
        <v>1264</v>
      </c>
      <c r="N135" s="160" t="s">
        <v>1264</v>
      </c>
      <c r="O135" s="160" t="s">
        <v>1264</v>
      </c>
      <c r="P135" s="162"/>
      <c r="Q135" s="150">
        <v>2</v>
      </c>
      <c r="R135" s="154">
        <f t="shared" si="43"/>
        <v>121</v>
      </c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J135" s="175"/>
      <c r="AQ135" s="177"/>
    </row>
    <row r="136" spans="2:43" ht="12.75" customHeight="1" x14ac:dyDescent="0.2">
      <c r="B136" s="174">
        <f t="shared" si="44"/>
        <v>122</v>
      </c>
      <c r="C136" s="156"/>
      <c r="E136" s="160" t="s">
        <v>2170</v>
      </c>
      <c r="F136" s="160" t="s">
        <v>1180</v>
      </c>
      <c r="G136" s="160" t="s">
        <v>1223</v>
      </c>
      <c r="H136" s="134" t="s">
        <v>1180</v>
      </c>
      <c r="I136" s="134" t="s">
        <v>2170</v>
      </c>
      <c r="J136" s="134" t="s">
        <v>2274</v>
      </c>
      <c r="K136" s="160" t="s">
        <v>2170</v>
      </c>
      <c r="L136" s="161" t="s">
        <v>2274</v>
      </c>
      <c r="M136" s="161" t="s">
        <v>2170</v>
      </c>
      <c r="N136" s="160" t="s">
        <v>2274</v>
      </c>
      <c r="O136" s="160" t="s">
        <v>1180</v>
      </c>
      <c r="P136" s="162"/>
      <c r="Q136" s="150">
        <v>2</v>
      </c>
      <c r="R136" s="154">
        <f t="shared" si="43"/>
        <v>122</v>
      </c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J136" s="175"/>
      <c r="AQ136" s="177"/>
    </row>
    <row r="137" spans="2:43" ht="12.75" customHeight="1" x14ac:dyDescent="0.2">
      <c r="B137" s="174">
        <f t="shared" si="44"/>
        <v>123</v>
      </c>
      <c r="C137" s="156"/>
      <c r="E137" s="160" t="s">
        <v>1822</v>
      </c>
      <c r="F137" s="160" t="s">
        <v>1822</v>
      </c>
      <c r="G137" s="160" t="s">
        <v>2020</v>
      </c>
      <c r="H137" s="134" t="s">
        <v>1822</v>
      </c>
      <c r="I137" s="134" t="s">
        <v>1822</v>
      </c>
      <c r="J137" s="134" t="s">
        <v>1822</v>
      </c>
      <c r="K137" s="160" t="s">
        <v>1822</v>
      </c>
      <c r="L137" s="161" t="s">
        <v>1662</v>
      </c>
      <c r="M137" s="161" t="s">
        <v>1093</v>
      </c>
      <c r="N137" s="160" t="s">
        <v>1662</v>
      </c>
      <c r="O137" s="160" t="s">
        <v>2274</v>
      </c>
      <c r="P137" s="162"/>
      <c r="Q137" s="150">
        <v>2</v>
      </c>
      <c r="R137" s="154">
        <f t="shared" si="43"/>
        <v>123</v>
      </c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J137" s="175"/>
      <c r="AQ137" s="177"/>
    </row>
    <row r="138" spans="2:43" ht="12.75" customHeight="1" x14ac:dyDescent="0.2">
      <c r="B138" s="174">
        <f t="shared" si="44"/>
        <v>124</v>
      </c>
      <c r="C138" s="156"/>
      <c r="E138" s="160" t="s">
        <v>1858</v>
      </c>
      <c r="F138" s="160" t="s">
        <v>1858</v>
      </c>
      <c r="G138" s="160" t="s">
        <v>1858</v>
      </c>
      <c r="H138" s="134" t="s">
        <v>1858</v>
      </c>
      <c r="I138" s="134" t="s">
        <v>1858</v>
      </c>
      <c r="J138" s="134" t="s">
        <v>2573</v>
      </c>
      <c r="K138" s="160" t="s">
        <v>1858</v>
      </c>
      <c r="L138" s="161" t="s">
        <v>1858</v>
      </c>
      <c r="M138" s="161" t="s">
        <v>1858</v>
      </c>
      <c r="N138" s="160" t="s">
        <v>1858</v>
      </c>
      <c r="O138" s="160" t="s">
        <v>1858</v>
      </c>
      <c r="P138" s="162"/>
      <c r="Q138" s="150">
        <v>2</v>
      </c>
      <c r="R138" s="154">
        <f t="shared" si="43"/>
        <v>124</v>
      </c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J138" s="175"/>
      <c r="AQ138" s="177"/>
    </row>
    <row r="139" spans="2:43" ht="12.75" customHeight="1" x14ac:dyDescent="0.2">
      <c r="B139" s="174" t="s">
        <v>3709</v>
      </c>
      <c r="C139" s="179"/>
      <c r="R139" s="149" t="str">
        <f t="shared" ref="R139:R158" si="45">+B139</f>
        <v>Land videre til kvartfinale</v>
      </c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J139" s="175"/>
      <c r="AQ139" s="177"/>
    </row>
    <row r="140" spans="2:43" ht="12.75" customHeight="1" x14ac:dyDescent="0.2">
      <c r="B140" s="174">
        <f>+B138+1</f>
        <v>125</v>
      </c>
      <c r="C140" s="156"/>
      <c r="E140" s="160" t="s">
        <v>1409</v>
      </c>
      <c r="F140" s="160" t="s">
        <v>1409</v>
      </c>
      <c r="G140" s="160" t="s">
        <v>1409</v>
      </c>
      <c r="H140" s="160" t="s">
        <v>1409</v>
      </c>
      <c r="I140" s="160" t="s">
        <v>1409</v>
      </c>
      <c r="J140" s="160" t="s">
        <v>1409</v>
      </c>
      <c r="K140" s="160" t="s">
        <v>1409</v>
      </c>
      <c r="L140" s="160" t="s">
        <v>1409</v>
      </c>
      <c r="M140" s="160" t="s">
        <v>1409</v>
      </c>
      <c r="N140" s="160" t="s">
        <v>1409</v>
      </c>
      <c r="O140" s="160" t="s">
        <v>1409</v>
      </c>
      <c r="P140" s="162"/>
      <c r="Q140" s="150">
        <v>3</v>
      </c>
      <c r="R140" s="154">
        <f t="shared" si="45"/>
        <v>125</v>
      </c>
      <c r="S140" s="163">
        <f t="shared" ref="S140:S147" si="46">+IFERROR(IF($S$1&gt;=$B140,IF(MATCH($P140,E$140:E$147,0),$Q140,0),0),0)</f>
        <v>0</v>
      </c>
      <c r="T140" s="163"/>
      <c r="U140" s="163">
        <f t="shared" ref="U140:Z147" si="47">+IFERROR(IF($S$1&gt;=$B140,IF(MATCH($P140,G$140:G$147,0),$Q140,0),0),0)</f>
        <v>0</v>
      </c>
      <c r="V140" s="163">
        <f t="shared" si="47"/>
        <v>0</v>
      </c>
      <c r="W140" s="163">
        <f t="shared" si="47"/>
        <v>0</v>
      </c>
      <c r="X140" s="163">
        <f t="shared" si="47"/>
        <v>0</v>
      </c>
      <c r="Y140" s="163">
        <f t="shared" si="47"/>
        <v>0</v>
      </c>
      <c r="Z140" s="163">
        <f t="shared" si="47"/>
        <v>0</v>
      </c>
      <c r="AA140" s="163">
        <f t="shared" ref="AA140:AA147" si="48">+IFERROR(IF($S$1&gt;=$B140,IF(MATCH($P140,N$140:N$147,0),$Q140,0),0),0)</f>
        <v>0</v>
      </c>
      <c r="AB140" s="163"/>
      <c r="AC140" s="163"/>
      <c r="AD140" s="163"/>
      <c r="AJ140" s="175"/>
      <c r="AQ140" s="177"/>
    </row>
    <row r="141" spans="2:43" ht="12.75" customHeight="1" x14ac:dyDescent="0.2">
      <c r="B141" s="174">
        <f t="shared" ref="B141:B147" si="49">+B140+1</f>
        <v>126</v>
      </c>
      <c r="C141" s="156"/>
      <c r="E141" s="160" t="s">
        <v>1686</v>
      </c>
      <c r="F141" s="160" t="s">
        <v>1125</v>
      </c>
      <c r="G141" s="160" t="s">
        <v>1125</v>
      </c>
      <c r="H141" s="160" t="s">
        <v>1686</v>
      </c>
      <c r="I141" s="160" t="s">
        <v>1662</v>
      </c>
      <c r="J141" s="160" t="s">
        <v>1686</v>
      </c>
      <c r="K141" s="160" t="s">
        <v>1125</v>
      </c>
      <c r="L141" s="160" t="s">
        <v>1125</v>
      </c>
      <c r="M141" s="160" t="s">
        <v>1125</v>
      </c>
      <c r="N141" s="160" t="s">
        <v>1125</v>
      </c>
      <c r="O141" s="160" t="s">
        <v>1686</v>
      </c>
      <c r="P141" s="162"/>
      <c r="Q141" s="150">
        <v>3</v>
      </c>
      <c r="R141" s="154">
        <f t="shared" si="45"/>
        <v>126</v>
      </c>
      <c r="S141" s="163">
        <f t="shared" si="46"/>
        <v>0</v>
      </c>
      <c r="T141" s="163"/>
      <c r="U141" s="163">
        <f t="shared" si="47"/>
        <v>0</v>
      </c>
      <c r="V141" s="163">
        <f t="shared" si="47"/>
        <v>0</v>
      </c>
      <c r="W141" s="163">
        <f t="shared" si="47"/>
        <v>0</v>
      </c>
      <c r="X141" s="163">
        <f t="shared" si="47"/>
        <v>0</v>
      </c>
      <c r="Y141" s="163">
        <f t="shared" si="47"/>
        <v>0</v>
      </c>
      <c r="Z141" s="163">
        <f t="shared" si="47"/>
        <v>0</v>
      </c>
      <c r="AA141" s="163">
        <f t="shared" si="48"/>
        <v>0</v>
      </c>
      <c r="AB141" s="163"/>
      <c r="AC141" s="163"/>
      <c r="AD141" s="163"/>
      <c r="AJ141" s="175"/>
      <c r="AQ141" s="177"/>
    </row>
    <row r="142" spans="2:43" ht="12.75" customHeight="1" x14ac:dyDescent="0.2">
      <c r="B142" s="174">
        <f t="shared" si="49"/>
        <v>127</v>
      </c>
      <c r="C142" s="156"/>
      <c r="E142" s="160" t="s">
        <v>1532</v>
      </c>
      <c r="F142" s="160" t="s">
        <v>1532</v>
      </c>
      <c r="G142" s="160" t="s">
        <v>1532</v>
      </c>
      <c r="H142" s="160" t="s">
        <v>1532</v>
      </c>
      <c r="I142" s="160" t="s">
        <v>1532</v>
      </c>
      <c r="J142" s="160" t="s">
        <v>1858</v>
      </c>
      <c r="K142" s="160" t="s">
        <v>1532</v>
      </c>
      <c r="L142" s="160" t="s">
        <v>1532</v>
      </c>
      <c r="M142" s="160" t="s">
        <v>1532</v>
      </c>
      <c r="N142" s="160" t="s">
        <v>1532</v>
      </c>
      <c r="O142" s="160" t="s">
        <v>1532</v>
      </c>
      <c r="P142" s="162"/>
      <c r="Q142" s="150">
        <v>3</v>
      </c>
      <c r="R142" s="154">
        <f t="shared" si="45"/>
        <v>127</v>
      </c>
      <c r="S142" s="163">
        <f t="shared" si="46"/>
        <v>0</v>
      </c>
      <c r="T142" s="163"/>
      <c r="U142" s="163">
        <f t="shared" si="47"/>
        <v>0</v>
      </c>
      <c r="V142" s="163">
        <f t="shared" si="47"/>
        <v>0</v>
      </c>
      <c r="W142" s="163">
        <f t="shared" si="47"/>
        <v>0</v>
      </c>
      <c r="X142" s="163">
        <f t="shared" si="47"/>
        <v>0</v>
      </c>
      <c r="Y142" s="163">
        <f t="shared" si="47"/>
        <v>0</v>
      </c>
      <c r="Z142" s="163">
        <f t="shared" si="47"/>
        <v>0</v>
      </c>
      <c r="AA142" s="163">
        <f t="shared" si="48"/>
        <v>0</v>
      </c>
      <c r="AB142" s="163"/>
      <c r="AC142" s="163"/>
      <c r="AD142" s="163"/>
      <c r="AJ142" s="175"/>
      <c r="AQ142" s="177"/>
    </row>
    <row r="143" spans="2:43" ht="12.75" customHeight="1" x14ac:dyDescent="0.2">
      <c r="B143" s="174">
        <f t="shared" si="49"/>
        <v>128</v>
      </c>
      <c r="C143" s="156"/>
      <c r="D143" s="180"/>
      <c r="E143" s="160" t="s">
        <v>1223</v>
      </c>
      <c r="F143" s="160" t="s">
        <v>1646</v>
      </c>
      <c r="G143" s="160" t="s">
        <v>1646</v>
      </c>
      <c r="H143" s="160" t="s">
        <v>2170</v>
      </c>
      <c r="I143" s="160" t="s">
        <v>1646</v>
      </c>
      <c r="J143" s="160" t="s">
        <v>1646</v>
      </c>
      <c r="K143" s="160" t="s">
        <v>1646</v>
      </c>
      <c r="L143" s="160" t="s">
        <v>1646</v>
      </c>
      <c r="M143" s="160" t="s">
        <v>1646</v>
      </c>
      <c r="N143" s="160" t="s">
        <v>1646</v>
      </c>
      <c r="O143" s="160" t="s">
        <v>2170</v>
      </c>
      <c r="P143" s="162"/>
      <c r="Q143" s="150">
        <v>3</v>
      </c>
      <c r="R143" s="154">
        <f t="shared" si="45"/>
        <v>128</v>
      </c>
      <c r="S143" s="163">
        <f t="shared" si="46"/>
        <v>0</v>
      </c>
      <c r="T143" s="163"/>
      <c r="U143" s="163">
        <f t="shared" si="47"/>
        <v>0</v>
      </c>
      <c r="V143" s="163">
        <f t="shared" si="47"/>
        <v>0</v>
      </c>
      <c r="W143" s="163">
        <f t="shared" si="47"/>
        <v>0</v>
      </c>
      <c r="X143" s="163">
        <f t="shared" si="47"/>
        <v>0</v>
      </c>
      <c r="Y143" s="163">
        <f t="shared" si="47"/>
        <v>0</v>
      </c>
      <c r="Z143" s="163">
        <f t="shared" si="47"/>
        <v>0</v>
      </c>
      <c r="AA143" s="163">
        <f t="shared" si="48"/>
        <v>0</v>
      </c>
      <c r="AB143" s="163"/>
      <c r="AC143" s="163"/>
      <c r="AD143" s="163"/>
      <c r="AJ143" s="175"/>
      <c r="AQ143" s="177"/>
    </row>
    <row r="144" spans="2:43" ht="12.75" customHeight="1" x14ac:dyDescent="0.2">
      <c r="B144" s="174">
        <f t="shared" si="49"/>
        <v>129</v>
      </c>
      <c r="C144" s="156"/>
      <c r="D144" s="180"/>
      <c r="E144" s="160" t="s">
        <v>2405</v>
      </c>
      <c r="F144" s="160" t="s">
        <v>1745</v>
      </c>
      <c r="G144" s="160" t="s">
        <v>1745</v>
      </c>
      <c r="H144" s="160" t="s">
        <v>2405</v>
      </c>
      <c r="I144" s="160" t="s">
        <v>2405</v>
      </c>
      <c r="J144" s="160" t="s">
        <v>2405</v>
      </c>
      <c r="K144" s="160" t="s">
        <v>1745</v>
      </c>
      <c r="L144" s="160" t="s">
        <v>2405</v>
      </c>
      <c r="M144" s="160" t="s">
        <v>1745</v>
      </c>
      <c r="N144" s="160" t="s">
        <v>1745</v>
      </c>
      <c r="O144" s="160" t="s">
        <v>1745</v>
      </c>
      <c r="P144" s="162"/>
      <c r="Q144" s="150">
        <v>3</v>
      </c>
      <c r="R144" s="154">
        <f t="shared" si="45"/>
        <v>129</v>
      </c>
      <c r="S144" s="163">
        <f t="shared" si="46"/>
        <v>0</v>
      </c>
      <c r="T144" s="163"/>
      <c r="U144" s="163">
        <f t="shared" si="47"/>
        <v>0</v>
      </c>
      <c r="V144" s="163">
        <f t="shared" si="47"/>
        <v>0</v>
      </c>
      <c r="W144" s="163">
        <f t="shared" si="47"/>
        <v>0</v>
      </c>
      <c r="X144" s="163">
        <f t="shared" si="47"/>
        <v>0</v>
      </c>
      <c r="Y144" s="163">
        <f t="shared" si="47"/>
        <v>0</v>
      </c>
      <c r="Z144" s="163">
        <f t="shared" si="47"/>
        <v>0</v>
      </c>
      <c r="AA144" s="163">
        <f t="shared" si="48"/>
        <v>0</v>
      </c>
      <c r="AB144" s="163"/>
      <c r="AC144" s="163"/>
      <c r="AD144" s="163"/>
      <c r="AJ144" s="175"/>
      <c r="AQ144" s="177"/>
    </row>
    <row r="145" spans="2:43" ht="12.75" customHeight="1" x14ac:dyDescent="0.2">
      <c r="B145" s="174">
        <f t="shared" si="49"/>
        <v>130</v>
      </c>
      <c r="C145" s="156"/>
      <c r="D145" s="180"/>
      <c r="E145" s="160" t="s">
        <v>1148</v>
      </c>
      <c r="F145" s="160" t="s">
        <v>1148</v>
      </c>
      <c r="G145" s="160" t="s">
        <v>1148</v>
      </c>
      <c r="H145" s="160" t="s">
        <v>1148</v>
      </c>
      <c r="I145" s="160" t="s">
        <v>1148</v>
      </c>
      <c r="J145" s="160" t="s">
        <v>1323</v>
      </c>
      <c r="K145" s="160" t="s">
        <v>1148</v>
      </c>
      <c r="L145" s="160" t="s">
        <v>1148</v>
      </c>
      <c r="M145" s="160" t="s">
        <v>1148</v>
      </c>
      <c r="N145" s="160" t="s">
        <v>1148</v>
      </c>
      <c r="O145" s="160" t="s">
        <v>2405</v>
      </c>
      <c r="P145" s="162"/>
      <c r="Q145" s="150">
        <v>3</v>
      </c>
      <c r="R145" s="154">
        <f t="shared" si="45"/>
        <v>130</v>
      </c>
      <c r="S145" s="163">
        <f t="shared" si="46"/>
        <v>0</v>
      </c>
      <c r="T145" s="163"/>
      <c r="U145" s="163">
        <f t="shared" si="47"/>
        <v>0</v>
      </c>
      <c r="V145" s="163">
        <f t="shared" si="47"/>
        <v>0</v>
      </c>
      <c r="W145" s="163">
        <f t="shared" si="47"/>
        <v>0</v>
      </c>
      <c r="X145" s="163">
        <f t="shared" si="47"/>
        <v>0</v>
      </c>
      <c r="Y145" s="163">
        <f t="shared" si="47"/>
        <v>0</v>
      </c>
      <c r="Z145" s="163">
        <f t="shared" si="47"/>
        <v>0</v>
      </c>
      <c r="AA145" s="163">
        <f t="shared" si="48"/>
        <v>0</v>
      </c>
      <c r="AB145" s="163"/>
      <c r="AC145" s="163"/>
      <c r="AD145" s="163"/>
      <c r="AJ145" s="175"/>
      <c r="AQ145" s="177"/>
    </row>
    <row r="146" spans="2:43" ht="12.75" customHeight="1" x14ac:dyDescent="0.2">
      <c r="B146" s="174">
        <f t="shared" si="49"/>
        <v>131</v>
      </c>
      <c r="C146" s="156"/>
      <c r="D146" s="180"/>
      <c r="E146" s="160" t="s">
        <v>1264</v>
      </c>
      <c r="F146" s="160" t="s">
        <v>1264</v>
      </c>
      <c r="G146" s="160" t="s">
        <v>1264</v>
      </c>
      <c r="H146" s="160" t="s">
        <v>1264</v>
      </c>
      <c r="I146" s="160" t="s">
        <v>1264</v>
      </c>
      <c r="J146" s="160" t="s">
        <v>1532</v>
      </c>
      <c r="K146" s="160" t="s">
        <v>1264</v>
      </c>
      <c r="L146" s="160" t="s">
        <v>1264</v>
      </c>
      <c r="M146" s="160" t="s">
        <v>1264</v>
      </c>
      <c r="N146" s="160" t="s">
        <v>1264</v>
      </c>
      <c r="O146" s="160" t="s">
        <v>1264</v>
      </c>
      <c r="P146" s="162"/>
      <c r="Q146" s="150">
        <v>3</v>
      </c>
      <c r="R146" s="154">
        <f t="shared" si="45"/>
        <v>131</v>
      </c>
      <c r="S146" s="163">
        <f t="shared" si="46"/>
        <v>0</v>
      </c>
      <c r="T146" s="163"/>
      <c r="U146" s="163">
        <f t="shared" si="47"/>
        <v>0</v>
      </c>
      <c r="V146" s="163">
        <f t="shared" si="47"/>
        <v>0</v>
      </c>
      <c r="W146" s="163">
        <f t="shared" si="47"/>
        <v>0</v>
      </c>
      <c r="X146" s="163">
        <f t="shared" si="47"/>
        <v>0</v>
      </c>
      <c r="Y146" s="163">
        <f t="shared" si="47"/>
        <v>0</v>
      </c>
      <c r="Z146" s="163">
        <f t="shared" si="47"/>
        <v>0</v>
      </c>
      <c r="AA146" s="163">
        <f t="shared" si="48"/>
        <v>0</v>
      </c>
      <c r="AB146" s="163"/>
      <c r="AC146" s="163"/>
      <c r="AD146" s="163"/>
      <c r="AJ146" s="175"/>
      <c r="AQ146" s="177"/>
    </row>
    <row r="147" spans="2:43" ht="12.75" customHeight="1" x14ac:dyDescent="0.2">
      <c r="B147" s="174">
        <f t="shared" si="49"/>
        <v>132</v>
      </c>
      <c r="C147" s="156"/>
      <c r="D147" s="180"/>
      <c r="E147" s="160" t="s">
        <v>1858</v>
      </c>
      <c r="F147" s="160" t="s">
        <v>1858</v>
      </c>
      <c r="G147" s="160" t="s">
        <v>1858</v>
      </c>
      <c r="H147" s="160" t="s">
        <v>1858</v>
      </c>
      <c r="I147" s="160" t="s">
        <v>1858</v>
      </c>
      <c r="J147" s="160" t="s">
        <v>2573</v>
      </c>
      <c r="K147" s="160" t="s">
        <v>1858</v>
      </c>
      <c r="L147" s="160" t="s">
        <v>1858</v>
      </c>
      <c r="M147" s="160" t="s">
        <v>1858</v>
      </c>
      <c r="N147" s="160" t="s">
        <v>1858</v>
      </c>
      <c r="O147" s="160" t="s">
        <v>1858</v>
      </c>
      <c r="P147" s="162"/>
      <c r="Q147" s="150">
        <v>3</v>
      </c>
      <c r="R147" s="154">
        <f t="shared" si="45"/>
        <v>132</v>
      </c>
      <c r="S147" s="163">
        <f t="shared" si="46"/>
        <v>0</v>
      </c>
      <c r="T147" s="163"/>
      <c r="U147" s="163">
        <f t="shared" si="47"/>
        <v>0</v>
      </c>
      <c r="V147" s="163">
        <f t="shared" si="47"/>
        <v>0</v>
      </c>
      <c r="W147" s="163">
        <f t="shared" si="47"/>
        <v>0</v>
      </c>
      <c r="X147" s="163">
        <f t="shared" si="47"/>
        <v>0</v>
      </c>
      <c r="Y147" s="163">
        <f t="shared" si="47"/>
        <v>0</v>
      </c>
      <c r="Z147" s="163">
        <f t="shared" si="47"/>
        <v>0</v>
      </c>
      <c r="AA147" s="163">
        <f t="shared" si="48"/>
        <v>0</v>
      </c>
      <c r="AB147" s="163"/>
      <c r="AC147" s="163"/>
      <c r="AQ147" s="177"/>
    </row>
    <row r="148" spans="2:43" ht="12.75" customHeight="1" x14ac:dyDescent="0.2">
      <c r="B148" s="174" t="str">
        <f>+AN8</f>
        <v>Land videre til kvartfinale</v>
      </c>
      <c r="C148" s="179"/>
      <c r="D148" s="180"/>
      <c r="R148" s="149" t="str">
        <f t="shared" si="45"/>
        <v>Land videre til kvartfinale</v>
      </c>
      <c r="U148" s="163"/>
      <c r="V148" s="163"/>
      <c r="W148" s="163"/>
      <c r="X148" s="163"/>
      <c r="Y148" s="163"/>
      <c r="Z148" s="163"/>
      <c r="AA148" s="163"/>
      <c r="AB148" s="163"/>
      <c r="AC148" s="163"/>
      <c r="AQ148" s="177"/>
    </row>
    <row r="149" spans="2:43" ht="12.75" customHeight="1" x14ac:dyDescent="0.2">
      <c r="B149" s="174">
        <f>+B147+1</f>
        <v>133</v>
      </c>
      <c r="C149" s="156"/>
      <c r="D149" s="180"/>
      <c r="E149" s="160" t="s">
        <v>1409</v>
      </c>
      <c r="F149" s="160" t="s">
        <v>1409</v>
      </c>
      <c r="G149" s="160" t="s">
        <v>1409</v>
      </c>
      <c r="H149" s="160" t="s">
        <v>1409</v>
      </c>
      <c r="I149" s="160" t="s">
        <v>1409</v>
      </c>
      <c r="J149" s="160" t="s">
        <v>1409</v>
      </c>
      <c r="K149" s="160" t="s">
        <v>1409</v>
      </c>
      <c r="L149" s="160" t="s">
        <v>1409</v>
      </c>
      <c r="M149" s="160" t="s">
        <v>1409</v>
      </c>
      <c r="N149" s="160" t="s">
        <v>1409</v>
      </c>
      <c r="O149" s="160" t="s">
        <v>1409</v>
      </c>
      <c r="P149" s="162"/>
      <c r="Q149" s="150">
        <v>4</v>
      </c>
      <c r="R149" s="154">
        <f t="shared" si="45"/>
        <v>133</v>
      </c>
      <c r="S149" s="163">
        <f>+IFERROR(IF($S$1&gt;=$B149,IF(MATCH($P149,E$149:E$152,0),$Q149,0),0),0)</f>
        <v>0</v>
      </c>
      <c r="T149" s="163"/>
      <c r="U149" s="163">
        <f t="shared" ref="U149:Z152" si="50">+IFERROR(IF($S$1&gt;=$B149,IF(MATCH($P149,G$149:G$152,0),$Q149,0),0),0)</f>
        <v>0</v>
      </c>
      <c r="V149" s="163">
        <f t="shared" si="50"/>
        <v>0</v>
      </c>
      <c r="W149" s="163">
        <f t="shared" si="50"/>
        <v>0</v>
      </c>
      <c r="X149" s="163">
        <f t="shared" si="50"/>
        <v>0</v>
      </c>
      <c r="Y149" s="163">
        <f t="shared" si="50"/>
        <v>0</v>
      </c>
      <c r="Z149" s="163">
        <f t="shared" si="50"/>
        <v>0</v>
      </c>
      <c r="AA149" s="163">
        <f>+IFERROR(IF($S$1&gt;=$B149,IF(MATCH($P149,N$149:N$152,0),$Q149,0),0),0)</f>
        <v>0</v>
      </c>
      <c r="AB149" s="163"/>
      <c r="AC149" s="163"/>
      <c r="AQ149" s="177"/>
    </row>
    <row r="150" spans="2:43" ht="12.75" customHeight="1" x14ac:dyDescent="0.2">
      <c r="B150" s="174">
        <f>+B149+1</f>
        <v>134</v>
      </c>
      <c r="C150" s="156"/>
      <c r="D150" s="180"/>
      <c r="E150" s="160" t="s">
        <v>1532</v>
      </c>
      <c r="F150" s="160" t="s">
        <v>1532</v>
      </c>
      <c r="G150" s="160" t="s">
        <v>1532</v>
      </c>
      <c r="H150" s="160" t="s">
        <v>1532</v>
      </c>
      <c r="I150" s="160" t="s">
        <v>1532</v>
      </c>
      <c r="J150" s="160" t="s">
        <v>1858</v>
      </c>
      <c r="K150" s="160" t="s">
        <v>1532</v>
      </c>
      <c r="L150" s="160" t="s">
        <v>1532</v>
      </c>
      <c r="M150" s="160" t="s">
        <v>1532</v>
      </c>
      <c r="N150" s="160" t="s">
        <v>1532</v>
      </c>
      <c r="O150" s="160" t="s">
        <v>1532</v>
      </c>
      <c r="P150" s="162"/>
      <c r="Q150" s="150">
        <v>4</v>
      </c>
      <c r="R150" s="154">
        <f t="shared" si="45"/>
        <v>134</v>
      </c>
      <c r="S150" s="163">
        <f>+IFERROR(IF($S$1&gt;=$B150,IF(MATCH($P150,E$149:E$152,0),$Q150,0),0),0)</f>
        <v>0</v>
      </c>
      <c r="T150" s="163"/>
      <c r="U150" s="163">
        <f t="shared" si="50"/>
        <v>0</v>
      </c>
      <c r="V150" s="163">
        <f t="shared" si="50"/>
        <v>0</v>
      </c>
      <c r="W150" s="163">
        <f t="shared" si="50"/>
        <v>0</v>
      </c>
      <c r="X150" s="163">
        <f t="shared" si="50"/>
        <v>0</v>
      </c>
      <c r="Y150" s="163">
        <f t="shared" si="50"/>
        <v>0</v>
      </c>
      <c r="Z150" s="163">
        <f t="shared" si="50"/>
        <v>0</v>
      </c>
      <c r="AA150" s="163">
        <f>+IFERROR(IF($S$1&gt;=$B150,IF(MATCH($P150,N$149:N$152,0),$Q150,0),0),0)</f>
        <v>0</v>
      </c>
      <c r="AB150" s="163"/>
      <c r="AC150" s="163"/>
    </row>
    <row r="151" spans="2:43" ht="12.75" customHeight="1" x14ac:dyDescent="0.2">
      <c r="B151" s="174">
        <f>+B150+1</f>
        <v>135</v>
      </c>
      <c r="C151" s="156"/>
      <c r="D151" s="180"/>
      <c r="E151" s="160" t="s">
        <v>1148</v>
      </c>
      <c r="F151" s="160" t="s">
        <v>1148</v>
      </c>
      <c r="G151" s="160" t="s">
        <v>1148</v>
      </c>
      <c r="H151" s="160" t="s">
        <v>1148</v>
      </c>
      <c r="I151" s="160" t="s">
        <v>1148</v>
      </c>
      <c r="J151" s="160" t="s">
        <v>2405</v>
      </c>
      <c r="K151" s="160" t="s">
        <v>1148</v>
      </c>
      <c r="L151" s="160" t="s">
        <v>1148</v>
      </c>
      <c r="M151" s="160" t="s">
        <v>1745</v>
      </c>
      <c r="N151" s="160" t="s">
        <v>1745</v>
      </c>
      <c r="O151" s="160" t="s">
        <v>1745</v>
      </c>
      <c r="P151" s="162"/>
      <c r="Q151" s="150">
        <v>4</v>
      </c>
      <c r="R151" s="154">
        <f t="shared" si="45"/>
        <v>135</v>
      </c>
      <c r="S151" s="163">
        <f>+IFERROR(IF($S$1&gt;=$B151,IF(MATCH($P151,E$149:E$152,0),$Q151,0),0),0)</f>
        <v>0</v>
      </c>
      <c r="T151" s="163"/>
      <c r="U151" s="163">
        <f t="shared" si="50"/>
        <v>0</v>
      </c>
      <c r="V151" s="163">
        <f t="shared" si="50"/>
        <v>0</v>
      </c>
      <c r="W151" s="163">
        <f t="shared" si="50"/>
        <v>0</v>
      </c>
      <c r="X151" s="163">
        <f t="shared" si="50"/>
        <v>0</v>
      </c>
      <c r="Y151" s="163">
        <f t="shared" si="50"/>
        <v>0</v>
      </c>
      <c r="Z151" s="163">
        <f t="shared" si="50"/>
        <v>0</v>
      </c>
      <c r="AA151" s="163">
        <f>+IFERROR(IF($S$1&gt;=$B151,IF(MATCH($P151,N$149:N$152,0),$Q151,0),0),0)</f>
        <v>0</v>
      </c>
      <c r="AB151" s="163"/>
      <c r="AC151" s="163"/>
      <c r="AP151" s="181"/>
      <c r="AQ151" s="175"/>
    </row>
    <row r="152" spans="2:43" ht="12.75" customHeight="1" x14ac:dyDescent="0.2">
      <c r="B152" s="174">
        <f>+B151+1</f>
        <v>136</v>
      </c>
      <c r="C152" s="156"/>
      <c r="D152" s="180"/>
      <c r="E152" s="160" t="s">
        <v>1264</v>
      </c>
      <c r="F152" s="160" t="s">
        <v>1264</v>
      </c>
      <c r="G152" s="160" t="s">
        <v>1858</v>
      </c>
      <c r="H152" s="160" t="s">
        <v>1264</v>
      </c>
      <c r="I152" s="160" t="s">
        <v>1264</v>
      </c>
      <c r="J152" s="160" t="s">
        <v>1532</v>
      </c>
      <c r="K152" s="160" t="s">
        <v>1858</v>
      </c>
      <c r="L152" s="160" t="s">
        <v>1264</v>
      </c>
      <c r="M152" s="160" t="s">
        <v>1264</v>
      </c>
      <c r="N152" s="160" t="s">
        <v>1858</v>
      </c>
      <c r="O152" s="160" t="s">
        <v>1858</v>
      </c>
      <c r="P152" s="162"/>
      <c r="Q152" s="150">
        <v>4</v>
      </c>
      <c r="R152" s="154">
        <f t="shared" si="45"/>
        <v>136</v>
      </c>
      <c r="S152" s="163">
        <f>+IFERROR(IF($S$1&gt;=$B152,IF(MATCH($P152,E$149:E$152,0),$Q152,0),0),0)</f>
        <v>0</v>
      </c>
      <c r="T152" s="163"/>
      <c r="U152" s="163">
        <f t="shared" si="50"/>
        <v>0</v>
      </c>
      <c r="V152" s="163">
        <f t="shared" si="50"/>
        <v>0</v>
      </c>
      <c r="W152" s="163">
        <f t="shared" si="50"/>
        <v>0</v>
      </c>
      <c r="X152" s="163">
        <f t="shared" si="50"/>
        <v>0</v>
      </c>
      <c r="Y152" s="163">
        <f t="shared" si="50"/>
        <v>0</v>
      </c>
      <c r="Z152" s="163">
        <f t="shared" si="50"/>
        <v>0</v>
      </c>
      <c r="AA152" s="163">
        <f>+IFERROR(IF($S$1&gt;=$B152,IF(MATCH($P152,N$149:N$152,0),$Q152,0),0),0)</f>
        <v>0</v>
      </c>
      <c r="AB152" s="163"/>
      <c r="AC152" s="163"/>
      <c r="AP152" s="182"/>
      <c r="AQ152" s="177"/>
    </row>
    <row r="153" spans="2:43" ht="12.75" customHeight="1" x14ac:dyDescent="0.2">
      <c r="B153" s="174" t="s">
        <v>3712</v>
      </c>
      <c r="C153" s="179"/>
      <c r="D153" s="180"/>
      <c r="R153" s="149" t="str">
        <f t="shared" si="45"/>
        <v>Land i bronsefinalen</v>
      </c>
      <c r="U153" s="163"/>
      <c r="V153" s="163"/>
      <c r="W153" s="163"/>
      <c r="X153" s="163"/>
      <c r="Y153" s="163"/>
      <c r="Z153" s="163"/>
      <c r="AA153" s="163"/>
      <c r="AB153" s="163"/>
      <c r="AC153" s="163"/>
      <c r="AP153" s="182"/>
      <c r="AQ153" s="177"/>
    </row>
    <row r="154" spans="2:43" ht="12.75" customHeight="1" x14ac:dyDescent="0.2">
      <c r="B154" s="174">
        <f>+B152+1</f>
        <v>137</v>
      </c>
      <c r="C154" s="156"/>
      <c r="D154" s="180"/>
      <c r="E154" s="160" t="s">
        <v>1409</v>
      </c>
      <c r="F154" s="160" t="s">
        <v>1532</v>
      </c>
      <c r="G154" s="160" t="s">
        <v>1409</v>
      </c>
      <c r="H154" s="160" t="s">
        <v>1532</v>
      </c>
      <c r="I154" s="160" t="s">
        <v>1409</v>
      </c>
      <c r="J154" s="160" t="s">
        <v>1858</v>
      </c>
      <c r="K154" s="160" t="s">
        <v>1409</v>
      </c>
      <c r="L154" s="160" t="s">
        <v>1409</v>
      </c>
      <c r="M154" s="160" t="s">
        <v>1532</v>
      </c>
      <c r="N154" s="160" t="s">
        <v>1532</v>
      </c>
      <c r="O154" s="160" t="s">
        <v>1532</v>
      </c>
      <c r="P154" s="162"/>
      <c r="Q154" s="150">
        <v>1</v>
      </c>
      <c r="R154" s="154">
        <f t="shared" si="45"/>
        <v>137</v>
      </c>
      <c r="S154" s="163">
        <f>+IFERROR(IF($S$1&gt;=$B154,IF(MATCH($P154,E$154:E$155,0),$Q154,0),0),0)</f>
        <v>0</v>
      </c>
      <c r="T154" s="163"/>
      <c r="U154" s="163">
        <f t="shared" ref="U154:Z155" si="51">+IFERROR(IF($S$1&gt;=$B154,IF(MATCH($P154,G$154:G$155,0),$Q154,0),0),0)</f>
        <v>0</v>
      </c>
      <c r="V154" s="163">
        <f t="shared" si="51"/>
        <v>0</v>
      </c>
      <c r="W154" s="163">
        <f t="shared" si="51"/>
        <v>0</v>
      </c>
      <c r="X154" s="163">
        <f t="shared" si="51"/>
        <v>0</v>
      </c>
      <c r="Y154" s="163">
        <f t="shared" si="51"/>
        <v>0</v>
      </c>
      <c r="Z154" s="163">
        <f t="shared" si="51"/>
        <v>0</v>
      </c>
      <c r="AA154" s="163">
        <f>+IFERROR(IF($S$1&gt;=$B154,IF(MATCH($P154,N$154:N$155,0),$Q154,0),0),0)</f>
        <v>0</v>
      </c>
      <c r="AB154" s="163"/>
      <c r="AC154" s="163"/>
      <c r="AP154" s="182"/>
      <c r="AQ154" s="177"/>
    </row>
    <row r="155" spans="2:43" ht="12.75" customHeight="1" x14ac:dyDescent="0.2">
      <c r="B155" s="174">
        <f>+B154+1</f>
        <v>138</v>
      </c>
      <c r="C155" s="156"/>
      <c r="D155" s="180"/>
      <c r="E155" s="160" t="s">
        <v>1148</v>
      </c>
      <c r="F155" s="160" t="s">
        <v>1264</v>
      </c>
      <c r="G155" s="160" t="s">
        <v>1148</v>
      </c>
      <c r="H155" s="160" t="s">
        <v>1264</v>
      </c>
      <c r="I155" s="160" t="s">
        <v>1264</v>
      </c>
      <c r="J155" s="160" t="s">
        <v>2405</v>
      </c>
      <c r="K155" s="160" t="s">
        <v>1858</v>
      </c>
      <c r="L155" s="160" t="s">
        <v>1264</v>
      </c>
      <c r="M155" s="160" t="s">
        <v>1264</v>
      </c>
      <c r="N155" s="160" t="s">
        <v>1858</v>
      </c>
      <c r="O155" s="160" t="s">
        <v>1745</v>
      </c>
      <c r="P155" s="162"/>
      <c r="Q155" s="150">
        <v>1</v>
      </c>
      <c r="R155" s="154">
        <f t="shared" si="45"/>
        <v>138</v>
      </c>
      <c r="S155" s="163">
        <f>+IFERROR(IF($S$1&gt;=$B155,IF(MATCH($P155,E$154:E$155,0),$Q155,0),0),0)</f>
        <v>0</v>
      </c>
      <c r="T155" s="163"/>
      <c r="U155" s="163">
        <f t="shared" si="51"/>
        <v>0</v>
      </c>
      <c r="V155" s="163">
        <f t="shared" si="51"/>
        <v>0</v>
      </c>
      <c r="W155" s="163">
        <f t="shared" si="51"/>
        <v>0</v>
      </c>
      <c r="X155" s="163">
        <f t="shared" si="51"/>
        <v>0</v>
      </c>
      <c r="Y155" s="163">
        <f t="shared" si="51"/>
        <v>0</v>
      </c>
      <c r="Z155" s="163">
        <f t="shared" si="51"/>
        <v>0</v>
      </c>
      <c r="AA155" s="163">
        <f>+IFERROR(IF($S$1&gt;=$B155,IF(MATCH($P155,N$154:N$155,0),$Q155,0),0),0)</f>
        <v>0</v>
      </c>
      <c r="AB155" s="163"/>
      <c r="AC155" s="163"/>
      <c r="AG155" s="181"/>
      <c r="AH155" s="149"/>
      <c r="AP155" s="182"/>
      <c r="AQ155" s="177"/>
    </row>
    <row r="156" spans="2:43" ht="12.75" customHeight="1" x14ac:dyDescent="0.2">
      <c r="B156" s="174">
        <v>139</v>
      </c>
      <c r="C156" s="156"/>
      <c r="D156" s="180"/>
      <c r="E156" s="160" t="s">
        <v>1409</v>
      </c>
      <c r="F156" s="160" t="s">
        <v>1532</v>
      </c>
      <c r="G156" s="160" t="s">
        <v>1409</v>
      </c>
      <c r="H156" s="160" t="s">
        <v>1532</v>
      </c>
      <c r="I156" s="160" t="s">
        <v>1409</v>
      </c>
      <c r="J156" s="160" t="s">
        <v>2405</v>
      </c>
      <c r="K156" s="160" t="s">
        <v>1858</v>
      </c>
      <c r="L156" s="160" t="s">
        <v>1409</v>
      </c>
      <c r="M156" s="160" t="s">
        <v>1532</v>
      </c>
      <c r="N156" s="160" t="s">
        <v>1532</v>
      </c>
      <c r="O156" s="160" t="s">
        <v>1745</v>
      </c>
      <c r="P156" s="162"/>
      <c r="Q156" s="150">
        <v>3</v>
      </c>
      <c r="R156" s="154">
        <f t="shared" si="45"/>
        <v>139</v>
      </c>
      <c r="S156" s="163">
        <f>+IF($S$1&gt;=$B156,IF($P156=E156,$Q156,0),0)</f>
        <v>0</v>
      </c>
      <c r="T156" s="163"/>
      <c r="U156" s="163">
        <f t="shared" ref="U156:Z156" si="52">+IF($S$1&gt;=$B156,IF($P156=G156,$Q156,0),0)</f>
        <v>0</v>
      </c>
      <c r="V156" s="163">
        <f t="shared" si="52"/>
        <v>0</v>
      </c>
      <c r="W156" s="163">
        <f t="shared" si="52"/>
        <v>0</v>
      </c>
      <c r="X156" s="163">
        <f t="shared" si="52"/>
        <v>0</v>
      </c>
      <c r="Y156" s="163">
        <f t="shared" si="52"/>
        <v>0</v>
      </c>
      <c r="Z156" s="163">
        <f t="shared" si="52"/>
        <v>0</v>
      </c>
      <c r="AA156" s="163">
        <f>+IF($S$1&gt;=$B156,IF($P156=N156,$Q156,0),0)</f>
        <v>0</v>
      </c>
      <c r="AB156" s="163"/>
      <c r="AC156" s="163"/>
      <c r="AF156" s="183"/>
      <c r="AG156" s="182"/>
      <c r="AH156" s="177"/>
      <c r="AP156" s="182"/>
      <c r="AQ156" s="177"/>
    </row>
    <row r="157" spans="2:43" ht="12.75" customHeight="1" x14ac:dyDescent="0.2">
      <c r="B157" s="174" t="s">
        <v>3715</v>
      </c>
      <c r="C157" s="156"/>
      <c r="R157" s="149" t="str">
        <f t="shared" si="45"/>
        <v>Land i finalen</v>
      </c>
      <c r="U157" s="163"/>
      <c r="V157" s="163"/>
      <c r="W157" s="163"/>
      <c r="X157" s="163"/>
      <c r="Y157" s="163"/>
      <c r="Z157" s="163"/>
      <c r="AA157" s="163"/>
      <c r="AB157" s="163"/>
      <c r="AC157" s="163"/>
      <c r="AF157" s="151"/>
      <c r="AG157" s="181"/>
      <c r="AH157" s="184"/>
      <c r="AP157" s="182"/>
      <c r="AQ157" s="177"/>
    </row>
    <row r="158" spans="2:43" ht="12.75" customHeight="1" x14ac:dyDescent="0.2">
      <c r="B158" s="174">
        <f>+B156+1</f>
        <v>140</v>
      </c>
      <c r="C158" s="156"/>
      <c r="E158" s="134" t="s">
        <v>1532</v>
      </c>
      <c r="F158" s="134" t="s">
        <v>1409</v>
      </c>
      <c r="G158" s="134" t="s">
        <v>1532</v>
      </c>
      <c r="H158" s="160" t="s">
        <v>1409</v>
      </c>
      <c r="I158" s="134" t="s">
        <v>1532</v>
      </c>
      <c r="J158" s="134" t="s">
        <v>1409</v>
      </c>
      <c r="K158" s="134" t="s">
        <v>1532</v>
      </c>
      <c r="L158" s="161" t="s">
        <v>1532</v>
      </c>
      <c r="M158" s="161" t="s">
        <v>1409</v>
      </c>
      <c r="N158" s="161" t="s">
        <v>1409</v>
      </c>
      <c r="O158" s="161" t="s">
        <v>1409</v>
      </c>
      <c r="P158" s="162"/>
      <c r="Q158" s="150">
        <v>5</v>
      </c>
      <c r="R158" s="154">
        <f t="shared" si="45"/>
        <v>140</v>
      </c>
      <c r="S158" s="163">
        <f>+IFERROR(IF($S$1&gt;=$B158,IF(MATCH($P158,E$158:E$159,0),$Q158,0),0),0)</f>
        <v>0</v>
      </c>
      <c r="T158" s="163"/>
      <c r="U158" s="163">
        <f t="shared" ref="U158:Z159" si="53">+IFERROR(IF($S$1&gt;=$B158,IF(MATCH($P158,G$158:G$159,0),$Q158,0),0),0)</f>
        <v>0</v>
      </c>
      <c r="V158" s="163">
        <f t="shared" si="53"/>
        <v>0</v>
      </c>
      <c r="W158" s="163">
        <f t="shared" si="53"/>
        <v>0</v>
      </c>
      <c r="X158" s="163">
        <f t="shared" si="53"/>
        <v>0</v>
      </c>
      <c r="Y158" s="163">
        <f t="shared" si="53"/>
        <v>0</v>
      </c>
      <c r="Z158" s="163">
        <f t="shared" si="53"/>
        <v>0</v>
      </c>
      <c r="AA158" s="163">
        <f>+IFERROR(IF($S$1&gt;=$B158,IF(MATCH($P158,N$158:N$159,0),$Q158,0),0),0)</f>
        <v>0</v>
      </c>
      <c r="AB158" s="163"/>
      <c r="AC158" s="163"/>
      <c r="AF158" s="183"/>
      <c r="AG158" s="182"/>
      <c r="AH158" s="177"/>
      <c r="AP158" s="182"/>
      <c r="AQ158" s="177"/>
    </row>
    <row r="159" spans="2:43" ht="12.75" customHeight="1" x14ac:dyDescent="0.2">
      <c r="B159" s="174">
        <f>+B158+1</f>
        <v>141</v>
      </c>
      <c r="C159" s="156"/>
      <c r="E159" s="134" t="s">
        <v>1264</v>
      </c>
      <c r="F159" s="134" t="s">
        <v>1148</v>
      </c>
      <c r="G159" s="134" t="s">
        <v>1858</v>
      </c>
      <c r="H159" s="160" t="s">
        <v>1148</v>
      </c>
      <c r="I159" s="134" t="s">
        <v>1148</v>
      </c>
      <c r="J159" s="134" t="s">
        <v>1532</v>
      </c>
      <c r="K159" s="134" t="s">
        <v>1148</v>
      </c>
      <c r="L159" s="161" t="s">
        <v>1148</v>
      </c>
      <c r="M159" s="161" t="s">
        <v>1745</v>
      </c>
      <c r="N159" s="161" t="s">
        <v>1745</v>
      </c>
      <c r="O159" s="161" t="s">
        <v>1858</v>
      </c>
      <c r="P159" s="162"/>
      <c r="Q159" s="150">
        <v>5</v>
      </c>
      <c r="R159" s="154">
        <f>+B159</f>
        <v>141</v>
      </c>
      <c r="S159" s="163">
        <f>+IFERROR(IF($S$1&gt;=$B159,IF(MATCH($P159,E$158:E$159,0),$Q159,0),0),0)</f>
        <v>0</v>
      </c>
      <c r="T159" s="163"/>
      <c r="U159" s="163">
        <f t="shared" si="53"/>
        <v>0</v>
      </c>
      <c r="V159" s="163">
        <f t="shared" si="53"/>
        <v>0</v>
      </c>
      <c r="W159" s="163">
        <f t="shared" si="53"/>
        <v>0</v>
      </c>
      <c r="X159" s="163">
        <f t="shared" si="53"/>
        <v>0</v>
      </c>
      <c r="Y159" s="163">
        <f t="shared" si="53"/>
        <v>0</v>
      </c>
      <c r="Z159" s="163">
        <f t="shared" si="53"/>
        <v>0</v>
      </c>
      <c r="AA159" s="163">
        <f>+IFERROR(IF($S$1&gt;=$B159,IF(MATCH($P159,N$158:N$159,0),$Q159,0),0),0)</f>
        <v>0</v>
      </c>
      <c r="AB159" s="163"/>
      <c r="AC159" s="163"/>
      <c r="AF159" s="183"/>
      <c r="AG159" s="181"/>
      <c r="AH159" s="184"/>
      <c r="AP159" s="182"/>
      <c r="AQ159" s="177"/>
    </row>
    <row r="160" spans="2:43" ht="12.75" customHeight="1" x14ac:dyDescent="0.2">
      <c r="B160" s="174">
        <f>+B159+1</f>
        <v>142</v>
      </c>
      <c r="C160" s="156"/>
      <c r="E160" s="134" t="s">
        <v>1532</v>
      </c>
      <c r="F160" s="134" t="s">
        <v>1409</v>
      </c>
      <c r="G160" s="134" t="s">
        <v>1532</v>
      </c>
      <c r="H160" s="160" t="s">
        <v>1148</v>
      </c>
      <c r="I160" s="134" t="s">
        <v>1532</v>
      </c>
      <c r="J160" s="134" t="s">
        <v>1409</v>
      </c>
      <c r="K160" s="134" t="s">
        <v>1532</v>
      </c>
      <c r="L160" s="161" t="s">
        <v>1532</v>
      </c>
      <c r="M160" s="161" t="s">
        <v>1409</v>
      </c>
      <c r="N160" s="161" t="s">
        <v>1409</v>
      </c>
      <c r="O160" s="161" t="s">
        <v>1858</v>
      </c>
      <c r="P160" s="162"/>
      <c r="Q160" s="150">
        <v>10</v>
      </c>
      <c r="R160" s="154">
        <f t="shared" ref="R160:R165" si="54">+B160</f>
        <v>142</v>
      </c>
      <c r="S160" s="163">
        <f>+IF($S$1&gt;=$B160,IF($P160=E160,$Q160,0),0)</f>
        <v>0</v>
      </c>
      <c r="T160" s="163"/>
      <c r="U160" s="163">
        <f t="shared" ref="U160:Z160" si="55">+IF($S$1&gt;=$B160,IF($P160=G160,$Q160,0),0)</f>
        <v>0</v>
      </c>
      <c r="V160" s="163">
        <f t="shared" si="55"/>
        <v>0</v>
      </c>
      <c r="W160" s="163">
        <f t="shared" si="55"/>
        <v>0</v>
      </c>
      <c r="X160" s="163">
        <f t="shared" si="55"/>
        <v>0</v>
      </c>
      <c r="Y160" s="163">
        <f t="shared" si="55"/>
        <v>0</v>
      </c>
      <c r="Z160" s="163">
        <f t="shared" si="55"/>
        <v>0</v>
      </c>
      <c r="AA160" s="163">
        <f>+IF($S$1&gt;=$B160,IF($P160=N160,$Q160,0),0)</f>
        <v>0</v>
      </c>
      <c r="AB160" s="163"/>
      <c r="AC160" s="163"/>
      <c r="AF160" s="183"/>
      <c r="AG160" s="182"/>
      <c r="AH160" s="177"/>
      <c r="AP160" s="182"/>
      <c r="AQ160" s="177"/>
    </row>
    <row r="161" spans="2:43" ht="12.75" customHeight="1" x14ac:dyDescent="0.2">
      <c r="B161" s="174" t="s">
        <v>3719</v>
      </c>
      <c r="D161" s="151"/>
      <c r="R161" s="154" t="str">
        <f t="shared" si="54"/>
        <v>Bonusspill:</v>
      </c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E161" s="185"/>
      <c r="AG161" s="181"/>
      <c r="AH161" s="184"/>
      <c r="AJ161" s="163"/>
      <c r="AP161" s="182"/>
      <c r="AQ161" s="177"/>
    </row>
    <row r="162" spans="2:43" ht="12.75" customHeight="1" x14ac:dyDescent="0.2">
      <c r="B162" s="174">
        <f>+B160+1</f>
        <v>143</v>
      </c>
      <c r="C162" s="186" t="s">
        <v>3720</v>
      </c>
      <c r="D162" s="187"/>
      <c r="E162" s="134" t="s">
        <v>3748</v>
      </c>
      <c r="F162" s="134" t="s">
        <v>3748</v>
      </c>
      <c r="G162" s="134" t="s">
        <v>3747</v>
      </c>
      <c r="H162" s="134" t="s">
        <v>3747</v>
      </c>
      <c r="I162" s="134" t="s">
        <v>3748</v>
      </c>
      <c r="J162" s="134" t="s">
        <v>3733</v>
      </c>
      <c r="K162" s="161" t="s">
        <v>3747</v>
      </c>
      <c r="L162" s="161" t="s">
        <v>3748</v>
      </c>
      <c r="M162" s="161" t="s">
        <v>3733</v>
      </c>
      <c r="N162" s="161" t="s">
        <v>3748</v>
      </c>
      <c r="O162" s="161" t="s">
        <v>3748</v>
      </c>
      <c r="P162" s="162"/>
      <c r="Q162" s="150">
        <v>10</v>
      </c>
      <c r="R162" s="154">
        <f t="shared" si="54"/>
        <v>143</v>
      </c>
      <c r="S162" s="163">
        <f>+IF($S$1&gt;=$B162,IF($P162=E162,$Q162,0),0)</f>
        <v>0</v>
      </c>
      <c r="T162" s="163"/>
      <c r="U162" s="163">
        <f t="shared" ref="U162:Z165" si="56">+IF($S$1&gt;=$B162,IF($P162=G162,$Q162,0),0)</f>
        <v>0</v>
      </c>
      <c r="V162" s="163">
        <f t="shared" si="56"/>
        <v>0</v>
      </c>
      <c r="W162" s="163">
        <f t="shared" si="56"/>
        <v>0</v>
      </c>
      <c r="X162" s="163">
        <f t="shared" si="56"/>
        <v>0</v>
      </c>
      <c r="Y162" s="163">
        <f t="shared" si="56"/>
        <v>0</v>
      </c>
      <c r="Z162" s="163">
        <f t="shared" si="56"/>
        <v>0</v>
      </c>
      <c r="AA162" s="163">
        <f>+IF($S$1&gt;=$B162,IF($P162=N162,$Q162,0),0)</f>
        <v>0</v>
      </c>
      <c r="AB162" s="163"/>
      <c r="AC162" s="163"/>
      <c r="AE162" s="185"/>
      <c r="AF162" s="183"/>
      <c r="AG162" s="182"/>
      <c r="AH162" s="177"/>
      <c r="AI162" s="188"/>
      <c r="AJ162" s="163"/>
      <c r="AK162" s="189"/>
      <c r="AP162" s="182"/>
      <c r="AQ162" s="177"/>
    </row>
    <row r="163" spans="2:43" ht="12.75" customHeight="1" x14ac:dyDescent="0.2">
      <c r="B163" s="174">
        <f>+B162+1</f>
        <v>144</v>
      </c>
      <c r="C163" s="186" t="s">
        <v>3721</v>
      </c>
      <c r="D163" s="187"/>
      <c r="E163" s="134" t="s">
        <v>3755</v>
      </c>
      <c r="F163" s="134" t="s">
        <v>3759</v>
      </c>
      <c r="G163" s="134" t="s">
        <v>3755</v>
      </c>
      <c r="H163" s="134" t="s">
        <v>3755</v>
      </c>
      <c r="I163" s="134" t="s">
        <v>3755</v>
      </c>
      <c r="J163" s="134" t="s">
        <v>3756</v>
      </c>
      <c r="K163" s="134" t="s">
        <v>3759</v>
      </c>
      <c r="L163" s="161" t="s">
        <v>3760</v>
      </c>
      <c r="M163" s="161" t="s">
        <v>3760</v>
      </c>
      <c r="N163" s="161" t="s">
        <v>3755</v>
      </c>
      <c r="O163" s="161" t="s">
        <v>3755</v>
      </c>
      <c r="P163" s="162"/>
      <c r="Q163" s="150">
        <v>7</v>
      </c>
      <c r="R163" s="154">
        <f t="shared" si="54"/>
        <v>144</v>
      </c>
      <c r="S163" s="163">
        <f>+IF($S$1&gt;=$B163,IF($P163=E163,$Q163,0),0)</f>
        <v>0</v>
      </c>
      <c r="T163" s="163"/>
      <c r="U163" s="163">
        <f t="shared" si="56"/>
        <v>0</v>
      </c>
      <c r="V163" s="163">
        <f t="shared" si="56"/>
        <v>0</v>
      </c>
      <c r="W163" s="163">
        <f t="shared" si="56"/>
        <v>0</v>
      </c>
      <c r="X163" s="163">
        <f t="shared" si="56"/>
        <v>0</v>
      </c>
      <c r="Y163" s="163">
        <f t="shared" si="56"/>
        <v>0</v>
      </c>
      <c r="Z163" s="163">
        <f t="shared" si="56"/>
        <v>0</v>
      </c>
      <c r="AA163" s="163">
        <f>+IF($S$1&gt;=$B163,IF($P163=N163,$Q163,0),0)</f>
        <v>0</v>
      </c>
      <c r="AB163" s="163"/>
      <c r="AC163" s="163"/>
      <c r="AE163" s="185"/>
      <c r="AF163" s="183"/>
      <c r="AG163" s="182"/>
      <c r="AH163" s="177"/>
      <c r="AJ163" s="163"/>
      <c r="AP163" s="182"/>
      <c r="AQ163" s="177"/>
    </row>
    <row r="164" spans="2:43" ht="12.75" customHeight="1" x14ac:dyDescent="0.2">
      <c r="B164" s="174">
        <f>+B163+1</f>
        <v>145</v>
      </c>
      <c r="C164" s="186" t="s">
        <v>3723</v>
      </c>
      <c r="D164" s="187"/>
      <c r="E164" s="134">
        <v>304</v>
      </c>
      <c r="F164" s="134">
        <v>262</v>
      </c>
      <c r="G164" s="134">
        <v>169</v>
      </c>
      <c r="H164" s="134">
        <v>302</v>
      </c>
      <c r="I164" s="134">
        <v>161</v>
      </c>
      <c r="J164" s="134">
        <v>264</v>
      </c>
      <c r="K164" s="161">
        <v>306</v>
      </c>
      <c r="L164" s="161">
        <v>300</v>
      </c>
      <c r="M164" s="161">
        <v>200</v>
      </c>
      <c r="N164" s="161">
        <v>286</v>
      </c>
      <c r="O164" s="161">
        <v>298</v>
      </c>
      <c r="P164" s="162"/>
      <c r="Q164" s="150">
        <v>20</v>
      </c>
      <c r="R164" s="154">
        <f t="shared" si="54"/>
        <v>145</v>
      </c>
      <c r="S164" s="163">
        <f>+IF($S$1&gt;=$B164,IF($P164=E164,$Q164,0),0)</f>
        <v>0</v>
      </c>
      <c r="T164" s="163"/>
      <c r="U164" s="163">
        <f t="shared" si="56"/>
        <v>0</v>
      </c>
      <c r="V164" s="163">
        <f t="shared" si="56"/>
        <v>0</v>
      </c>
      <c r="W164" s="163">
        <f t="shared" si="56"/>
        <v>0</v>
      </c>
      <c r="X164" s="163">
        <f t="shared" si="56"/>
        <v>0</v>
      </c>
      <c r="Y164" s="163">
        <f t="shared" si="56"/>
        <v>0</v>
      </c>
      <c r="Z164" s="163">
        <f t="shared" si="56"/>
        <v>0</v>
      </c>
      <c r="AA164" s="163">
        <f>+IF($S$1&gt;=$B164,IF($P164=N164,$Q164,0),0)</f>
        <v>0</v>
      </c>
      <c r="AB164" s="163"/>
      <c r="AC164" s="163"/>
      <c r="AE164" s="185"/>
      <c r="AF164" s="183"/>
      <c r="AG164" s="182"/>
      <c r="AH164" s="177"/>
      <c r="AJ164" s="163"/>
      <c r="AK164" s="190"/>
    </row>
    <row r="165" spans="2:43" ht="12.75" customHeight="1" x14ac:dyDescent="0.25">
      <c r="B165" s="174">
        <f>+B164+1</f>
        <v>146</v>
      </c>
      <c r="C165" s="186" t="s">
        <v>3725</v>
      </c>
      <c r="D165" s="187"/>
      <c r="E165" s="134">
        <v>370</v>
      </c>
      <c r="F165" s="134">
        <v>354</v>
      </c>
      <c r="G165" s="134">
        <v>216</v>
      </c>
      <c r="H165" s="134">
        <v>340</v>
      </c>
      <c r="I165" s="134">
        <v>243</v>
      </c>
      <c r="J165" s="134">
        <v>98</v>
      </c>
      <c r="K165" s="161">
        <v>371</v>
      </c>
      <c r="L165" s="161">
        <v>300</v>
      </c>
      <c r="M165" s="161">
        <v>50</v>
      </c>
      <c r="N165" s="161">
        <v>319</v>
      </c>
      <c r="O165" s="161">
        <v>412</v>
      </c>
      <c r="P165" s="191"/>
      <c r="Q165" s="150">
        <v>20</v>
      </c>
      <c r="R165" s="154">
        <f t="shared" si="54"/>
        <v>146</v>
      </c>
      <c r="S165" s="163">
        <f>+IF($S$1&gt;=$B165,IF($P165=E165,$Q165,0),0)</f>
        <v>0</v>
      </c>
      <c r="T165" s="163"/>
      <c r="U165" s="163">
        <f t="shared" si="56"/>
        <v>0</v>
      </c>
      <c r="V165" s="163">
        <f t="shared" si="56"/>
        <v>0</v>
      </c>
      <c r="W165" s="163">
        <f t="shared" si="56"/>
        <v>0</v>
      </c>
      <c r="X165" s="163">
        <f t="shared" si="56"/>
        <v>0</v>
      </c>
      <c r="Y165" s="163">
        <f t="shared" si="56"/>
        <v>0</v>
      </c>
      <c r="Z165" s="163">
        <f t="shared" si="56"/>
        <v>0</v>
      </c>
      <c r="AA165" s="163">
        <f>+IF($S$1&gt;=$B165,IF($P165=N165,$Q165,0),0)</f>
        <v>0</v>
      </c>
      <c r="AB165" s="163"/>
      <c r="AC165" s="163"/>
      <c r="AE165" s="185"/>
      <c r="AF165" s="192"/>
      <c r="AG165" s="182"/>
      <c r="AH165" s="177"/>
      <c r="AJ165" s="163"/>
    </row>
    <row r="166" spans="2:43" ht="12.75" customHeight="1" x14ac:dyDescent="0.25">
      <c r="R166" s="151"/>
      <c r="AE166" s="185"/>
      <c r="AF166" s="192"/>
      <c r="AG166" s="182"/>
      <c r="AH166" s="177"/>
      <c r="AJ166" s="163"/>
    </row>
    <row r="167" spans="2:43" ht="12.75" customHeight="1" x14ac:dyDescent="0.25">
      <c r="AF167" s="192"/>
      <c r="AG167" s="182"/>
      <c r="AH167" s="177"/>
      <c r="AJ167" s="163"/>
    </row>
    <row r="168" spans="2:43" ht="12.75" customHeight="1" x14ac:dyDescent="0.25">
      <c r="AF168" s="192"/>
      <c r="AG168" s="181"/>
      <c r="AH168" s="184"/>
      <c r="AJ168" s="163"/>
    </row>
    <row r="169" spans="2:43" ht="12.75" customHeight="1" x14ac:dyDescent="0.2">
      <c r="AJ169" s="163"/>
    </row>
    <row r="170" spans="2:43" ht="12.75" customHeight="1" x14ac:dyDescent="0.2">
      <c r="AF170" s="183"/>
      <c r="AG170" s="182"/>
      <c r="AH170" s="177"/>
      <c r="AJ170" s="163"/>
      <c r="AM170" s="177"/>
    </row>
    <row r="171" spans="2:43" ht="12.75" customHeight="1" x14ac:dyDescent="0.25">
      <c r="AF171" s="192"/>
      <c r="AG171" s="182"/>
      <c r="AH171" s="177"/>
      <c r="AM171" s="177"/>
    </row>
    <row r="172" spans="2:43" ht="12.75" customHeight="1" x14ac:dyDescent="0.2">
      <c r="AF172" s="183"/>
      <c r="AG172" s="182"/>
      <c r="AH172" s="177"/>
      <c r="AM172" s="177"/>
    </row>
    <row r="173" spans="2:43" ht="12.75" customHeight="1" x14ac:dyDescent="0.25">
      <c r="AA173" s="193"/>
      <c r="AB173" s="193"/>
      <c r="AC173" s="193"/>
      <c r="AF173" s="192"/>
      <c r="AG173" s="182"/>
      <c r="AH173" s="177"/>
      <c r="AM173" s="177"/>
    </row>
    <row r="174" spans="2:43" ht="12.75" customHeight="1" x14ac:dyDescent="0.2">
      <c r="AA174" s="190"/>
      <c r="AB174" s="190"/>
      <c r="AC174" s="190"/>
      <c r="AF174" s="183"/>
      <c r="AG174" s="182"/>
      <c r="AH174" s="177"/>
      <c r="AM174" s="177"/>
    </row>
    <row r="175" spans="2:43" ht="12.75" customHeight="1" x14ac:dyDescent="0.25">
      <c r="AF175" s="192"/>
      <c r="AG175" s="182"/>
      <c r="AH175" s="177"/>
    </row>
    <row r="176" spans="2:43" ht="12.75" customHeight="1" x14ac:dyDescent="0.2">
      <c r="AF176" s="194"/>
      <c r="AG176" s="182"/>
      <c r="AH176" s="177"/>
    </row>
    <row r="177" spans="2:35" ht="12.75" customHeight="1" x14ac:dyDescent="0.2">
      <c r="AA177" s="193"/>
      <c r="AB177" s="193"/>
      <c r="AC177" s="193"/>
      <c r="AF177" s="194"/>
      <c r="AG177" s="182"/>
      <c r="AH177" s="177"/>
    </row>
    <row r="178" spans="2:35" ht="12.75" customHeight="1" x14ac:dyDescent="0.2">
      <c r="AA178" s="190"/>
      <c r="AB178" s="190"/>
      <c r="AC178" s="190"/>
      <c r="AE178" s="195"/>
      <c r="AF178" s="194"/>
      <c r="AI178" s="193"/>
    </row>
    <row r="179" spans="2:35" ht="12.75" customHeight="1" x14ac:dyDescent="0.2">
      <c r="AE179" s="195"/>
      <c r="AF179" s="194"/>
      <c r="AH179" s="177"/>
    </row>
    <row r="180" spans="2:35" ht="12.75" customHeight="1" x14ac:dyDescent="0.2">
      <c r="AE180" s="195"/>
      <c r="AH180" s="177"/>
    </row>
    <row r="181" spans="2:35" ht="12.75" customHeight="1" x14ac:dyDescent="0.2">
      <c r="AE181" s="195"/>
      <c r="AH181" s="177"/>
    </row>
    <row r="182" spans="2:35" ht="12.75" customHeight="1" x14ac:dyDescent="0.25">
      <c r="AF182" s="192"/>
      <c r="AH182" s="177"/>
    </row>
    <row r="183" spans="2:35" ht="12.75" customHeight="1" x14ac:dyDescent="0.25">
      <c r="AF183" s="192"/>
    </row>
    <row r="184" spans="2:35" ht="12.75" customHeight="1" x14ac:dyDescent="0.25">
      <c r="AF184" s="192"/>
    </row>
    <row r="185" spans="2:35" ht="12.75" customHeight="1" x14ac:dyDescent="0.25">
      <c r="C185" s="196"/>
      <c r="E185" s="197"/>
      <c r="F185" s="197"/>
      <c r="AF185" s="192"/>
    </row>
    <row r="186" spans="2:35" ht="12.75" customHeight="1" x14ac:dyDescent="0.25">
      <c r="B186" s="149" t="s">
        <v>3749</v>
      </c>
      <c r="C186" s="173">
        <f>+SUM(AL4:AL75)</f>
        <v>28</v>
      </c>
      <c r="D186" s="173"/>
      <c r="E186" s="149">
        <f>+C186</f>
        <v>28</v>
      </c>
      <c r="F186" s="149">
        <f>+E186</f>
        <v>28</v>
      </c>
      <c r="G186" s="149">
        <f>+F186</f>
        <v>28</v>
      </c>
      <c r="H186" s="149">
        <f t="shared" ref="H186:O187" si="57">+G186</f>
        <v>28</v>
      </c>
      <c r="I186" s="149">
        <f t="shared" si="57"/>
        <v>28</v>
      </c>
      <c r="J186" s="149">
        <f t="shared" si="57"/>
        <v>28</v>
      </c>
      <c r="K186" s="149">
        <f t="shared" si="57"/>
        <v>28</v>
      </c>
      <c r="L186" s="149">
        <f t="shared" si="57"/>
        <v>28</v>
      </c>
      <c r="M186" s="149">
        <f t="shared" si="57"/>
        <v>28</v>
      </c>
      <c r="N186" s="149">
        <f>+L186</f>
        <v>28</v>
      </c>
      <c r="O186" s="149">
        <f t="shared" si="57"/>
        <v>28</v>
      </c>
      <c r="AF186" s="192"/>
    </row>
    <row r="187" spans="2:35" ht="12.75" customHeight="1" x14ac:dyDescent="0.25">
      <c r="B187" s="149" t="s">
        <v>3750</v>
      </c>
      <c r="C187" s="173">
        <f>+SUM(AK4:AK13)</f>
        <v>14</v>
      </c>
      <c r="E187" s="173">
        <f>+SUM(AK4:AK75)</f>
        <v>14</v>
      </c>
      <c r="F187" s="173">
        <f>+E187</f>
        <v>14</v>
      </c>
      <c r="G187" s="149">
        <f>+F187</f>
        <v>14</v>
      </c>
      <c r="H187" s="149">
        <f t="shared" si="57"/>
        <v>14</v>
      </c>
      <c r="I187" s="149">
        <f t="shared" si="57"/>
        <v>14</v>
      </c>
      <c r="J187" s="149">
        <f t="shared" si="57"/>
        <v>14</v>
      </c>
      <c r="K187" s="149">
        <f t="shared" si="57"/>
        <v>14</v>
      </c>
      <c r="L187" s="149">
        <f t="shared" si="57"/>
        <v>14</v>
      </c>
      <c r="M187" s="149">
        <f t="shared" si="57"/>
        <v>14</v>
      </c>
      <c r="N187" s="149">
        <f t="shared" si="57"/>
        <v>14</v>
      </c>
      <c r="O187" s="149">
        <f>+N187</f>
        <v>14</v>
      </c>
      <c r="AF187" s="192"/>
    </row>
    <row r="188" spans="2:35" ht="12.75" customHeight="1" x14ac:dyDescent="0.2">
      <c r="E188" s="198"/>
      <c r="F188" s="198"/>
    </row>
    <row r="189" spans="2:35" ht="12.75" customHeight="1" x14ac:dyDescent="0.2">
      <c r="B189" s="149" t="str">
        <f>+E162</f>
        <v>Mbappe</v>
      </c>
      <c r="C189" s="199">
        <f>6/11</f>
        <v>0.54545454545454541</v>
      </c>
    </row>
    <row r="190" spans="2:35" ht="12.75" customHeight="1" x14ac:dyDescent="0.25">
      <c r="B190" s="149" t="s">
        <v>3747</v>
      </c>
      <c r="C190" s="199">
        <v>0.27272727272727271</v>
      </c>
      <c r="AF190" s="192"/>
    </row>
    <row r="191" spans="2:35" ht="12.75" customHeight="1" x14ac:dyDescent="0.25">
      <c r="B191" s="149" t="s">
        <v>3733</v>
      </c>
      <c r="C191" s="199">
        <v>0.18181818181818199</v>
      </c>
      <c r="E191" s="149">
        <f>3.5*104</f>
        <v>364</v>
      </c>
      <c r="AF191" s="192"/>
    </row>
    <row r="192" spans="2:35" ht="12.75" customHeight="1" x14ac:dyDescent="0.25">
      <c r="C192" s="199"/>
      <c r="AF192" s="192"/>
    </row>
    <row r="193" spans="2:3" ht="12.75" customHeight="1" x14ac:dyDescent="0.2">
      <c r="B193" s="149" t="s">
        <v>3755</v>
      </c>
      <c r="C193" s="199">
        <v>0.54545454545454541</v>
      </c>
    </row>
    <row r="194" spans="2:3" ht="12.75" customHeight="1" x14ac:dyDescent="0.2">
      <c r="B194" s="149" t="s">
        <v>3760</v>
      </c>
      <c r="C194" s="199">
        <v>0.18181818181818182</v>
      </c>
    </row>
    <row r="195" spans="2:3" ht="12.75" customHeight="1" x14ac:dyDescent="0.2">
      <c r="B195" s="149" t="str">
        <f>+F163</f>
        <v>B Fernandes</v>
      </c>
      <c r="C195" s="199">
        <v>0.18181818181818182</v>
      </c>
    </row>
    <row r="196" spans="2:3" ht="12.75" customHeight="1" x14ac:dyDescent="0.2">
      <c r="B196" s="149" t="str">
        <f>+J163</f>
        <v>Griezman</v>
      </c>
      <c r="C196" s="199">
        <f>1/11</f>
        <v>9.0909090909090912E-2</v>
      </c>
    </row>
    <row r="197" spans="2:3" ht="12.75" customHeight="1" x14ac:dyDescent="0.2"/>
    <row r="198" spans="2:3" ht="12.75" customHeight="1" x14ac:dyDescent="0.2"/>
    <row r="199" spans="2:3" ht="12.75" customHeight="1" x14ac:dyDescent="0.2"/>
    <row r="200" spans="2:3" ht="12.75" customHeight="1" x14ac:dyDescent="0.2"/>
    <row r="201" spans="2:3" ht="12.75" customHeight="1" x14ac:dyDescent="0.2"/>
  </sheetData>
  <pageMargins left="0.7" right="0.7" top="0.75" bottom="0.75" header="0.3" footer="0.3"/>
  <pageSetup paperSize="9" scale="33" orientation="portrait" horizontalDpi="1200" verticalDpi="1200" r:id="rId1"/>
  <ignoredErrors>
    <ignoredError sqref="F18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T</vt:lpstr>
      <vt:lpstr>Settings</vt:lpstr>
      <vt:lpstr>INPUT-&gt;</vt:lpstr>
      <vt:lpstr>2026 World Cup</vt:lpstr>
      <vt:lpstr>3rd places</vt:lpstr>
      <vt:lpstr>OUTPUT-&gt;</vt:lpstr>
      <vt:lpstr>Resultater</vt:lpstr>
      <vt:lpstr>MASTER</vt:lpstr>
      <vt:lpstr>db_fifarank</vt:lpstr>
      <vt:lpstr>gmt_delta</vt:lpstr>
      <vt:lpstr>group_round_completed</vt:lpstr>
      <vt:lpstr>lang</vt:lpstr>
      <vt:lpstr>lang_list</vt:lpstr>
      <vt:lpstr>my_team</vt:lpstr>
      <vt:lpstr>MASTER!Print_Area</vt:lpstr>
      <vt:lpstr>Resultater!Print_Area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Marius Furuly</cp:lastModifiedBy>
  <cp:revision/>
  <dcterms:created xsi:type="dcterms:W3CDTF">2017-12-27T19:32:51Z</dcterms:created>
  <dcterms:modified xsi:type="dcterms:W3CDTF">2026-06-14T18:46:46Z</dcterms:modified>
  <cp:category>Sports</cp:category>
  <cp:contentStatus/>
</cp:coreProperties>
</file>